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Targeting Table" sheetId="1" state="visible" r:id="rId3"/>
    <sheet name="Legend &amp; Methodology" sheetId="2" state="visible" r:id="rId4"/>
    <sheet name="Data Linea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<sst xmlns="http://schemas.openxmlformats.org/spreadsheetml/2006/main" count="671" uniqueCount="296">
  <si>
    <t xml:space="preserve">BUYER-TARGETING MASTER TABLE  ·  patent sale &amp; licensing campaign command sheet</t>
  </si>
  <si>
    <t xml:space="preserve">One row per (package × shortlisted buyer). Sorted P1→P3. Filter any column · collapse column groups with the [-] bars · blue = inputs, formulas auto-compute. Sample data illustrative.</t>
  </si>
  <si>
    <t xml:space="preserve">PRIORITY / IDENTITY</t>
  </si>
  <si>
    <t xml:space="preserve">OFFERING — package &amp; assets</t>
  </si>
  <si>
    <t xml:space="preserve">BUYER</t>
  </si>
  <si>
    <t xml:space="preserve">HOW IDENTIFIED — sourcing signal</t>
  </si>
  <si>
    <t xml:space="preserve">BUY-LIKELIHOOD FACTORS (0–5)</t>
  </si>
  <si>
    <t xml:space="preserve">VERDICT</t>
  </si>
  <si>
    <t xml:space="preserve">RISK / WHY-NOT</t>
  </si>
  <si>
    <t xml:space="preserve">FIT &amp; MATCH</t>
  </si>
  <si>
    <t xml:space="preserve">APPROACH &amp; ECONOMICS</t>
  </si>
  <si>
    <t xml:space="preserve">PIPELINE</t>
  </si>
  <si>
    <t xml:space="preserve">Priority</t>
  </si>
  <si>
    <t xml:space="preserve">Buyer</t>
  </si>
  <si>
    <t xml:space="preserve">Package</t>
  </si>
  <si>
    <t xml:space="preserve">Pkg domain</t>
  </si>
  <si>
    <t xml:space="preserve"># Assets</t>
  </si>
  <si>
    <t xml:space="preserve">Anchor asset</t>
  </si>
  <si>
    <t xml:space="preserve">Asking ($M)</t>
  </si>
  <si>
    <t xml:space="preserve">EoU</t>
  </si>
  <si>
    <t xml:space="preserve">SEP / std</t>
  </si>
  <si>
    <t xml:space="preserve">Title</t>
  </si>
  <si>
    <t xml:space="preserve">Archetype</t>
  </si>
  <si>
    <t xml:space="preserve">Sector</t>
  </si>
  <si>
    <t xml:space="preserve">HQ</t>
  </si>
  <si>
    <t xml:space="preserve">Rev ($M)</t>
  </si>
  <si>
    <t xml:space="preserve">IP (#)</t>
  </si>
  <si>
    <t xml:space="preserve">Prior buyer</t>
  </si>
  <si>
    <t xml:space="preserve">Sourcing channel</t>
  </si>
  <si>
    <t xml:space="preserve">Signal category</t>
  </si>
  <si>
    <t xml:space="preserve"># Signals</t>
  </si>
  <si>
    <t xml:space="preserve">Multi-signal</t>
  </si>
  <si>
    <t xml:space="preserve">Trigger event</t>
  </si>
  <si>
    <t xml:space="preserve">Evidence source</t>
  </si>
  <si>
    <t xml:space="preserve">Recency</t>
  </si>
  <si>
    <t xml:space="preserve">FTO</t>
  </si>
  <si>
    <t xml:space="preserve">Litig.</t>
  </si>
  <si>
    <t xml:space="preserve">Cite</t>
  </si>
  <si>
    <t xml:space="preserve">Fit</t>
  </si>
  <si>
    <t xml:space="preserve">Std</t>
  </si>
  <si>
    <t xml:space="preserve">Fin</t>
  </si>
  <si>
    <t xml:space="preserve">Appe</t>
  </si>
  <si>
    <t xml:space="preserve">Urg</t>
  </si>
  <si>
    <t xml:space="preserve">Motivation</t>
  </si>
  <si>
    <t xml:space="preserve">Capacity</t>
  </si>
  <si>
    <t xml:space="preserve">Composite</t>
  </si>
  <si>
    <t xml:space="preserve">Verdict</t>
  </si>
  <si>
    <t xml:space="preserve">Exp. value ($M)</t>
  </si>
  <si>
    <t xml:space="preserve">Key headwind</t>
  </si>
  <si>
    <t xml:space="preserve">Severity</t>
  </si>
  <si>
    <t xml:space="preserve">Design-around</t>
  </si>
  <si>
    <t xml:space="preserve">DJ/approach risk</t>
  </si>
  <si>
    <t xml:space="preserve">Bundle match</t>
  </si>
  <si>
    <t xml:space="preserve">Semantic fit</t>
  </si>
  <si>
    <t xml:space="preserve">Products that read</t>
  </si>
  <si>
    <t xml:space="preserve">Deal structure</t>
  </si>
  <si>
    <t xml:space="preserve">Time-to-close</t>
  </si>
  <si>
    <t xml:space="preserve">Recommended hook</t>
  </si>
  <si>
    <t xml:space="preserve">Outreach channel</t>
  </si>
  <si>
    <t xml:space="preserve">Target contact</t>
  </si>
  <si>
    <t xml:space="preserve">Stage</t>
  </si>
  <si>
    <t xml:space="preserve">Owner</t>
  </si>
  <si>
    <t xml:space="preserve">Next action</t>
  </si>
  <si>
    <t xml:space="preserve">Next date</t>
  </si>
  <si>
    <t xml:space="preserve">Notes</t>
  </si>
  <si>
    <t xml:space="preserve">NovaRadio Systems</t>
  </si>
  <si>
    <t xml:space="preserve">PKG-01</t>
  </si>
  <si>
    <t xml:space="preserve">Wireless › PHY (5G NR)</t>
  </si>
  <si>
    <t xml:space="preserve">A-01 LDPC channel-coding</t>
  </si>
  <si>
    <t xml:space="preserve">Anchor charted</t>
  </si>
  <si>
    <t xml:space="preserve">Potential SEP (3GPP)</t>
  </si>
  <si>
    <t xml:space="preserve">Clean</t>
  </si>
  <si>
    <t xml:space="preserve">OC-OFF</t>
  </si>
  <si>
    <t xml:space="preserve">Chipset</t>
  </si>
  <si>
    <t xml:space="preserve">Asia</t>
  </si>
  <si>
    <t xml:space="preserve">Yes</t>
  </si>
  <si>
    <t xml:space="preserve">Semantic portfolio overlap</t>
  </si>
  <si>
    <t xml:space="preserve">C · Tech-trajectory</t>
  </si>
  <si>
    <t xml:space="preserve">IDF tag-overlap 89/100 with package; cites anchor x2</t>
  </si>
  <si>
    <t xml:space="preserve">Tag engine + USPTO</t>
  </si>
  <si>
    <t xml:space="preserve">Q1-2026</t>
  </si>
  <si>
    <t xml:space="preserve">No litigation pressure — defensive only</t>
  </si>
  <si>
    <t xml:space="preserve">H</t>
  </si>
  <si>
    <t xml:space="preserve">M</t>
  </si>
  <si>
    <t xml:space="preserve">L</t>
  </si>
  <si>
    <t xml:space="preserve">B26 EoU-Backed · B12 Detectability · B22 Anchor-Halo</t>
  </si>
  <si>
    <t xml:space="preserve">WIRE</t>
  </si>
  <si>
    <t xml:space="preserve">Outright sale or exclusive licence</t>
  </si>
  <si>
    <t xml:space="preserve">Medium (3–5 mo)</t>
  </si>
  <si>
    <t xml:space="preserve">Product-mapping + EoU chart on their SKUs; quantify royalty base; survived-challenge de-risks</t>
  </si>
  <si>
    <t xml:space="preserve">Direct — VP Patent Strategy</t>
  </si>
  <si>
    <t xml:space="preserve">VP Patent Strategy</t>
  </si>
  <si>
    <t xml:space="preserve">Not started</t>
  </si>
  <si>
    <t xml:space="preserve">GP</t>
  </si>
  <si>
    <t xml:space="preserve">Send EoU teaser + NDA</t>
  </si>
  <si>
    <t xml:space="preserve">Engine-scored · primary C · Tech-trajectory · fit 89/100 · 3 signal(s)</t>
  </si>
  <si>
    <t xml:space="preserve">SentinelEdge Security</t>
  </si>
  <si>
    <t xml:space="preserve">PKG-02</t>
  </si>
  <si>
    <t xml:space="preserve">Cybersecurity › Network</t>
  </si>
  <si>
    <t xml:space="preserve">A-04 DDoS / flood protection</t>
  </si>
  <si>
    <t xml:space="preserve">Charted</t>
  </si>
  <si>
    <t xml:space="preserve">No</t>
  </si>
  <si>
    <t xml:space="preserve">Security vendor</t>
  </si>
  <si>
    <t xml:space="preserve">NA</t>
  </si>
  <si>
    <t xml:space="preserve">Office-action citation (102 art)</t>
  </si>
  <si>
    <t xml:space="preserve">B · Legal-pressure</t>
  </si>
  <si>
    <t xml:space="preserve">Anchor cited as 102 art against their pending application</t>
  </si>
  <si>
    <t xml:space="preserve">Global Dossier</t>
  </si>
  <si>
    <t xml:space="preserve">Limited standards exposure</t>
  </si>
  <si>
    <t xml:space="preserve">CYB</t>
  </si>
  <si>
    <t xml:space="preserve">Engine-scored · primary B · Legal-pressure · fit 79/100 · 5 signal(s)</t>
  </si>
  <si>
    <t xml:space="preserve">Voltaic Cell Industries</t>
  </si>
  <si>
    <t xml:space="preserve">PKG-03</t>
  </si>
  <si>
    <t xml:space="preserve">Battery › Cathode (NMC/LFP)</t>
  </si>
  <si>
    <t xml:space="preserve">A-07 High-nickel NMC811</t>
  </si>
  <si>
    <t xml:space="preserve">Partial</t>
  </si>
  <si>
    <t xml:space="preserve">Battery cells</t>
  </si>
  <si>
    <t xml:space="preserve">IDF tag-overlap 78/100 with package; cites anchor x2</t>
  </si>
  <si>
    <t xml:space="preserve">BATT</t>
  </si>
  <si>
    <t xml:space="preserve">Engine-scored · primary C · Tech-trajectory · fit 78/100 · 3 signal(s)</t>
  </si>
  <si>
    <t xml:space="preserve">DataFort Inc</t>
  </si>
  <si>
    <t xml:space="preserve">OC-DEF</t>
  </si>
  <si>
    <t xml:space="preserve">Enterprise IT</t>
  </si>
  <si>
    <t xml:space="preserve">Litigation defendant</t>
  </si>
  <si>
    <t xml:space="preserve">Named in 3 active suit(s) in domain</t>
  </si>
  <si>
    <t xml:space="preserve">Docket Navigator</t>
  </si>
  <si>
    <t xml:space="preserve">B19 Defensive · B28 Clean-Title · B16 Foundational</t>
  </si>
  <si>
    <t xml:space="preserve">Outright sale (defensive shield)</t>
  </si>
  <si>
    <t xml:space="preserve">Long (6–9 mo)</t>
  </si>
  <si>
    <t xml:space="preserve">Counter-assertion / FTO; clean title; deliver as a quiet sale notice (not a threat)</t>
  </si>
  <si>
    <t xml:space="preserve">Direct — Head of IP / Litigation</t>
  </si>
  <si>
    <t xml:space="preserve">Head of IP</t>
  </si>
  <si>
    <t xml:space="preserve">Assoc</t>
  </si>
  <si>
    <t xml:space="preserve">Quiet outreach via counsel</t>
  </si>
  <si>
    <t xml:space="preserve">Engine-scored · primary B · Legal-pressure · fit 52/100 · 2 signal(s)</t>
  </si>
  <si>
    <t xml:space="preserve">Aegis Wireless</t>
  </si>
  <si>
    <t xml:space="preserve">Network OEM</t>
  </si>
  <si>
    <t xml:space="preserve">IDF tag-overlap 50/100 with package; cites anchor x1</t>
  </si>
  <si>
    <t xml:space="preserve">Engine-scored · primary C · Tech-trajectory · fit 50/100 · 2 signal(s)</t>
  </si>
  <si>
    <t xml:space="preserve">CipherStore Systems</t>
  </si>
  <si>
    <t xml:space="preserve">PKG-04</t>
  </si>
  <si>
    <t xml:space="preserve">Cybersecurity › Data-at-rest</t>
  </si>
  <si>
    <t xml:space="preserve">A-09 Storage encryption &amp; key dist.</t>
  </si>
  <si>
    <t xml:space="preserve">1 assignment gap</t>
  </si>
  <si>
    <t xml:space="preserve">Storage vendor</t>
  </si>
  <si>
    <t xml:space="preserve">Engine-scored · primary B · Legal-pressure · fit 62/100 · 4 signal(s)</t>
  </si>
  <si>
    <t xml:space="preserve">TrustVault Security</t>
  </si>
  <si>
    <t xml:space="preserve">EU</t>
  </si>
  <si>
    <t xml:space="preserve">IDF tag-overlap 84/100 with package; cites anchor x1</t>
  </si>
  <si>
    <t xml:space="preserve">Engine-scored · primary C · Tech-trajectory · fit 84/100 · 1 signal(s)</t>
  </si>
  <si>
    <t xml:space="preserve">Pinnacle IP Fund</t>
  </si>
  <si>
    <t xml:space="preserve">IP-FUND</t>
  </si>
  <si>
    <t xml:space="preserve">Patent fund</t>
  </si>
  <si>
    <t xml:space="preserve">IDF tag-overlap 56/100 with package; cites anchor x1</t>
  </si>
  <si>
    <t xml:space="preserve">Low product exposure — weak FTO hook</t>
  </si>
  <si>
    <t xml:space="preserve">B29 High-Citation · B30 Adjacent · B24 Strong-Core+Tail</t>
  </si>
  <si>
    <t xml:space="preserve">n/a (financial buyer)</t>
  </si>
  <si>
    <t xml:space="preserve">Outright sale</t>
  </si>
  <si>
    <t xml:space="preserve">Citation strength + adjacent re-read + resale optionality; portfolio IRR framing</t>
  </si>
  <si>
    <t xml:space="preserve">Direct — Head of Acquisitions</t>
  </si>
  <si>
    <t xml:space="preserve">Head of Acquisitions</t>
  </si>
  <si>
    <t xml:space="preserve">Send portfolio metrics pack</t>
  </si>
  <si>
    <t xml:space="preserve">Engine-scored · primary C · Tech-trajectory · fit 56/100 · 3 signal(s)</t>
  </si>
  <si>
    <t xml:space="preserve">DriveCell Motors</t>
  </si>
  <si>
    <t xml:space="preserve">OC-EXP</t>
  </si>
  <si>
    <t xml:space="preserve">EV OEM</t>
  </si>
  <si>
    <t xml:space="preserve">Product launch / hiring</t>
  </si>
  <si>
    <t xml:space="preserve">D · Commercial-motion</t>
  </si>
  <si>
    <t xml:space="preserve">New product line / hiring signal in domain</t>
  </si>
  <si>
    <t xml:space="preserve">Press + LinkedIn</t>
  </si>
  <si>
    <t xml:space="preserve">B17 Cross-Industry · B30 Adjacent · B3 Product-Architecture</t>
  </si>
  <si>
    <t xml:space="preserve">Outright or field-of-use licence</t>
  </si>
  <si>
    <t xml:space="preserve">Medium–Long (5–8 mo)</t>
  </si>
  <si>
    <t xml:space="preserve">Market-entry de-risking + convergence; cross-industry reads</t>
  </si>
  <si>
    <t xml:space="preserve">Direct — Head of Domain IP</t>
  </si>
  <si>
    <t xml:space="preserve">Head of Battery IP</t>
  </si>
  <si>
    <t xml:space="preserve">Confirm build-vs-buy posture</t>
  </si>
  <si>
    <t xml:space="preserve">Engine-scored · primary D · Commercial-motion · fit 21/100 · 1 signal(s)</t>
  </si>
  <si>
    <t xml:space="preserve">GreenCharge Capital</t>
  </si>
  <si>
    <t xml:space="preserve">IP fund</t>
  </si>
  <si>
    <t xml:space="preserve">Engine-scored · primary C · Tech-trajectory · fit 50/100 · 3 signal(s)</t>
  </si>
  <si>
    <t xml:space="preserve">No citation linkage</t>
  </si>
  <si>
    <t xml:space="preserve">Engine-scored · primary B · Legal-pressure · fit 5/100 · 4 signal(s)</t>
  </si>
  <si>
    <t xml:space="preserve">Linq Telecom</t>
  </si>
  <si>
    <t xml:space="preserve">STD-LIC</t>
  </si>
  <si>
    <t xml:space="preserve">Carrier</t>
  </si>
  <si>
    <t xml:space="preserve">Standards-contribution gap</t>
  </si>
  <si>
    <t xml:space="preserve">Heavy SSO contributor (5), thin SEP holdings</t>
  </si>
  <si>
    <t xml:space="preserve">B2 SEP · B9 Interoperability · B23 Picket-Fence</t>
  </si>
  <si>
    <t xml:space="preserve">TELCO</t>
  </si>
  <si>
    <t xml:space="preserve">Non-exclusive / FRAND licence</t>
  </si>
  <si>
    <t xml:space="preserve">Long (9+ mo)</t>
  </si>
  <si>
    <t xml:space="preserve">SEP essentiality + FRAND leverage proportional to standards exposure</t>
  </si>
  <si>
    <t xml:space="preserve">Standards &amp; IP licensing arm</t>
  </si>
  <si>
    <t xml:space="preserve">Head of Standards &amp; IP</t>
  </si>
  <si>
    <t xml:space="preserve">Assess SEP essentiality claim</t>
  </si>
  <si>
    <t xml:space="preserve">Engine-scored · primary C · Tech-trajectory · fit 12/100 · 1 signal(s)</t>
  </si>
  <si>
    <t xml:space="preserve">Engine-scored · primary B · Legal-pressure · fit 4/100 · 3 signal(s)</t>
  </si>
  <si>
    <t xml:space="preserve">Meridian Defensive</t>
  </si>
  <si>
    <t xml:space="preserve">DEF-AGG</t>
  </si>
  <si>
    <t xml:space="preserve">Defensive aggregator</t>
  </si>
  <si>
    <t xml:space="preserve">Assignment recordation mining</t>
  </si>
  <si>
    <t xml:space="preserve">A · In-market</t>
  </si>
  <si>
    <t xml:space="preserve">Recorded 15 prior acquisitions in-class</t>
  </si>
  <si>
    <t xml:space="preserve">USPTO Assignment DB</t>
  </si>
  <si>
    <t xml:space="preserve">B31 Salvage/Volume · B19 Defensive</t>
  </si>
  <si>
    <t xml:space="preserve">Outright (volume lot, fixed price)</t>
  </si>
  <si>
    <t xml:space="preserve">Short (1–3 mo)</t>
  </si>
  <si>
    <t xml:space="preserve">Volume / price + clean title; fast low-friction close; catch-and-release fit</t>
  </si>
  <si>
    <t xml:space="preserve">AST IP3 / direct aggregator submission</t>
  </si>
  <si>
    <t xml:space="preserve">Acquisitions Lead</t>
  </si>
  <si>
    <t xml:space="preserve">Submit to IP3 window</t>
  </si>
  <si>
    <t xml:space="preserve">Engine-scored · primary A · In-market · fit 15/100 · 2 signal(s)</t>
  </si>
  <si>
    <t xml:space="preserve">Bastion Aggregator</t>
  </si>
  <si>
    <t xml:space="preserve">Recorded 20 prior acquisitions in-class</t>
  </si>
  <si>
    <t xml:space="preserve">Engine-scored · primary A · In-market · fit 6/100 · 3 signal(s)</t>
  </si>
  <si>
    <t xml:space="preserve">LEGEND &amp; METHODOLOGY</t>
  </si>
  <si>
    <t xml:space="preserve">SOURCING SIGNAL CATEGORIES (how a buyer was identified)</t>
  </si>
  <si>
    <t xml:space="preserve">Already acquiring: USPTO assignment-recordation mining, broker buy-side mandates, marketplace inbound, pool-formation calls, auction underbidders.</t>
  </si>
  <si>
    <t xml:space="preserve">Conflict-driven: office-action 102/103 citations against their apps, litigation defendants / ITC respondents, PTAB participants, opposition parties, settled/next-in-line defendants.</t>
  </si>
  <si>
    <t xml:space="preserve">Derived: forward-citation mining, filing-velocity, semantic portfolio overlap (IDF tag match), standards-contribution gaps, whitespace inversion (product without patents).</t>
  </si>
  <si>
    <t xml:space="preserve">Adjacency triggers: hiring/R&amp;D signals, funding rounds, M&amp;A, product launches &amp; teardowns, import/shipment records, 10-K risk language.</t>
  </si>
  <si>
    <t xml:space="preserve">E · Financial/structural</t>
  </si>
  <si>
    <t xml:space="preserve">Capital seeking assets: defensive aggregators (AST IP3/RPX), IP funds, litigation finance, IP-backed lending, pool net-payers.</t>
  </si>
  <si>
    <t xml:space="preserve">F · Relationship</t>
  </si>
  <si>
    <t xml:space="preserve">Ecosystem-derived: licensees of adjacent portfolios, cross-package adjacency, expiring cross-licences, JV partners, prosecution-counsel channel.</t>
  </si>
  <si>
    <t xml:space="preserve">G · Self-generated</t>
  </si>
  <si>
    <t xml:space="preserve">Your listing as sensor: marketplace analytics, strategic teaser placement, citation-alert subscriptions.</t>
  </si>
  <si>
    <t xml:space="preserve">BUY-LIKELIHOOD FACTORS (0–5 each)</t>
  </si>
  <si>
    <t xml:space="preserve">FTO Exposure</t>
  </si>
  <si>
    <t xml:space="preserve">Do their products read on the assets? (freedom-to-operate risk)</t>
  </si>
  <si>
    <t xml:space="preserve">Litigation Pressure</t>
  </si>
  <si>
    <t xml:space="preserve">Active disputes / NPE campaigns creating counter-assertion need</t>
  </si>
  <si>
    <t xml:space="preserve">Citation Linkage</t>
  </si>
  <si>
    <t xml:space="preserve">Do they cite / are they blocked by the assets</t>
  </si>
  <si>
    <t xml:space="preserve">Strategic Fit</t>
  </si>
  <si>
    <t xml:space="preserve">Domain &amp; roadmap alignment (tag/semantic fit)</t>
  </si>
  <si>
    <t xml:space="preserve">Standards / SEP</t>
  </si>
  <si>
    <t xml:space="preserve">Standards essentiality / FRAND relevance</t>
  </si>
  <si>
    <t xml:space="preserve">Financial Capacity</t>
  </si>
  <si>
    <t xml:space="preserve">Ability to fund the acquisition</t>
  </si>
  <si>
    <t xml:space="preserve">Acquisition Appetite</t>
  </si>
  <si>
    <t xml:space="preserve">History &amp; posture toward buying IP</t>
  </si>
  <si>
    <t xml:space="preserve">Urgency</t>
  </si>
  <si>
    <t xml:space="preserve">Time pressure to act now</t>
  </si>
  <si>
    <t xml:space="preserve">DERIVED SCORES &amp; DECISION LOGIC</t>
  </si>
  <si>
    <t xml:space="preserve">avg(FTO, Litigation, Citation, Urgency) × 20  → quadrant x-axis</t>
  </si>
  <si>
    <t xml:space="preserve">Capacity &amp; Fit</t>
  </si>
  <si>
    <t xml:space="preserve">avg(Fit, Standards, Financial, Appetite) × 20  → quadrant y-axis</t>
  </si>
  <si>
    <t xml:space="preserve">weighted mean × 20 — FTO &amp; Fit ×2, Financial &amp; Urgency ×1.5, others ×1 (0–100)</t>
  </si>
  <si>
    <t xml:space="preserve">Likely ≥ 75 · Possible 55–74 · Unlikely &lt; 55</t>
  </si>
  <si>
    <t xml:space="preserve">◆ flagged when ≥ 2 sourcing channels trip — a priority amplifier</t>
  </si>
  <si>
    <t xml:space="preserve">P1 = composite ≥ 75 AND ≥ 2 signals · P2 = composite ≥ 65 OR (≥ 55 with ≥ 2 signals) · P3 = otherwise</t>
  </si>
  <si>
    <t xml:space="preserve">Expected value</t>
  </si>
  <si>
    <t xml:space="preserve">Composite/100 × package asking ($M) — for EV-ranked pursuit</t>
  </si>
  <si>
    <t xml:space="preserve">DEAL STRUCTURE · TIME-TO-CLOSE (by archetype)</t>
  </si>
  <si>
    <t xml:space="preserve">OC-OFF (offensive op-co)</t>
  </si>
  <si>
    <t xml:space="preserve">Outright or exclusive licence · Medium (3–5 mo) · hook: product-mapping + EoU + royalty base</t>
  </si>
  <si>
    <t xml:space="preserve">OC-DEF (defensive op-co)</t>
  </si>
  <si>
    <t xml:space="preserve">Outright sale (shield) · Long (6–9 mo) · hook: counter-assertion/FTO, clean title, quiet sale notice</t>
  </si>
  <si>
    <t xml:space="preserve">OC-EXP (expansion)</t>
  </si>
  <si>
    <t xml:space="preserve">Outright or field-of-use · Medium–Long · hook: market-entry blocking + convergence</t>
  </si>
  <si>
    <t xml:space="preserve">Outright sale · Medium · hook: citation strength, adjacent re-read, resale optionality / IRR</t>
  </si>
  <si>
    <t xml:space="preserve">Non-exclusive / FRAND licence · Long · hook: SEP essentiality + FRAND leverage</t>
  </si>
  <si>
    <t xml:space="preserve">Outright volume lot, fixed price · Short (1–3 mo) · hook: volume/price, clean title, catch-and-release</t>
  </si>
  <si>
    <t xml:space="preserve">RISK FLAGS &amp; PIPELINE</t>
  </si>
  <si>
    <t xml:space="preserve">Severity / Design-around / DJ risk</t>
  </si>
  <si>
    <t xml:space="preserve">H / M / L — high is worse. DJ risk = declaratory-judgment exposure from outreach; approach as a sale notice, never an infringement threat.</t>
  </si>
  <si>
    <t xml:space="preserve">Not started → Contacted → NDA → Diligence → Offer → Closed / Passed</t>
  </si>
  <si>
    <t xml:space="preserve">All sample companies are fictional and illustrative. Replace rows on the Master Targeting Table; every formula recomputes.</t>
  </si>
  <si>
    <t xml:space="preserve">DATA LINEAGE — how each score is derived</t>
  </si>
  <si>
    <t xml:space="preserve">This table is populated by score_buyers.py from the classification/graph engine + signal feeds. Tiers: T1 verifiable fact · T2 derived from patent data · T3 diligence-grade (manual) · T4 market context. Edit buyer_scores.csv (or cells) to override; formulas recompute.</t>
  </si>
  <si>
    <t xml:space="preserve">Field</t>
  </si>
  <si>
    <t xml:space="preserve">Tier</t>
  </si>
  <si>
    <t xml:space="preserve">Source / method</t>
  </si>
  <si>
    <t xml:space="preserve">Mode</t>
  </si>
  <si>
    <t xml:space="preserve">T2</t>
  </si>
  <si>
    <t xml:space="preserve">Tag engine — IDF-weighted tag overlap (tagsim)</t>
  </si>
  <si>
    <t xml:space="preserve">derived</t>
  </si>
  <si>
    <t xml:space="preserve">Semantic fit (col)</t>
  </si>
  <si>
    <t xml:space="preserve">Tag engine — IDF overlap 0–100</t>
  </si>
  <si>
    <t xml:space="preserve">Citation graph (tag_graph) — buyer→asset citations</t>
  </si>
  <si>
    <t xml:space="preserve">T2 → T3</t>
  </si>
  <si>
    <t xml:space="preserve">Product/domain tag overlap = proxy; EoU claim-read to confirm</t>
  </si>
  <si>
    <t xml:space="preserve">proxy</t>
  </si>
  <si>
    <t xml:space="preserve">T1</t>
  </si>
  <si>
    <t xml:space="preserve">Assignment-recordation feed — prior buys</t>
  </si>
  <si>
    <t xml:space="preserve">derived (feed)</t>
  </si>
  <si>
    <t xml:space="preserve">Litigation feed — active suits in domain</t>
  </si>
  <si>
    <t xml:space="preserve">T1/T2</t>
  </si>
  <si>
    <t xml:space="preserve">Package STD tags × standards-contribution feed</t>
  </si>
  <si>
    <t xml:space="preserve">T4</t>
  </si>
  <si>
    <t xml:space="preserve">Revenue / capital band (funds on AUM proxy)</t>
  </si>
  <si>
    <t xml:space="preserve">Blend: litigation + product-launch + remaining-term</t>
  </si>
  <si>
    <t xml:space="preserve">blend</t>
  </si>
  <si>
    <t xml:space="preserve">Engine-derived (T2): Strategic Fit, Semantic fit, Citation Linkage, FTO proxy.  Feed-derived (T1/T4): Litigation, Appetite, Standards, Financial.  Manual (T3): FTO/EoU confirmation, deal nuance, pipeline.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</si>
</sst>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8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44546A"/>
      </patternFill>
    </fill>
    <fill>
      <patternFill patternType="solid">
        <fgColor rgb="FF005B7F"/>
        <bgColor rgb="FF008080"/>
      </patternFill>
    </fill>
    <fill>
      <patternFill patternType="solid">
        <fgColor rgb="FF44546A"/>
        <bgColor rgb="FF595959"/>
      </patternFill>
    </fill>
    <fill>
      <patternFill patternType="solid">
        <fgColor rgb="FF5B2C83"/>
        <bgColor rgb="FF44546A"/>
      </patternFill>
    </fill>
    <fill>
      <patternFill patternType="solid">
        <fgColor rgb="FF2E75B6"/>
        <bgColor rgb="FF008080"/>
      </patternFill>
    </fill>
    <fill>
      <patternFill patternType="solid">
        <fgColor rgb="FF2E7D32"/>
        <bgColor rgb="FF008000"/>
      </patternFill>
    </fill>
    <fill>
      <patternFill patternType="solid">
        <fgColor rgb="FFC62828"/>
        <bgColor rgb="FF993366"/>
      </patternFill>
    </fill>
    <fill>
      <patternFill patternType="solid">
        <fgColor rgb="FFB8860B"/>
        <bgColor rgb="FFE6950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4">
    <dxf>
      <fill>
        <patternFill patternType="solid">
          <fgColor rgb="FF2E7D32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E695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7DC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4E8AC1"/>
          <bgColor rgb="FF000000"/>
        </patternFill>
      </fill>
    </dxf>
    <dxf>
      <fill>
        <patternFill patternType="solid">
          <fgColor rgb="FF5891C5"/>
          <bgColor rgb="FF000000"/>
        </patternFill>
      </fill>
    </dxf>
    <dxf>
      <fill>
        <patternFill patternType="solid">
          <fgColor rgb="FF82ADD4"/>
          <bgColor rgb="FF000000"/>
        </patternFill>
      </fill>
    </dxf>
    <dxf>
      <fill>
        <patternFill patternType="solid">
          <fgColor rgb="FF8DB4D7"/>
          <bgColor rgb="FF000000"/>
        </patternFill>
      </fill>
    </dxf>
    <dxf>
      <fill>
        <patternFill patternType="solid">
          <fgColor rgb="FF97BADB"/>
          <bgColor rgb="FF000000"/>
        </patternFill>
      </fill>
    </dxf>
    <dxf>
      <fill>
        <patternFill patternType="solid">
          <fgColor rgb="FFA1C1DF"/>
          <bgColor rgb="FF000000"/>
        </patternFill>
      </fill>
    </dxf>
    <dxf>
      <fill>
        <patternFill patternType="solid">
          <fgColor rgb="FFACC8E2"/>
          <bgColor rgb="FF000000"/>
        </patternFill>
      </fill>
    </dxf>
    <dxf>
      <fill>
        <patternFill patternType="solid">
          <fgColor rgb="FFC1D6EA"/>
          <bgColor rgb="FF000000"/>
        </patternFill>
      </fill>
    </dxf>
    <dxf>
      <fill>
        <patternFill patternType="solid">
          <fgColor rgb="FFCBDDED"/>
          <bgColor rgb="FF000000"/>
        </patternFill>
      </fill>
    </dxf>
    <dxf>
      <fill>
        <patternFill patternType="solid">
          <fgColor rgb="FFEBF2F8"/>
          <bgColor rgb="FF000000"/>
        </patternFill>
      </fill>
    </dxf>
    <dxf>
      <fill>
        <patternFill patternType="solid">
          <fgColor rgb="FF6D9FCC"/>
          <bgColor rgb="FF000000"/>
        </patternFill>
      </fill>
    </dxf>
    <dxf>
      <fill>
        <patternFill patternType="solid">
          <fgColor rgb="FF78A6D0"/>
          <bgColor rgb="FF000000"/>
        </patternFill>
      </fill>
    </dxf>
    <dxf>
      <fill>
        <patternFill patternType="solid">
          <fgColor rgb="FFB6CFE6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75C68A"/>
          <bgColor rgb="FF000000"/>
        </patternFill>
      </fill>
    </dxf>
    <dxf>
      <fill>
        <patternFill patternType="solid">
          <fgColor rgb="FF7CC991"/>
          <bgColor rgb="FF000000"/>
        </patternFill>
      </fill>
    </dxf>
    <dxf>
      <fill>
        <patternFill patternType="solid">
          <fgColor rgb="FF84CC97"/>
          <bgColor rgb="FF000000"/>
        </patternFill>
      </fill>
    </dxf>
    <dxf>
      <fill>
        <patternFill patternType="solid">
          <fgColor rgb="FF86CD99"/>
          <bgColor rgb="FF000000"/>
        </patternFill>
      </fill>
    </dxf>
    <dxf>
      <fill>
        <patternFill patternType="solid">
          <fgColor rgb="FF9FD7AE"/>
          <bgColor rgb="FF000000"/>
        </patternFill>
      </fill>
    </dxf>
    <dxf>
      <fill>
        <patternFill patternType="solid">
          <fgColor rgb="FFA8DBB6"/>
          <bgColor rgb="FF000000"/>
        </patternFill>
      </fill>
    </dxf>
    <dxf>
      <fill>
        <patternFill patternType="solid">
          <fgColor rgb="FFAEDEBB"/>
          <bgColor rgb="FF000000"/>
        </patternFill>
      </fill>
    </dxf>
    <dxf>
      <fill>
        <patternFill patternType="solid">
          <fgColor rgb="FFB1DFBD"/>
          <bgColor rgb="FF000000"/>
        </patternFill>
      </fill>
    </dxf>
    <dxf>
      <fill>
        <patternFill patternType="solid">
          <fgColor rgb="FFDFF2E4"/>
          <bgColor rgb="FF000000"/>
        </patternFill>
      </fill>
    </dxf>
    <dxf>
      <fill>
        <patternFill patternType="solid">
          <fgColor rgb="FFE8F6EC"/>
          <bgColor rgb="FF000000"/>
        </patternFill>
      </fill>
    </dxf>
    <dxf>
      <fill>
        <patternFill patternType="solid">
          <fgColor rgb="FFEDF8F0"/>
          <bgColor rgb="FF000000"/>
        </patternFill>
      </fill>
    </dxf>
    <dxf>
      <fill>
        <patternFill patternType="solid">
          <fgColor rgb="FFF6FCF8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9FDFA"/>
          <bgColor rgb="FF000000"/>
        </patternFill>
      </fill>
    </dxf>
    <dxf>
      <font>
        <name val="Arial"/>
        <charset val="1"/>
        <family val="0"/>
        <b val="1"/>
        <color rgb="FF2E7D32"/>
        <sz val="8"/>
      </font>
      <fill>
        <patternFill>
          <bgColor rgb="FFE8F5E9"/>
        </patternFill>
      </fill>
    </dxf>
    <dxf>
      <font>
        <name val="Arial"/>
        <charset val="1"/>
        <family val="0"/>
        <b val="1"/>
        <color rgb="FFE69500"/>
        <sz val="8"/>
      </font>
      <fill>
        <patternFill>
          <bgColor rgb="FFFFF3E0"/>
        </patternFill>
      </fill>
    </dxf>
    <dxf>
      <font>
        <name val="Arial"/>
        <charset val="1"/>
        <family val="0"/>
        <b val="1"/>
        <color rgb="FFC62828"/>
        <sz val="8"/>
      </font>
      <fill>
        <patternFill>
          <bgColor rgb="FFFDECEA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2E7D32"/>
        </patternFill>
      </fill>
    </dxf>
    <dxf>
      <font>
        <name val="Arial"/>
        <charset val="1"/>
        <family val="0"/>
        <b val="1"/>
        <color rgb="FFE69500"/>
        <sz val="9"/>
      </font>
      <fill>
        <patternFill>
          <bgColor rgb="FFFFF3E0"/>
        </patternFill>
      </fill>
    </dxf>
    <dxf>
      <font>
        <name val="Arial"/>
        <charset val="1"/>
        <family val="0"/>
        <b val="1"/>
        <color rgb="FF595959"/>
        <sz val="9"/>
      </font>
      <fill>
        <patternFill>
          <bgColor rgb="FFF5F5F5"/>
        </patternFill>
      </fill>
    </dxf>
    <dxf>
      <font>
        <name val="Arial"/>
        <charset val="1"/>
        <family val="0"/>
        <b val="1"/>
        <color rgb="FFB8860B"/>
        <sz val="8"/>
      </font>
      <fill>
        <patternFill>
          <bgColor rgb="FFFFF7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7DC"/>
      <rgbColor rgb="FFE8F5E9"/>
      <rgbColor rgb="FF660066"/>
      <rgbColor rgb="FFFF8080"/>
      <rgbColor rgb="FF005B7F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DECEA"/>
      <rgbColor rgb="FFFFF3E0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E69500"/>
      <rgbColor rgb="FFFF6600"/>
      <rgbColor rgb="FF595959"/>
      <rgbColor rgb="FF969696"/>
      <rgbColor rgb="FF1F3864"/>
      <rgbColor rgb="FF2E7D32"/>
      <rgbColor rgb="FF003300"/>
      <rgbColor rgb="FF44546A"/>
      <rgbColor rgb="FFC62828"/>
      <rgbColor rgb="FF993366"/>
      <rgbColor rgb="FF5B2C83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asterTargeting" displayName="MasterTargeting" ref="A4:BA20" headerRowCount="1" totalsRowCount="0" totalsRowShown="0">
  <autoFilter ref="A4:BA20"/>
  <tableColumns count="53">
    <tableColumn id="1" name="Priority"/>
    <tableColumn id="2" name="Buyer"/>
    <tableColumn id="3" name="Package"/>
    <tableColumn id="4" name="Pkg domain"/>
    <tableColumn id="5" name="# Assets"/>
    <tableColumn id="6" name="Anchor asset"/>
    <tableColumn id="7" name="Asking ($M)"/>
    <tableColumn id="8" name="EoU"/>
    <tableColumn id="9" name="SEP / std"/>
    <tableColumn id="10" name="Title"/>
    <tableColumn id="11" name="Archetype"/>
    <tableColumn id="12" name="Sector"/>
    <tableColumn id="13" name="HQ"/>
    <tableColumn id="14" name="Rev ($M)"/>
    <tableColumn id="15" name="IP (#)"/>
    <tableColumn id="16" name="Prior buyer"/>
    <tableColumn id="17" name="Sourcing channel"/>
    <tableColumn id="18" name="Signal category"/>
    <tableColumn id="19" name="# Signals"/>
    <tableColumn id="20" name="Multi-signal"/>
    <tableColumn id="21" name="Trigger event"/>
    <tableColumn id="22" name="Evidence source"/>
    <tableColumn id="23" name="Recency"/>
    <tableColumn id="24" name="FTO"/>
    <tableColumn id="25" name="Litig."/>
    <tableColumn id="26" name="Cite"/>
    <tableColumn id="27" name="Fit"/>
    <tableColumn id="28" name="Std"/>
    <tableColumn id="29" name="Fin"/>
    <tableColumn id="30" name="Appe"/>
    <tableColumn id="31" name="Urg"/>
    <tableColumn id="32" name="Motivation"/>
    <tableColumn id="33" name="Capacity"/>
    <tableColumn id="34" name="Composite"/>
    <tableColumn id="35" name="Verdict"/>
    <tableColumn id="36" name="Exp. value ($M)"/>
    <tableColumn id="37" name="Key headwind"/>
    <tableColumn id="38" name="Severity"/>
    <tableColumn id="39" name="Design-around"/>
    <tableColumn id="40" name="DJ/approach risk"/>
    <tableColumn id="41" name="Bundle match"/>
    <tableColumn id="42" name="Semantic fit"/>
    <tableColumn id="43" name="Products that read"/>
    <tableColumn id="44" name="Deal structure"/>
    <tableColumn id="45" name="Time-to-close"/>
    <tableColumn id="46" name="Recommended hook"/>
    <tableColumn id="47" name="Outreach channel"/>
    <tableColumn id="48" name="Target contact"/>
    <tableColumn id="49" name="Stage"/>
    <tableColumn id="50" name="Owner"/>
    <tableColumn id="51" name="Next action"/>
    <tableColumn id="52" name="Next date"/>
    <tableColumn id="53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6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7"/>
    <col collapsed="false" customWidth="true" hidden="false" outlineLevel="0" max="17" min="17" style="0" width="26"/>
    <col collapsed="false" customWidth="true" hidden="false" outlineLevel="0" max="18" min="18" style="0" width="18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38"/>
    <col collapsed="false" customWidth="true" hidden="false" outlineLevel="0" max="22" min="22" style="0" width="20"/>
    <col collapsed="false" customWidth="true" hidden="false" outlineLevel="0" max="23" min="23" style="0" width="9"/>
    <col collapsed="false" customWidth="true" hidden="false" outlineLevel="1" max="31" min="24" style="0" width="6"/>
    <col collapsed="false" customWidth="true" hidden="false" outlineLevel="1" max="33" min="32" style="0" width="10"/>
    <col collapsed="false" customWidth="true" hidden="false" outlineLevel="0" max="35" min="34" style="0" width="10"/>
    <col collapsed="false" customWidth="true" hidden="false" outlineLevel="0" max="36" min="36" style="0" width="11"/>
    <col collapsed="false" customWidth="true" hidden="false" outlineLevel="1" max="37" min="37" style="0" width="30"/>
    <col collapsed="false" customWidth="true" hidden="false" outlineLevel="1" max="38" min="38" style="0" width="8"/>
    <col collapsed="false" customWidth="true" hidden="false" outlineLevel="1" max="40" min="39" style="0" width="9"/>
    <col collapsed="false" customWidth="true" hidden="false" outlineLevel="0" max="41" min="41" style="0" width="34"/>
    <col collapsed="false" customWidth="true" hidden="false" outlineLevel="0" max="42" min="42" style="0" width="9"/>
    <col collapsed="false" customWidth="true" hidden="false" outlineLevel="0" max="43" min="43" style="0" width="22"/>
    <col collapsed="false" customWidth="true" hidden="false" outlineLevel="1" max="44" min="44" style="0" width="26"/>
    <col collapsed="false" customWidth="true" hidden="false" outlineLevel="1" max="45" min="45" style="0" width="16"/>
    <col collapsed="false" customWidth="true" hidden="false" outlineLevel="1" max="46" min="46" style="0" width="46"/>
    <col collapsed="false" customWidth="true" hidden="false" outlineLevel="1" max="47" min="47" style="0" width="28"/>
    <col collapsed="false" customWidth="true" hidden="false" outlineLevel="1" max="48" min="48" style="0" width="20"/>
    <col collapsed="false" customWidth="true" hidden="false" outlineLevel="1" max="49" min="49" style="0" width="12"/>
    <col collapsed="false" customWidth="true" hidden="false" outlineLevel="1" max="50" min="50" style="0" width="8"/>
    <col collapsed="false" customWidth="true" hidden="false" outlineLevel="1" max="51" min="51" style="0" width="26"/>
    <col collapsed="false" customWidth="true" hidden="false" outlineLevel="1" max="52" min="52" style="0" width="11"/>
    <col collapsed="false" customWidth="true" hidden="false" outlineLevel="1" max="53" min="53" style="0" width="3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customFormat="false" ht="18" hidden="false" customHeight="true" outlineLevel="0" collapsed="false">
      <c r="A3" s="3" t="s">
        <v>2</v>
      </c>
      <c r="B3" s="3"/>
      <c r="C3" s="3"/>
      <c r="D3" s="4" t="s">
        <v>3</v>
      </c>
      <c r="E3" s="4"/>
      <c r="F3" s="4"/>
      <c r="G3" s="4"/>
      <c r="H3" s="4"/>
      <c r="I3" s="4"/>
      <c r="J3" s="4"/>
      <c r="K3" s="5" t="s">
        <v>4</v>
      </c>
      <c r="L3" s="5"/>
      <c r="M3" s="5"/>
      <c r="N3" s="5"/>
      <c r="O3" s="5"/>
      <c r="P3" s="5"/>
      <c r="Q3" s="6" t="s">
        <v>5</v>
      </c>
      <c r="R3" s="6"/>
      <c r="S3" s="6"/>
      <c r="T3" s="6"/>
      <c r="U3" s="6"/>
      <c r="V3" s="6"/>
      <c r="W3" s="6"/>
      <c r="X3" s="7" t="s">
        <v>6</v>
      </c>
      <c r="Y3" s="7"/>
      <c r="Z3" s="7"/>
      <c r="AA3" s="7"/>
      <c r="AB3" s="7"/>
      <c r="AC3" s="7"/>
      <c r="AD3" s="7"/>
      <c r="AE3" s="7"/>
      <c r="AF3" s="7"/>
      <c r="AG3" s="7"/>
      <c r="AH3" s="8" t="s">
        <v>7</v>
      </c>
      <c r="AI3" s="8"/>
      <c r="AJ3" s="8"/>
      <c r="AK3" s="9" t="s">
        <v>8</v>
      </c>
      <c r="AL3" s="9"/>
      <c r="AM3" s="9"/>
      <c r="AN3" s="9"/>
      <c r="AO3" s="10" t="s">
        <v>9</v>
      </c>
      <c r="AP3" s="10"/>
      <c r="AQ3" s="10"/>
      <c r="AR3" s="5" t="s">
        <v>10</v>
      </c>
      <c r="AS3" s="5"/>
      <c r="AT3" s="5"/>
      <c r="AU3" s="5"/>
      <c r="AV3" s="5"/>
      <c r="AW3" s="4" t="s">
        <v>11</v>
      </c>
      <c r="AX3" s="4"/>
      <c r="AY3" s="4"/>
      <c r="AZ3" s="4"/>
      <c r="BA3" s="4"/>
    </row>
    <row r="4" customFormat="false" ht="39.75" hidden="false" customHeight="true" outlineLevel="0" collapsed="false">
      <c r="A4" s="11" t="s">
        <v>12</v>
      </c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  <c r="O4" s="11" t="s">
        <v>26</v>
      </c>
      <c r="P4" s="11" t="s">
        <v>27</v>
      </c>
      <c r="Q4" s="11" t="s">
        <v>28</v>
      </c>
      <c r="R4" s="11" t="s">
        <v>29</v>
      </c>
      <c r="S4" s="11" t="s">
        <v>30</v>
      </c>
      <c r="T4" s="11" t="s">
        <v>31</v>
      </c>
      <c r="U4" s="11" t="s">
        <v>32</v>
      </c>
      <c r="V4" s="11" t="s">
        <v>33</v>
      </c>
      <c r="W4" s="11" t="s">
        <v>34</v>
      </c>
      <c r="X4" s="11" t="s">
        <v>35</v>
      </c>
      <c r="Y4" s="11" t="s">
        <v>36</v>
      </c>
      <c r="Z4" s="11" t="s">
        <v>37</v>
      </c>
      <c r="AA4" s="11" t="s">
        <v>38</v>
      </c>
      <c r="AB4" s="11" t="s">
        <v>39</v>
      </c>
      <c r="AC4" s="11" t="s">
        <v>40</v>
      </c>
      <c r="AD4" s="11" t="s">
        <v>41</v>
      </c>
      <c r="AE4" s="11" t="s">
        <v>42</v>
      </c>
      <c r="AF4" s="11" t="s">
        <v>43</v>
      </c>
      <c r="AG4" s="11" t="s">
        <v>44</v>
      </c>
      <c r="AH4" s="11" t="s">
        <v>45</v>
      </c>
      <c r="AI4" s="11" t="s">
        <v>46</v>
      </c>
      <c r="AJ4" s="11" t="s">
        <v>47</v>
      </c>
      <c r="AK4" s="11" t="s">
        <v>48</v>
      </c>
      <c r="AL4" s="11" t="s">
        <v>49</v>
      </c>
      <c r="AM4" s="11" t="s">
        <v>50</v>
      </c>
      <c r="AN4" s="11" t="s">
        <v>51</v>
      </c>
      <c r="AO4" s="11" t="s">
        <v>52</v>
      </c>
      <c r="AP4" s="11" t="s">
        <v>53</v>
      </c>
      <c r="AQ4" s="11" t="s">
        <v>54</v>
      </c>
      <c r="AR4" s="11" t="s">
        <v>55</v>
      </c>
      <c r="AS4" s="11" t="s">
        <v>56</v>
      </c>
      <c r="AT4" s="11" t="s">
        <v>57</v>
      </c>
      <c r="AU4" s="11" t="s">
        <v>58</v>
      </c>
      <c r="AV4" s="11" t="s">
        <v>59</v>
      </c>
      <c r="AW4" s="11" t="s">
        <v>60</v>
      </c>
      <c r="AX4" s="11" t="s">
        <v>61</v>
      </c>
      <c r="AY4" s="11" t="s">
        <v>62</v>
      </c>
      <c r="AZ4" s="11" t="s">
        <v>63</v>
      </c>
      <c r="BA4" s="11" t="s">
        <v>64</v>
      </c>
    </row>
    <row r="5" customFormat="false" ht="19.4" hidden="false" customHeight="false" outlineLevel="0" collapsed="false">
      <c r="A5" s="12" t="str">
        <f aca="false">IF(OR(AND(AH5&gt;=75,S5&gt;=2),AND(AH5&gt;=65,S5&gt;=3)),"P1",IF(OR(AH5&gt;=60,AND(AH5&gt;=55,S5&gt;=2)),"P2","P3"))</f>
        <v>P1</v>
      </c>
      <c r="B5" s="13" t="s">
        <v>65</v>
      </c>
      <c r="C5" s="14" t="s">
        <v>66</v>
      </c>
      <c r="D5" s="15" t="s">
        <v>67</v>
      </c>
      <c r="E5" s="14" t="n">
        <v>3</v>
      </c>
      <c r="F5" s="15" t="s">
        <v>68</v>
      </c>
      <c r="G5" s="16" t="n">
        <v>4.5</v>
      </c>
      <c r="H5" s="15" t="s">
        <v>69</v>
      </c>
      <c r="I5" s="15" t="s">
        <v>70</v>
      </c>
      <c r="J5" s="15" t="s">
        <v>71</v>
      </c>
      <c r="K5" s="14" t="s">
        <v>72</v>
      </c>
      <c r="L5" s="15" t="s">
        <v>73</v>
      </c>
      <c r="M5" s="14" t="s">
        <v>74</v>
      </c>
      <c r="N5" s="17" t="n">
        <v>5400</v>
      </c>
      <c r="O5" s="17" t="n">
        <v>800</v>
      </c>
      <c r="P5" s="14" t="s">
        <v>75</v>
      </c>
      <c r="Q5" s="15" t="s">
        <v>76</v>
      </c>
      <c r="R5" s="15" t="s">
        <v>77</v>
      </c>
      <c r="S5" s="14" t="n">
        <v>3</v>
      </c>
      <c r="T5" s="14" t="str">
        <f aca="false">IF(S5&gt;=2,"◆ Multi","Single")</f>
        <v>◆ Multi</v>
      </c>
      <c r="U5" s="15" t="s">
        <v>78</v>
      </c>
      <c r="V5" s="15" t="s">
        <v>79</v>
      </c>
      <c r="W5" s="14" t="s">
        <v>80</v>
      </c>
      <c r="X5" s="14" t="n">
        <v>3</v>
      </c>
      <c r="Y5" s="14" t="n">
        <v>0</v>
      </c>
      <c r="Z5" s="14" t="n">
        <v>4</v>
      </c>
      <c r="AA5" s="14" t="n">
        <v>5</v>
      </c>
      <c r="AB5" s="14" t="n">
        <v>5</v>
      </c>
      <c r="AC5" s="14" t="n">
        <v>4</v>
      </c>
      <c r="AD5" s="14" t="n">
        <v>3</v>
      </c>
      <c r="AE5" s="14" t="n">
        <v>4</v>
      </c>
      <c r="AF5" s="18" t="n">
        <f aca="false">ROUND(AVERAGE(X5,Y5,Z5,AE5)*20,0)</f>
        <v>55</v>
      </c>
      <c r="AG5" s="18" t="n">
        <f aca="false">ROUND(AVERAGE(AA5,AB5,AC5,AD5)*20,0)</f>
        <v>85</v>
      </c>
      <c r="AH5" s="19" t="n">
        <f aca="false">ROUND(SUMPRODUCT({2,1,1,2,1,1.5,1,1.5},X5:AE5)/11*20,0)</f>
        <v>73</v>
      </c>
      <c r="AI5" s="14" t="str">
        <f aca="false">IF(AH5&gt;=75,"Likely",IF(AH5&gt;=55,"Possible","Unlikely"))</f>
        <v>Possible</v>
      </c>
      <c r="AJ5" s="16" t="n">
        <f aca="false">ROUND(AH5/100*G5,1)</f>
        <v>3.3</v>
      </c>
      <c r="AK5" s="15" t="s">
        <v>81</v>
      </c>
      <c r="AL5" s="14" t="s">
        <v>82</v>
      </c>
      <c r="AM5" s="14" t="s">
        <v>83</v>
      </c>
      <c r="AN5" s="14" t="s">
        <v>84</v>
      </c>
      <c r="AO5" s="15" t="s">
        <v>85</v>
      </c>
      <c r="AP5" s="14" t="n">
        <v>89</v>
      </c>
      <c r="AQ5" s="15" t="s">
        <v>86</v>
      </c>
      <c r="AR5" s="15" t="s">
        <v>87</v>
      </c>
      <c r="AS5" s="15" t="s">
        <v>88</v>
      </c>
      <c r="AT5" s="15" t="s">
        <v>89</v>
      </c>
      <c r="AU5" s="15" t="s">
        <v>90</v>
      </c>
      <c r="AV5" s="15" t="s">
        <v>91</v>
      </c>
      <c r="AW5" s="14" t="s">
        <v>92</v>
      </c>
      <c r="AX5" s="14" t="s">
        <v>93</v>
      </c>
      <c r="AY5" s="15" t="s">
        <v>94</v>
      </c>
      <c r="AZ5" s="14"/>
      <c r="BA5" s="15" t="s">
        <v>95</v>
      </c>
    </row>
    <row r="6" customFormat="false" ht="19.4" hidden="false" customHeight="false" outlineLevel="0" collapsed="false">
      <c r="A6" s="12" t="str">
        <f aca="false">IF(OR(AND(AH6&gt;=75,S6&gt;=2),AND(AH6&gt;=65,S6&gt;=3)),"P1",IF(OR(AH6&gt;=60,AND(AH6&gt;=55,S6&gt;=2)),"P2","P3"))</f>
        <v>P1</v>
      </c>
      <c r="B6" s="13" t="s">
        <v>96</v>
      </c>
      <c r="C6" s="14" t="s">
        <v>97</v>
      </c>
      <c r="D6" s="15" t="s">
        <v>98</v>
      </c>
      <c r="E6" s="14" t="n">
        <v>3</v>
      </c>
      <c r="F6" s="15" t="s">
        <v>99</v>
      </c>
      <c r="G6" s="16" t="n">
        <v>2.2</v>
      </c>
      <c r="H6" s="15" t="s">
        <v>100</v>
      </c>
      <c r="I6" s="15" t="s">
        <v>101</v>
      </c>
      <c r="J6" s="15" t="s">
        <v>71</v>
      </c>
      <c r="K6" s="14" t="s">
        <v>72</v>
      </c>
      <c r="L6" s="15" t="s">
        <v>102</v>
      </c>
      <c r="M6" s="14" t="s">
        <v>103</v>
      </c>
      <c r="N6" s="17" t="n">
        <v>1800</v>
      </c>
      <c r="O6" s="17" t="n">
        <v>250</v>
      </c>
      <c r="P6" s="14" t="s">
        <v>75</v>
      </c>
      <c r="Q6" s="15" t="s">
        <v>104</v>
      </c>
      <c r="R6" s="15" t="s">
        <v>105</v>
      </c>
      <c r="S6" s="14" t="n">
        <v>5</v>
      </c>
      <c r="T6" s="14" t="str">
        <f aca="false">IF(S6&gt;=2,"◆ Multi","Single")</f>
        <v>◆ Multi</v>
      </c>
      <c r="U6" s="15" t="s">
        <v>106</v>
      </c>
      <c r="V6" s="15" t="s">
        <v>107</v>
      </c>
      <c r="W6" s="14" t="s">
        <v>80</v>
      </c>
      <c r="X6" s="14" t="n">
        <v>4</v>
      </c>
      <c r="Y6" s="14" t="n">
        <v>4</v>
      </c>
      <c r="Z6" s="14" t="n">
        <v>4</v>
      </c>
      <c r="AA6" s="14" t="n">
        <v>5</v>
      </c>
      <c r="AB6" s="14" t="n">
        <v>1</v>
      </c>
      <c r="AC6" s="14" t="n">
        <v>2</v>
      </c>
      <c r="AD6" s="14" t="n">
        <v>3</v>
      </c>
      <c r="AE6" s="14" t="n">
        <v>4</v>
      </c>
      <c r="AF6" s="18" t="n">
        <f aca="false">ROUND(AVERAGE(X6,Y6,Z6,AE6)*20,0)</f>
        <v>80</v>
      </c>
      <c r="AG6" s="18" t="n">
        <f aca="false">ROUND(AVERAGE(AA6,AB6,AC6,AD6)*20,0)</f>
        <v>55</v>
      </c>
      <c r="AH6" s="19" t="n">
        <f aca="false">ROUND(SUMPRODUCT({2,1,1,2,1,1.5,1,1.5},X6:AE6)/11*20,0)</f>
        <v>71</v>
      </c>
      <c r="AI6" s="14" t="str">
        <f aca="false">IF(AH6&gt;=75,"Likely",IF(AH6&gt;=55,"Possible","Unlikely"))</f>
        <v>Possible</v>
      </c>
      <c r="AJ6" s="16" t="n">
        <f aca="false">ROUND(AH6/100*G6,1)</f>
        <v>1.6</v>
      </c>
      <c r="AK6" s="15" t="s">
        <v>108</v>
      </c>
      <c r="AL6" s="14" t="s">
        <v>82</v>
      </c>
      <c r="AM6" s="14" t="s">
        <v>83</v>
      </c>
      <c r="AN6" s="14" t="s">
        <v>83</v>
      </c>
      <c r="AO6" s="15" t="s">
        <v>85</v>
      </c>
      <c r="AP6" s="14" t="n">
        <v>79</v>
      </c>
      <c r="AQ6" s="15" t="s">
        <v>109</v>
      </c>
      <c r="AR6" s="15" t="s">
        <v>87</v>
      </c>
      <c r="AS6" s="15" t="s">
        <v>88</v>
      </c>
      <c r="AT6" s="15" t="s">
        <v>89</v>
      </c>
      <c r="AU6" s="15" t="s">
        <v>90</v>
      </c>
      <c r="AV6" s="15" t="s">
        <v>91</v>
      </c>
      <c r="AW6" s="14" t="s">
        <v>92</v>
      </c>
      <c r="AX6" s="14" t="s">
        <v>93</v>
      </c>
      <c r="AY6" s="15" t="s">
        <v>94</v>
      </c>
      <c r="AZ6" s="14"/>
      <c r="BA6" s="15" t="s">
        <v>110</v>
      </c>
    </row>
    <row r="7" customFormat="false" ht="19.4" hidden="false" customHeight="false" outlineLevel="0" collapsed="false">
      <c r="A7" s="12" t="str">
        <f aca="false">IF(OR(AND(AH7&gt;=75,S7&gt;=2),AND(AH7&gt;=65,S7&gt;=3)),"P1",IF(OR(AH7&gt;=60,AND(AH7&gt;=55,S7&gt;=2)),"P2","P3"))</f>
        <v>P1</v>
      </c>
      <c r="B7" s="13" t="s">
        <v>111</v>
      </c>
      <c r="C7" s="14" t="s">
        <v>112</v>
      </c>
      <c r="D7" s="15" t="s">
        <v>113</v>
      </c>
      <c r="E7" s="14" t="n">
        <v>2</v>
      </c>
      <c r="F7" s="15" t="s">
        <v>114</v>
      </c>
      <c r="G7" s="16" t="n">
        <v>6</v>
      </c>
      <c r="H7" s="15" t="s">
        <v>115</v>
      </c>
      <c r="I7" s="15" t="s">
        <v>101</v>
      </c>
      <c r="J7" s="15" t="s">
        <v>71</v>
      </c>
      <c r="K7" s="14" t="s">
        <v>72</v>
      </c>
      <c r="L7" s="15" t="s">
        <v>116</v>
      </c>
      <c r="M7" s="14" t="s">
        <v>74</v>
      </c>
      <c r="N7" s="17" t="n">
        <v>9500</v>
      </c>
      <c r="O7" s="17" t="n">
        <v>1500</v>
      </c>
      <c r="P7" s="14" t="s">
        <v>75</v>
      </c>
      <c r="Q7" s="15" t="s">
        <v>76</v>
      </c>
      <c r="R7" s="15" t="s">
        <v>77</v>
      </c>
      <c r="S7" s="14" t="n">
        <v>3</v>
      </c>
      <c r="T7" s="14" t="str">
        <f aca="false">IF(S7&gt;=2,"◆ Multi","Single")</f>
        <v>◆ Multi</v>
      </c>
      <c r="U7" s="15" t="s">
        <v>117</v>
      </c>
      <c r="V7" s="15" t="s">
        <v>79</v>
      </c>
      <c r="W7" s="14" t="s">
        <v>80</v>
      </c>
      <c r="X7" s="14" t="n">
        <v>4</v>
      </c>
      <c r="Y7" s="14" t="n">
        <v>0</v>
      </c>
      <c r="Z7" s="14" t="n">
        <v>4</v>
      </c>
      <c r="AA7" s="14" t="n">
        <v>5</v>
      </c>
      <c r="AB7" s="14" t="n">
        <v>1</v>
      </c>
      <c r="AC7" s="14" t="n">
        <v>4</v>
      </c>
      <c r="AD7" s="14" t="n">
        <v>3</v>
      </c>
      <c r="AE7" s="14" t="n">
        <v>4</v>
      </c>
      <c r="AF7" s="18" t="n">
        <f aca="false">ROUND(AVERAGE(X7,Y7,Z7,AE7)*20,0)</f>
        <v>60</v>
      </c>
      <c r="AG7" s="18" t="n">
        <f aca="false">ROUND(AVERAGE(AA7,AB7,AC7,AD7)*20,0)</f>
        <v>65</v>
      </c>
      <c r="AH7" s="19" t="n">
        <f aca="false">ROUND(SUMPRODUCT({2,1,1,2,1,1.5,1,1.5},X7:AE7)/11*20,0)</f>
        <v>69</v>
      </c>
      <c r="AI7" s="14" t="str">
        <f aca="false">IF(AH7&gt;=75,"Likely",IF(AH7&gt;=55,"Possible","Unlikely"))</f>
        <v>Possible</v>
      </c>
      <c r="AJ7" s="16" t="n">
        <f aca="false">ROUND(AH7/100*G7,1)</f>
        <v>4.1</v>
      </c>
      <c r="AK7" s="15" t="s">
        <v>81</v>
      </c>
      <c r="AL7" s="14" t="s">
        <v>82</v>
      </c>
      <c r="AM7" s="14" t="s">
        <v>83</v>
      </c>
      <c r="AN7" s="14" t="s">
        <v>84</v>
      </c>
      <c r="AO7" s="15" t="s">
        <v>85</v>
      </c>
      <c r="AP7" s="14" t="n">
        <v>78</v>
      </c>
      <c r="AQ7" s="15" t="s">
        <v>118</v>
      </c>
      <c r="AR7" s="15" t="s">
        <v>87</v>
      </c>
      <c r="AS7" s="15" t="s">
        <v>88</v>
      </c>
      <c r="AT7" s="15" t="s">
        <v>89</v>
      </c>
      <c r="AU7" s="15" t="s">
        <v>90</v>
      </c>
      <c r="AV7" s="15" t="s">
        <v>91</v>
      </c>
      <c r="AW7" s="14" t="s">
        <v>92</v>
      </c>
      <c r="AX7" s="14" t="s">
        <v>93</v>
      </c>
      <c r="AY7" s="15" t="s">
        <v>94</v>
      </c>
      <c r="AZ7" s="14"/>
      <c r="BA7" s="15" t="s">
        <v>119</v>
      </c>
    </row>
    <row r="8" customFormat="false" ht="19.4" hidden="false" customHeight="false" outlineLevel="0" collapsed="false">
      <c r="A8" s="12" t="str">
        <f aca="false">IF(OR(AND(AH8&gt;=75,S8&gt;=2),AND(AH8&gt;=65,S8&gt;=3)),"P1",IF(OR(AH8&gt;=60,AND(AH8&gt;=55,S8&gt;=2)),"P2","P3"))</f>
        <v>P2</v>
      </c>
      <c r="B8" s="13" t="s">
        <v>120</v>
      </c>
      <c r="C8" s="14" t="s">
        <v>97</v>
      </c>
      <c r="D8" s="15" t="s">
        <v>98</v>
      </c>
      <c r="E8" s="14" t="n">
        <v>3</v>
      </c>
      <c r="F8" s="15" t="s">
        <v>99</v>
      </c>
      <c r="G8" s="16" t="n">
        <v>2.2</v>
      </c>
      <c r="H8" s="15" t="s">
        <v>100</v>
      </c>
      <c r="I8" s="15" t="s">
        <v>101</v>
      </c>
      <c r="J8" s="15" t="s">
        <v>71</v>
      </c>
      <c r="K8" s="14" t="s">
        <v>121</v>
      </c>
      <c r="L8" s="15" t="s">
        <v>122</v>
      </c>
      <c r="M8" s="14" t="s">
        <v>103</v>
      </c>
      <c r="N8" s="17" t="n">
        <v>6400</v>
      </c>
      <c r="O8" s="17" t="n">
        <v>500</v>
      </c>
      <c r="P8" s="14" t="s">
        <v>101</v>
      </c>
      <c r="Q8" s="15" t="s">
        <v>123</v>
      </c>
      <c r="R8" s="15" t="s">
        <v>105</v>
      </c>
      <c r="S8" s="14" t="n">
        <v>2</v>
      </c>
      <c r="T8" s="14" t="str">
        <f aca="false">IF(S8&gt;=2,"◆ Multi","Single")</f>
        <v>◆ Multi</v>
      </c>
      <c r="U8" s="15" t="s">
        <v>124</v>
      </c>
      <c r="V8" s="15" t="s">
        <v>125</v>
      </c>
      <c r="W8" s="14" t="s">
        <v>80</v>
      </c>
      <c r="X8" s="14" t="n">
        <v>4</v>
      </c>
      <c r="Y8" s="14" t="n">
        <v>5</v>
      </c>
      <c r="Z8" s="14" t="n">
        <v>3</v>
      </c>
      <c r="AA8" s="14" t="n">
        <v>4</v>
      </c>
      <c r="AB8" s="14" t="n">
        <v>1</v>
      </c>
      <c r="AC8" s="14" t="n">
        <v>4</v>
      </c>
      <c r="AD8" s="14" t="n">
        <v>2</v>
      </c>
      <c r="AE8" s="14" t="n">
        <v>5</v>
      </c>
      <c r="AF8" s="18" t="n">
        <f aca="false">ROUND(AVERAGE(X8,Y8,Z8,AE8)*20,0)</f>
        <v>85</v>
      </c>
      <c r="AG8" s="18" t="n">
        <f aca="false">ROUND(AVERAGE(AA8,AB8,AC8,AD8)*20,0)</f>
        <v>55</v>
      </c>
      <c r="AH8" s="19" t="n">
        <f aca="false">ROUND(SUMPRODUCT({2,1,1,2,1,1.5,1,1.5},X8:AE8)/11*20,0)</f>
        <v>74</v>
      </c>
      <c r="AI8" s="14" t="str">
        <f aca="false">IF(AH8&gt;=75,"Likely",IF(AH8&gt;=55,"Possible","Unlikely"))</f>
        <v>Possible</v>
      </c>
      <c r="AJ8" s="16" t="n">
        <f aca="false">ROUND(AH8/100*G8,1)</f>
        <v>1.6</v>
      </c>
      <c r="AK8" s="15" t="s">
        <v>108</v>
      </c>
      <c r="AL8" s="14" t="s">
        <v>82</v>
      </c>
      <c r="AM8" s="14" t="s">
        <v>83</v>
      </c>
      <c r="AN8" s="14" t="s">
        <v>83</v>
      </c>
      <c r="AO8" s="15" t="s">
        <v>126</v>
      </c>
      <c r="AP8" s="14" t="n">
        <v>52</v>
      </c>
      <c r="AQ8" s="15" t="s">
        <v>109</v>
      </c>
      <c r="AR8" s="15" t="s">
        <v>127</v>
      </c>
      <c r="AS8" s="15" t="s">
        <v>128</v>
      </c>
      <c r="AT8" s="15" t="s">
        <v>129</v>
      </c>
      <c r="AU8" s="15" t="s">
        <v>130</v>
      </c>
      <c r="AV8" s="15" t="s">
        <v>131</v>
      </c>
      <c r="AW8" s="14" t="s">
        <v>92</v>
      </c>
      <c r="AX8" s="14" t="s">
        <v>132</v>
      </c>
      <c r="AY8" s="15" t="s">
        <v>133</v>
      </c>
      <c r="AZ8" s="14"/>
      <c r="BA8" s="15" t="s">
        <v>134</v>
      </c>
    </row>
    <row r="9" customFormat="false" ht="19.4" hidden="false" customHeight="false" outlineLevel="0" collapsed="false">
      <c r="A9" s="12" t="str">
        <f aca="false">IF(OR(AND(AH9&gt;=75,S9&gt;=2),AND(AH9&gt;=65,S9&gt;=3)),"P1",IF(OR(AH9&gt;=60,AND(AH9&gt;=55,S9&gt;=2)),"P2","P3"))</f>
        <v>P2</v>
      </c>
      <c r="B9" s="13" t="s">
        <v>135</v>
      </c>
      <c r="C9" s="14" t="s">
        <v>66</v>
      </c>
      <c r="D9" s="15" t="s">
        <v>67</v>
      </c>
      <c r="E9" s="14" t="n">
        <v>3</v>
      </c>
      <c r="F9" s="15" t="s">
        <v>68</v>
      </c>
      <c r="G9" s="16" t="n">
        <v>4.5</v>
      </c>
      <c r="H9" s="15" t="s">
        <v>69</v>
      </c>
      <c r="I9" s="15" t="s">
        <v>70</v>
      </c>
      <c r="J9" s="15" t="s">
        <v>71</v>
      </c>
      <c r="K9" s="14" t="s">
        <v>121</v>
      </c>
      <c r="L9" s="15" t="s">
        <v>136</v>
      </c>
      <c r="M9" s="14" t="s">
        <v>103</v>
      </c>
      <c r="N9" s="17" t="n">
        <v>8200</v>
      </c>
      <c r="O9" s="17" t="n">
        <v>1200</v>
      </c>
      <c r="P9" s="14" t="s">
        <v>75</v>
      </c>
      <c r="Q9" s="15" t="s">
        <v>76</v>
      </c>
      <c r="R9" s="15" t="s">
        <v>77</v>
      </c>
      <c r="S9" s="14" t="n">
        <v>2</v>
      </c>
      <c r="T9" s="14" t="str">
        <f aca="false">IF(S9&gt;=2,"◆ Multi","Single")</f>
        <v>◆ Multi</v>
      </c>
      <c r="U9" s="15" t="s">
        <v>137</v>
      </c>
      <c r="V9" s="15" t="s">
        <v>79</v>
      </c>
      <c r="W9" s="14" t="s">
        <v>80</v>
      </c>
      <c r="X9" s="14" t="n">
        <v>3</v>
      </c>
      <c r="Y9" s="14" t="n">
        <v>0</v>
      </c>
      <c r="Z9" s="14" t="n">
        <v>3</v>
      </c>
      <c r="AA9" s="14" t="n">
        <v>4</v>
      </c>
      <c r="AB9" s="14" t="n">
        <v>4</v>
      </c>
      <c r="AC9" s="14" t="n">
        <v>4</v>
      </c>
      <c r="AD9" s="14" t="n">
        <v>4</v>
      </c>
      <c r="AE9" s="14" t="n">
        <v>2</v>
      </c>
      <c r="AF9" s="18" t="n">
        <f aca="false">ROUND(AVERAGE(X9,Y9,Z9,AE9)*20,0)</f>
        <v>40</v>
      </c>
      <c r="AG9" s="18" t="n">
        <f aca="false">ROUND(AVERAGE(AA9,AB9,AC9,AD9)*20,0)</f>
        <v>80</v>
      </c>
      <c r="AH9" s="19" t="n">
        <f aca="false">ROUND(SUMPRODUCT({2,1,1,2,1,1.5,1,1.5},X9:AE9)/11*20,0)</f>
        <v>62</v>
      </c>
      <c r="AI9" s="14" t="str">
        <f aca="false">IF(AH9&gt;=75,"Likely",IF(AH9&gt;=55,"Possible","Unlikely"))</f>
        <v>Possible</v>
      </c>
      <c r="AJ9" s="16" t="n">
        <f aca="false">ROUND(AH9/100*G9,1)</f>
        <v>2.8</v>
      </c>
      <c r="AK9" s="15" t="s">
        <v>81</v>
      </c>
      <c r="AL9" s="14" t="s">
        <v>82</v>
      </c>
      <c r="AM9" s="14" t="s">
        <v>83</v>
      </c>
      <c r="AN9" s="14" t="s">
        <v>84</v>
      </c>
      <c r="AO9" s="15" t="s">
        <v>126</v>
      </c>
      <c r="AP9" s="14" t="n">
        <v>50</v>
      </c>
      <c r="AQ9" s="15" t="s">
        <v>86</v>
      </c>
      <c r="AR9" s="15" t="s">
        <v>127</v>
      </c>
      <c r="AS9" s="15" t="s">
        <v>128</v>
      </c>
      <c r="AT9" s="15" t="s">
        <v>129</v>
      </c>
      <c r="AU9" s="15" t="s">
        <v>130</v>
      </c>
      <c r="AV9" s="15" t="s">
        <v>131</v>
      </c>
      <c r="AW9" s="14" t="s">
        <v>92</v>
      </c>
      <c r="AX9" s="14" t="s">
        <v>132</v>
      </c>
      <c r="AY9" s="15" t="s">
        <v>133</v>
      </c>
      <c r="AZ9" s="14"/>
      <c r="BA9" s="15" t="s">
        <v>138</v>
      </c>
    </row>
    <row r="10" customFormat="false" ht="19.4" hidden="false" customHeight="false" outlineLevel="0" collapsed="false">
      <c r="A10" s="12" t="str">
        <f aca="false">IF(OR(AND(AH10&gt;=75,S10&gt;=2),AND(AH10&gt;=65,S10&gt;=3)),"P1",IF(OR(AH10&gt;=60,AND(AH10&gt;=55,S10&gt;=2)),"P2","P3"))</f>
        <v>P2</v>
      </c>
      <c r="B10" s="13" t="s">
        <v>139</v>
      </c>
      <c r="C10" s="14" t="s">
        <v>140</v>
      </c>
      <c r="D10" s="15" t="s">
        <v>141</v>
      </c>
      <c r="E10" s="14" t="n">
        <v>2</v>
      </c>
      <c r="F10" s="15" t="s">
        <v>142</v>
      </c>
      <c r="G10" s="16" t="n">
        <v>3</v>
      </c>
      <c r="H10" s="15" t="s">
        <v>100</v>
      </c>
      <c r="I10" s="15" t="s">
        <v>101</v>
      </c>
      <c r="J10" s="15" t="s">
        <v>143</v>
      </c>
      <c r="K10" s="14" t="s">
        <v>121</v>
      </c>
      <c r="L10" s="15" t="s">
        <v>144</v>
      </c>
      <c r="M10" s="14" t="s">
        <v>103</v>
      </c>
      <c r="N10" s="17" t="n">
        <v>2200</v>
      </c>
      <c r="O10" s="17" t="n">
        <v>350</v>
      </c>
      <c r="P10" s="14" t="s">
        <v>101</v>
      </c>
      <c r="Q10" s="15" t="s">
        <v>104</v>
      </c>
      <c r="R10" s="15" t="s">
        <v>105</v>
      </c>
      <c r="S10" s="14" t="n">
        <v>4</v>
      </c>
      <c r="T10" s="14" t="str">
        <f aca="false">IF(S10&gt;=2,"◆ Multi","Single")</f>
        <v>◆ Multi</v>
      </c>
      <c r="U10" s="15" t="s">
        <v>106</v>
      </c>
      <c r="V10" s="15" t="s">
        <v>107</v>
      </c>
      <c r="W10" s="14" t="s">
        <v>80</v>
      </c>
      <c r="X10" s="14" t="n">
        <v>4</v>
      </c>
      <c r="Y10" s="14" t="n">
        <v>0</v>
      </c>
      <c r="Z10" s="14" t="n">
        <v>0</v>
      </c>
      <c r="AA10" s="14" t="n">
        <v>5</v>
      </c>
      <c r="AB10" s="14" t="n">
        <v>2</v>
      </c>
      <c r="AC10" s="14" t="n">
        <v>3</v>
      </c>
      <c r="AD10" s="14" t="n">
        <v>2</v>
      </c>
      <c r="AE10" s="14" t="n">
        <v>4</v>
      </c>
      <c r="AF10" s="18" t="n">
        <f aca="false">ROUND(AVERAGE(X10,Y10,Z10,AE10)*20,0)</f>
        <v>40</v>
      </c>
      <c r="AG10" s="18" t="n">
        <f aca="false">ROUND(AVERAGE(AA10,AB10,AC10,AD10)*20,0)</f>
        <v>60</v>
      </c>
      <c r="AH10" s="19" t="n">
        <f aca="false">ROUND(SUMPRODUCT({2,1,1,2,1,1.5,1,1.5},X10:AE10)/11*20,0)</f>
        <v>59</v>
      </c>
      <c r="AI10" s="14" t="str">
        <f aca="false">IF(AH10&gt;=75,"Likely",IF(AH10&gt;=55,"Possible","Unlikely"))</f>
        <v>Possible</v>
      </c>
      <c r="AJ10" s="16" t="n">
        <f aca="false">ROUND(AH10/100*G10,1)</f>
        <v>1.8</v>
      </c>
      <c r="AK10" s="15" t="s">
        <v>81</v>
      </c>
      <c r="AL10" s="14" t="s">
        <v>82</v>
      </c>
      <c r="AM10" s="14" t="s">
        <v>83</v>
      </c>
      <c r="AN10" s="14" t="s">
        <v>84</v>
      </c>
      <c r="AO10" s="15" t="s">
        <v>126</v>
      </c>
      <c r="AP10" s="14" t="n">
        <v>62</v>
      </c>
      <c r="AQ10" s="15" t="s">
        <v>109</v>
      </c>
      <c r="AR10" s="15" t="s">
        <v>127</v>
      </c>
      <c r="AS10" s="15" t="s">
        <v>128</v>
      </c>
      <c r="AT10" s="15" t="s">
        <v>129</v>
      </c>
      <c r="AU10" s="15" t="s">
        <v>130</v>
      </c>
      <c r="AV10" s="15" t="s">
        <v>131</v>
      </c>
      <c r="AW10" s="14" t="s">
        <v>92</v>
      </c>
      <c r="AX10" s="14" t="s">
        <v>132</v>
      </c>
      <c r="AY10" s="15" t="s">
        <v>133</v>
      </c>
      <c r="AZ10" s="14"/>
      <c r="BA10" s="15" t="s">
        <v>145</v>
      </c>
    </row>
    <row r="11" customFormat="false" ht="19.4" hidden="false" customHeight="false" outlineLevel="0" collapsed="false">
      <c r="A11" s="12" t="str">
        <f aca="false">IF(OR(AND(AH11&gt;=75,S11&gt;=2),AND(AH11&gt;=65,S11&gt;=3)),"P1",IF(OR(AH11&gt;=60,AND(AH11&gt;=55,S11&gt;=2)),"P2","P3"))</f>
        <v>P3</v>
      </c>
      <c r="B11" s="13" t="s">
        <v>146</v>
      </c>
      <c r="C11" s="14" t="s">
        <v>140</v>
      </c>
      <c r="D11" s="15" t="s">
        <v>141</v>
      </c>
      <c r="E11" s="14" t="n">
        <v>2</v>
      </c>
      <c r="F11" s="15" t="s">
        <v>142</v>
      </c>
      <c r="G11" s="16" t="n">
        <v>3</v>
      </c>
      <c r="H11" s="15" t="s">
        <v>100</v>
      </c>
      <c r="I11" s="15" t="s">
        <v>101</v>
      </c>
      <c r="J11" s="15" t="s">
        <v>143</v>
      </c>
      <c r="K11" s="14" t="s">
        <v>72</v>
      </c>
      <c r="L11" s="15" t="s">
        <v>102</v>
      </c>
      <c r="M11" s="14" t="s">
        <v>147</v>
      </c>
      <c r="N11" s="17" t="n">
        <v>1100</v>
      </c>
      <c r="O11" s="17" t="n">
        <v>180</v>
      </c>
      <c r="P11" s="14" t="s">
        <v>101</v>
      </c>
      <c r="Q11" s="15" t="s">
        <v>76</v>
      </c>
      <c r="R11" s="15" t="s">
        <v>77</v>
      </c>
      <c r="S11" s="14" t="n">
        <v>1</v>
      </c>
      <c r="T11" s="14" t="str">
        <f aca="false">IF(S11&gt;=2,"◆ Multi","Single")</f>
        <v>Single</v>
      </c>
      <c r="U11" s="15" t="s">
        <v>148</v>
      </c>
      <c r="V11" s="15" t="s">
        <v>79</v>
      </c>
      <c r="W11" s="14" t="s">
        <v>80</v>
      </c>
      <c r="X11" s="14" t="n">
        <v>4</v>
      </c>
      <c r="Y11" s="14" t="n">
        <v>0</v>
      </c>
      <c r="Z11" s="14" t="n">
        <v>3</v>
      </c>
      <c r="AA11" s="14" t="n">
        <v>5</v>
      </c>
      <c r="AB11" s="14" t="n">
        <v>2</v>
      </c>
      <c r="AC11" s="14" t="n">
        <v>2</v>
      </c>
      <c r="AD11" s="14" t="n">
        <v>2</v>
      </c>
      <c r="AE11" s="14" t="n">
        <v>2</v>
      </c>
      <c r="AF11" s="18" t="n">
        <f aca="false">ROUND(AVERAGE(X11,Y11,Z11,AE11)*20,0)</f>
        <v>45</v>
      </c>
      <c r="AG11" s="18" t="n">
        <f aca="false">ROUND(AVERAGE(AA11,AB11,AC11,AD11)*20,0)</f>
        <v>55</v>
      </c>
      <c r="AH11" s="19" t="n">
        <f aca="false">ROUND(SUMPRODUCT({2,1,1,2,1,1.5,1,1.5},X11:AE11)/11*20,0)</f>
        <v>56</v>
      </c>
      <c r="AI11" s="14" t="str">
        <f aca="false">IF(AH11&gt;=75,"Likely",IF(AH11&gt;=55,"Possible","Unlikely"))</f>
        <v>Possible</v>
      </c>
      <c r="AJ11" s="16" t="n">
        <f aca="false">ROUND(AH11/100*G11,1)</f>
        <v>1.7</v>
      </c>
      <c r="AK11" s="15" t="s">
        <v>81</v>
      </c>
      <c r="AL11" s="14" t="s">
        <v>82</v>
      </c>
      <c r="AM11" s="14" t="s">
        <v>83</v>
      </c>
      <c r="AN11" s="14" t="s">
        <v>84</v>
      </c>
      <c r="AO11" s="15" t="s">
        <v>85</v>
      </c>
      <c r="AP11" s="14" t="n">
        <v>84</v>
      </c>
      <c r="AQ11" s="15" t="s">
        <v>109</v>
      </c>
      <c r="AR11" s="15" t="s">
        <v>87</v>
      </c>
      <c r="AS11" s="15" t="s">
        <v>88</v>
      </c>
      <c r="AT11" s="15" t="s">
        <v>89</v>
      </c>
      <c r="AU11" s="15" t="s">
        <v>90</v>
      </c>
      <c r="AV11" s="15" t="s">
        <v>91</v>
      </c>
      <c r="AW11" s="14" t="s">
        <v>92</v>
      </c>
      <c r="AX11" s="14" t="s">
        <v>132</v>
      </c>
      <c r="AY11" s="15" t="s">
        <v>94</v>
      </c>
      <c r="AZ11" s="14"/>
      <c r="BA11" s="15" t="s">
        <v>149</v>
      </c>
    </row>
    <row r="12" customFormat="false" ht="19.4" hidden="false" customHeight="false" outlineLevel="0" collapsed="false">
      <c r="A12" s="12" t="str">
        <f aca="false">IF(OR(AND(AH12&gt;=75,S12&gt;=2),AND(AH12&gt;=65,S12&gt;=3)),"P1",IF(OR(AH12&gt;=60,AND(AH12&gt;=55,S12&gt;=2)),"P2","P3"))</f>
        <v>P3</v>
      </c>
      <c r="B12" s="13" t="s">
        <v>150</v>
      </c>
      <c r="C12" s="14" t="s">
        <v>66</v>
      </c>
      <c r="D12" s="15" t="s">
        <v>67</v>
      </c>
      <c r="E12" s="14" t="n">
        <v>3</v>
      </c>
      <c r="F12" s="15" t="s">
        <v>68</v>
      </c>
      <c r="G12" s="16" t="n">
        <v>4.5</v>
      </c>
      <c r="H12" s="15" t="s">
        <v>69</v>
      </c>
      <c r="I12" s="15" t="s">
        <v>70</v>
      </c>
      <c r="J12" s="15" t="s">
        <v>71</v>
      </c>
      <c r="K12" s="14" t="s">
        <v>151</v>
      </c>
      <c r="L12" s="15" t="s">
        <v>152</v>
      </c>
      <c r="M12" s="14" t="s">
        <v>103</v>
      </c>
      <c r="N12" s="17" t="n">
        <v>600</v>
      </c>
      <c r="O12" s="17" t="n">
        <v>4000</v>
      </c>
      <c r="P12" s="14" t="s">
        <v>75</v>
      </c>
      <c r="Q12" s="15" t="s">
        <v>76</v>
      </c>
      <c r="R12" s="15" t="s">
        <v>77</v>
      </c>
      <c r="S12" s="14" t="n">
        <v>3</v>
      </c>
      <c r="T12" s="14" t="str">
        <f aca="false">IF(S12&gt;=2,"◆ Multi","Single")</f>
        <v>◆ Multi</v>
      </c>
      <c r="U12" s="15" t="s">
        <v>153</v>
      </c>
      <c r="V12" s="15" t="s">
        <v>79</v>
      </c>
      <c r="W12" s="14" t="s">
        <v>80</v>
      </c>
      <c r="X12" s="14" t="n">
        <v>0</v>
      </c>
      <c r="Y12" s="14" t="n">
        <v>0</v>
      </c>
      <c r="Z12" s="14" t="n">
        <v>3</v>
      </c>
      <c r="AA12" s="14" t="n">
        <v>4</v>
      </c>
      <c r="AB12" s="14" t="n">
        <v>0</v>
      </c>
      <c r="AC12" s="14" t="n">
        <v>4</v>
      </c>
      <c r="AD12" s="14" t="n">
        <v>5</v>
      </c>
      <c r="AE12" s="14" t="n">
        <v>2</v>
      </c>
      <c r="AF12" s="18" t="n">
        <f aca="false">ROUND(AVERAGE(X12,Y12,Z12,AE12)*20,0)</f>
        <v>25</v>
      </c>
      <c r="AG12" s="18" t="n">
        <f aca="false">ROUND(AVERAGE(AA12,AB12,AC12,AD12)*20,0)</f>
        <v>65</v>
      </c>
      <c r="AH12" s="19" t="n">
        <f aca="false">ROUND(SUMPRODUCT({2,1,1,2,1,1.5,1,1.5},X12:AE12)/11*20,0)</f>
        <v>45</v>
      </c>
      <c r="AI12" s="14" t="str">
        <f aca="false">IF(AH12&gt;=75,"Likely",IF(AH12&gt;=55,"Possible","Unlikely"))</f>
        <v>Unlikely</v>
      </c>
      <c r="AJ12" s="16" t="n">
        <f aca="false">ROUND(AH12/100*G12,1)</f>
        <v>2</v>
      </c>
      <c r="AK12" s="15" t="s">
        <v>154</v>
      </c>
      <c r="AL12" s="14" t="s">
        <v>82</v>
      </c>
      <c r="AM12" s="14" t="s">
        <v>83</v>
      </c>
      <c r="AN12" s="14" t="s">
        <v>84</v>
      </c>
      <c r="AO12" s="15" t="s">
        <v>155</v>
      </c>
      <c r="AP12" s="14" t="n">
        <v>56</v>
      </c>
      <c r="AQ12" s="15" t="s">
        <v>156</v>
      </c>
      <c r="AR12" s="15" t="s">
        <v>157</v>
      </c>
      <c r="AS12" s="15" t="s">
        <v>88</v>
      </c>
      <c r="AT12" s="15" t="s">
        <v>158</v>
      </c>
      <c r="AU12" s="15" t="s">
        <v>159</v>
      </c>
      <c r="AV12" s="15" t="s">
        <v>160</v>
      </c>
      <c r="AW12" s="14" t="s">
        <v>92</v>
      </c>
      <c r="AX12" s="14" t="s">
        <v>132</v>
      </c>
      <c r="AY12" s="15" t="s">
        <v>161</v>
      </c>
      <c r="AZ12" s="14"/>
      <c r="BA12" s="15" t="s">
        <v>162</v>
      </c>
    </row>
    <row r="13" customFormat="false" ht="19.4" hidden="false" customHeight="false" outlineLevel="0" collapsed="false">
      <c r="A13" s="12" t="str">
        <f aca="false">IF(OR(AND(AH13&gt;=75,S13&gt;=2),AND(AH13&gt;=65,S13&gt;=3)),"P1",IF(OR(AH13&gt;=60,AND(AH13&gt;=55,S13&gt;=2)),"P2","P3"))</f>
        <v>P3</v>
      </c>
      <c r="B13" s="13" t="s">
        <v>163</v>
      </c>
      <c r="C13" s="14" t="s">
        <v>112</v>
      </c>
      <c r="D13" s="15" t="s">
        <v>113</v>
      </c>
      <c r="E13" s="14" t="n">
        <v>2</v>
      </c>
      <c r="F13" s="15" t="s">
        <v>114</v>
      </c>
      <c r="G13" s="16" t="n">
        <v>6</v>
      </c>
      <c r="H13" s="15" t="s">
        <v>115</v>
      </c>
      <c r="I13" s="15" t="s">
        <v>101</v>
      </c>
      <c r="J13" s="15" t="s">
        <v>71</v>
      </c>
      <c r="K13" s="14" t="s">
        <v>164</v>
      </c>
      <c r="L13" s="15" t="s">
        <v>165</v>
      </c>
      <c r="M13" s="14" t="s">
        <v>147</v>
      </c>
      <c r="N13" s="17" t="n">
        <v>38000</v>
      </c>
      <c r="O13" s="17" t="n">
        <v>900</v>
      </c>
      <c r="P13" s="14" t="s">
        <v>101</v>
      </c>
      <c r="Q13" s="15" t="s">
        <v>166</v>
      </c>
      <c r="R13" s="15" t="s">
        <v>167</v>
      </c>
      <c r="S13" s="14" t="n">
        <v>1</v>
      </c>
      <c r="T13" s="14" t="str">
        <f aca="false">IF(S13&gt;=2,"◆ Multi","Single")</f>
        <v>Single</v>
      </c>
      <c r="U13" s="15" t="s">
        <v>168</v>
      </c>
      <c r="V13" s="15" t="s">
        <v>169</v>
      </c>
      <c r="W13" s="14" t="s">
        <v>80</v>
      </c>
      <c r="X13" s="14" t="n">
        <v>2</v>
      </c>
      <c r="Y13" s="14" t="n">
        <v>0</v>
      </c>
      <c r="Z13" s="14" t="n">
        <v>0</v>
      </c>
      <c r="AA13" s="14" t="n">
        <v>2</v>
      </c>
      <c r="AB13" s="14" t="n">
        <v>1</v>
      </c>
      <c r="AC13" s="14" t="n">
        <v>5</v>
      </c>
      <c r="AD13" s="14" t="n">
        <v>2</v>
      </c>
      <c r="AE13" s="14" t="n">
        <v>4</v>
      </c>
      <c r="AF13" s="18" t="n">
        <f aca="false">ROUND(AVERAGE(X13,Y13,Z13,AE13)*20,0)</f>
        <v>30</v>
      </c>
      <c r="AG13" s="18" t="n">
        <f aca="false">ROUND(AVERAGE(AA13,AB13,AC13,AD13)*20,0)</f>
        <v>50</v>
      </c>
      <c r="AH13" s="19" t="n">
        <f aca="false">ROUND(SUMPRODUCT({2,1,1,2,1,1.5,1,1.5},X13:AE13)/11*20,0)</f>
        <v>45</v>
      </c>
      <c r="AI13" s="14" t="str">
        <f aca="false">IF(AH13&gt;=75,"Likely",IF(AH13&gt;=55,"Possible","Unlikely"))</f>
        <v>Unlikely</v>
      </c>
      <c r="AJ13" s="16" t="n">
        <f aca="false">ROUND(AH13/100*G13,1)</f>
        <v>2.7</v>
      </c>
      <c r="AK13" s="15" t="s">
        <v>81</v>
      </c>
      <c r="AL13" s="14" t="s">
        <v>82</v>
      </c>
      <c r="AM13" s="14" t="s">
        <v>83</v>
      </c>
      <c r="AN13" s="14" t="s">
        <v>84</v>
      </c>
      <c r="AO13" s="15" t="s">
        <v>170</v>
      </c>
      <c r="AP13" s="14" t="n">
        <v>21</v>
      </c>
      <c r="AQ13" s="15" t="s">
        <v>118</v>
      </c>
      <c r="AR13" s="15" t="s">
        <v>171</v>
      </c>
      <c r="AS13" s="15" t="s">
        <v>172</v>
      </c>
      <c r="AT13" s="15" t="s">
        <v>173</v>
      </c>
      <c r="AU13" s="15" t="s">
        <v>174</v>
      </c>
      <c r="AV13" s="15" t="s">
        <v>175</v>
      </c>
      <c r="AW13" s="14" t="s">
        <v>92</v>
      </c>
      <c r="AX13" s="14" t="s">
        <v>132</v>
      </c>
      <c r="AY13" s="15" t="s">
        <v>176</v>
      </c>
      <c r="AZ13" s="14"/>
      <c r="BA13" s="15" t="s">
        <v>177</v>
      </c>
    </row>
    <row r="14" customFormat="false" ht="19.4" hidden="false" customHeight="false" outlineLevel="0" collapsed="false">
      <c r="A14" s="12" t="str">
        <f aca="false">IF(OR(AND(AH14&gt;=75,S14&gt;=2),AND(AH14&gt;=65,S14&gt;=3)),"P1",IF(OR(AH14&gt;=60,AND(AH14&gt;=55,S14&gt;=2)),"P2","P3"))</f>
        <v>P3</v>
      </c>
      <c r="B14" s="13" t="s">
        <v>178</v>
      </c>
      <c r="C14" s="14" t="s">
        <v>112</v>
      </c>
      <c r="D14" s="15" t="s">
        <v>113</v>
      </c>
      <c r="E14" s="14" t="n">
        <v>2</v>
      </c>
      <c r="F14" s="15" t="s">
        <v>114</v>
      </c>
      <c r="G14" s="16" t="n">
        <v>6</v>
      </c>
      <c r="H14" s="15" t="s">
        <v>115</v>
      </c>
      <c r="I14" s="15" t="s">
        <v>101</v>
      </c>
      <c r="J14" s="15" t="s">
        <v>71</v>
      </c>
      <c r="K14" s="14" t="s">
        <v>151</v>
      </c>
      <c r="L14" s="15" t="s">
        <v>179</v>
      </c>
      <c r="M14" s="14" t="s">
        <v>103</v>
      </c>
      <c r="N14" s="17" t="n">
        <v>500</v>
      </c>
      <c r="O14" s="17" t="n">
        <v>2500</v>
      </c>
      <c r="P14" s="14" t="s">
        <v>75</v>
      </c>
      <c r="Q14" s="15" t="s">
        <v>76</v>
      </c>
      <c r="R14" s="15" t="s">
        <v>77</v>
      </c>
      <c r="S14" s="14" t="n">
        <v>3</v>
      </c>
      <c r="T14" s="14" t="str">
        <f aca="false">IF(S14&gt;=2,"◆ Multi","Single")</f>
        <v>◆ Multi</v>
      </c>
      <c r="U14" s="15" t="s">
        <v>137</v>
      </c>
      <c r="V14" s="15" t="s">
        <v>79</v>
      </c>
      <c r="W14" s="14" t="s">
        <v>80</v>
      </c>
      <c r="X14" s="14" t="n">
        <v>0</v>
      </c>
      <c r="Y14" s="14" t="n">
        <v>0</v>
      </c>
      <c r="Z14" s="14" t="n">
        <v>3</v>
      </c>
      <c r="AA14" s="14" t="n">
        <v>4</v>
      </c>
      <c r="AB14" s="14" t="n">
        <v>1</v>
      </c>
      <c r="AC14" s="14" t="n">
        <v>4</v>
      </c>
      <c r="AD14" s="14" t="n">
        <v>4</v>
      </c>
      <c r="AE14" s="14" t="n">
        <v>2</v>
      </c>
      <c r="AF14" s="18" t="n">
        <f aca="false">ROUND(AVERAGE(X14,Y14,Z14,AE14)*20,0)</f>
        <v>25</v>
      </c>
      <c r="AG14" s="18" t="n">
        <f aca="false">ROUND(AVERAGE(AA14,AB14,AC14,AD14)*20,0)</f>
        <v>65</v>
      </c>
      <c r="AH14" s="19" t="n">
        <f aca="false">ROUND(SUMPRODUCT({2,1,1,2,1,1.5,1,1.5},X14:AE14)/11*20,0)</f>
        <v>45</v>
      </c>
      <c r="AI14" s="14" t="str">
        <f aca="false">IF(AH14&gt;=75,"Likely",IF(AH14&gt;=55,"Possible","Unlikely"))</f>
        <v>Unlikely</v>
      </c>
      <c r="AJ14" s="16" t="n">
        <f aca="false">ROUND(AH14/100*G14,1)</f>
        <v>2.7</v>
      </c>
      <c r="AK14" s="15" t="s">
        <v>154</v>
      </c>
      <c r="AL14" s="14" t="s">
        <v>82</v>
      </c>
      <c r="AM14" s="14" t="s">
        <v>83</v>
      </c>
      <c r="AN14" s="14" t="s">
        <v>84</v>
      </c>
      <c r="AO14" s="15" t="s">
        <v>155</v>
      </c>
      <c r="AP14" s="14" t="n">
        <v>50</v>
      </c>
      <c r="AQ14" s="15" t="s">
        <v>156</v>
      </c>
      <c r="AR14" s="15" t="s">
        <v>157</v>
      </c>
      <c r="AS14" s="15" t="s">
        <v>88</v>
      </c>
      <c r="AT14" s="15" t="s">
        <v>158</v>
      </c>
      <c r="AU14" s="15" t="s">
        <v>159</v>
      </c>
      <c r="AV14" s="15" t="s">
        <v>160</v>
      </c>
      <c r="AW14" s="14" t="s">
        <v>92</v>
      </c>
      <c r="AX14" s="14" t="s">
        <v>132</v>
      </c>
      <c r="AY14" s="15" t="s">
        <v>161</v>
      </c>
      <c r="AZ14" s="14"/>
      <c r="BA14" s="15" t="s">
        <v>180</v>
      </c>
    </row>
    <row r="15" customFormat="false" ht="19.4" hidden="false" customHeight="false" outlineLevel="0" collapsed="false">
      <c r="A15" s="12" t="str">
        <f aca="false">IF(OR(AND(AH15&gt;=75,S15&gt;=2),AND(AH15&gt;=65,S15&gt;=3)),"P1",IF(OR(AH15&gt;=60,AND(AH15&gt;=55,S15&gt;=2)),"P2","P3"))</f>
        <v>P3</v>
      </c>
      <c r="B15" s="13" t="s">
        <v>96</v>
      </c>
      <c r="C15" s="14" t="s">
        <v>140</v>
      </c>
      <c r="D15" s="15" t="s">
        <v>141</v>
      </c>
      <c r="E15" s="14" t="n">
        <v>2</v>
      </c>
      <c r="F15" s="15" t="s">
        <v>142</v>
      </c>
      <c r="G15" s="16" t="n">
        <v>3</v>
      </c>
      <c r="H15" s="15" t="s">
        <v>100</v>
      </c>
      <c r="I15" s="15" t="s">
        <v>101</v>
      </c>
      <c r="J15" s="15" t="s">
        <v>143</v>
      </c>
      <c r="K15" s="14" t="s">
        <v>72</v>
      </c>
      <c r="L15" s="15" t="s">
        <v>102</v>
      </c>
      <c r="M15" s="14" t="s">
        <v>103</v>
      </c>
      <c r="N15" s="17" t="n">
        <v>1800</v>
      </c>
      <c r="O15" s="17" t="n">
        <v>250</v>
      </c>
      <c r="P15" s="14" t="s">
        <v>75</v>
      </c>
      <c r="Q15" s="15" t="s">
        <v>104</v>
      </c>
      <c r="R15" s="15" t="s">
        <v>105</v>
      </c>
      <c r="S15" s="14" t="n">
        <v>4</v>
      </c>
      <c r="T15" s="14" t="str">
        <f aca="false">IF(S15&gt;=2,"◆ Multi","Single")</f>
        <v>◆ Multi</v>
      </c>
      <c r="U15" s="15" t="s">
        <v>106</v>
      </c>
      <c r="V15" s="15" t="s">
        <v>107</v>
      </c>
      <c r="W15" s="14" t="s">
        <v>80</v>
      </c>
      <c r="X15" s="14" t="n">
        <v>2</v>
      </c>
      <c r="Y15" s="14" t="n">
        <v>4</v>
      </c>
      <c r="Z15" s="14" t="n">
        <v>0</v>
      </c>
      <c r="AA15" s="14" t="n">
        <v>1</v>
      </c>
      <c r="AB15" s="14" t="n">
        <v>1</v>
      </c>
      <c r="AC15" s="14" t="n">
        <v>2</v>
      </c>
      <c r="AD15" s="14" t="n">
        <v>3</v>
      </c>
      <c r="AE15" s="14" t="n">
        <v>4</v>
      </c>
      <c r="AF15" s="18" t="n">
        <f aca="false">ROUND(AVERAGE(X15,Y15,Z15,AE15)*20,0)</f>
        <v>50</v>
      </c>
      <c r="AG15" s="18" t="n">
        <f aca="false">ROUND(AVERAGE(AA15,AB15,AC15,AD15)*20,0)</f>
        <v>35</v>
      </c>
      <c r="AH15" s="19" t="n">
        <f aca="false">ROUND(SUMPRODUCT({2,1,1,2,1,1.5,1,1.5},X15:AE15)/11*20,0)</f>
        <v>42</v>
      </c>
      <c r="AI15" s="14" t="str">
        <f aca="false">IF(AH15&gt;=75,"Likely",IF(AH15&gt;=55,"Possible","Unlikely"))</f>
        <v>Unlikely</v>
      </c>
      <c r="AJ15" s="16" t="n">
        <f aca="false">ROUND(AH15/100*G15,1)</f>
        <v>1.3</v>
      </c>
      <c r="AK15" s="15" t="s">
        <v>181</v>
      </c>
      <c r="AL15" s="14" t="s">
        <v>82</v>
      </c>
      <c r="AM15" s="14" t="s">
        <v>83</v>
      </c>
      <c r="AN15" s="14" t="s">
        <v>83</v>
      </c>
      <c r="AO15" s="15" t="s">
        <v>85</v>
      </c>
      <c r="AP15" s="14" t="n">
        <v>5</v>
      </c>
      <c r="AQ15" s="15" t="s">
        <v>109</v>
      </c>
      <c r="AR15" s="15" t="s">
        <v>87</v>
      </c>
      <c r="AS15" s="15" t="s">
        <v>88</v>
      </c>
      <c r="AT15" s="15" t="s">
        <v>89</v>
      </c>
      <c r="AU15" s="15" t="s">
        <v>90</v>
      </c>
      <c r="AV15" s="15" t="s">
        <v>91</v>
      </c>
      <c r="AW15" s="14" t="s">
        <v>92</v>
      </c>
      <c r="AX15" s="14" t="s">
        <v>132</v>
      </c>
      <c r="AY15" s="15" t="s">
        <v>94</v>
      </c>
      <c r="AZ15" s="14"/>
      <c r="BA15" s="15" t="s">
        <v>182</v>
      </c>
    </row>
    <row r="16" customFormat="false" ht="19.4" hidden="false" customHeight="false" outlineLevel="0" collapsed="false">
      <c r="A16" s="12" t="str">
        <f aca="false">IF(OR(AND(AH16&gt;=75,S16&gt;=2),AND(AH16&gt;=65,S16&gt;=3)),"P1",IF(OR(AH16&gt;=60,AND(AH16&gt;=55,S16&gt;=2)),"P2","P3"))</f>
        <v>P3</v>
      </c>
      <c r="B16" s="13" t="s">
        <v>183</v>
      </c>
      <c r="C16" s="14" t="s">
        <v>66</v>
      </c>
      <c r="D16" s="15" t="s">
        <v>67</v>
      </c>
      <c r="E16" s="14" t="n">
        <v>3</v>
      </c>
      <c r="F16" s="15" t="s">
        <v>68</v>
      </c>
      <c r="G16" s="16" t="n">
        <v>4.5</v>
      </c>
      <c r="H16" s="15" t="s">
        <v>69</v>
      </c>
      <c r="I16" s="15" t="s">
        <v>70</v>
      </c>
      <c r="J16" s="15" t="s">
        <v>71</v>
      </c>
      <c r="K16" s="14" t="s">
        <v>184</v>
      </c>
      <c r="L16" s="15" t="s">
        <v>185</v>
      </c>
      <c r="M16" s="14" t="s">
        <v>147</v>
      </c>
      <c r="N16" s="17" t="n">
        <v>21000</v>
      </c>
      <c r="O16" s="17" t="n">
        <v>300</v>
      </c>
      <c r="P16" s="14" t="s">
        <v>101</v>
      </c>
      <c r="Q16" s="15" t="s">
        <v>186</v>
      </c>
      <c r="R16" s="15" t="s">
        <v>77</v>
      </c>
      <c r="S16" s="14" t="n">
        <v>1</v>
      </c>
      <c r="T16" s="14" t="str">
        <f aca="false">IF(S16&gt;=2,"◆ Multi","Single")</f>
        <v>Single</v>
      </c>
      <c r="U16" s="15" t="s">
        <v>187</v>
      </c>
      <c r="V16" s="15" t="s">
        <v>79</v>
      </c>
      <c r="W16" s="14" t="s">
        <v>80</v>
      </c>
      <c r="X16" s="14" t="n">
        <v>0</v>
      </c>
      <c r="Y16" s="14" t="n">
        <v>0</v>
      </c>
      <c r="Z16" s="14" t="n">
        <v>0</v>
      </c>
      <c r="AA16" s="14" t="n">
        <v>2</v>
      </c>
      <c r="AB16" s="14" t="n">
        <v>5</v>
      </c>
      <c r="AC16" s="14" t="n">
        <v>5</v>
      </c>
      <c r="AD16" s="14" t="n">
        <v>2</v>
      </c>
      <c r="AE16" s="14" t="n">
        <v>2</v>
      </c>
      <c r="AF16" s="18" t="n">
        <f aca="false">ROUND(AVERAGE(X16,Y16,Z16,AE16)*20,0)</f>
        <v>10</v>
      </c>
      <c r="AG16" s="18" t="n">
        <f aca="false">ROUND(AVERAGE(AA16,AB16,AC16,AD16)*20,0)</f>
        <v>70</v>
      </c>
      <c r="AH16" s="19" t="n">
        <f aca="false">ROUND(SUMPRODUCT({2,1,1,2,1,1.5,1,1.5},X16:AE16)/11*20,0)</f>
        <v>39</v>
      </c>
      <c r="AI16" s="14" t="str">
        <f aca="false">IF(AH16&gt;=75,"Likely",IF(AH16&gt;=55,"Possible","Unlikely"))</f>
        <v>Unlikely</v>
      </c>
      <c r="AJ16" s="16" t="n">
        <f aca="false">ROUND(AH16/100*G16,1)</f>
        <v>1.8</v>
      </c>
      <c r="AK16" s="15" t="s">
        <v>154</v>
      </c>
      <c r="AL16" s="14" t="s">
        <v>82</v>
      </c>
      <c r="AM16" s="14" t="s">
        <v>83</v>
      </c>
      <c r="AN16" s="14" t="s">
        <v>84</v>
      </c>
      <c r="AO16" s="15" t="s">
        <v>188</v>
      </c>
      <c r="AP16" s="14" t="n">
        <v>12</v>
      </c>
      <c r="AQ16" s="15" t="s">
        <v>189</v>
      </c>
      <c r="AR16" s="15" t="s">
        <v>190</v>
      </c>
      <c r="AS16" s="15" t="s">
        <v>191</v>
      </c>
      <c r="AT16" s="15" t="s">
        <v>192</v>
      </c>
      <c r="AU16" s="15" t="s">
        <v>193</v>
      </c>
      <c r="AV16" s="15" t="s">
        <v>194</v>
      </c>
      <c r="AW16" s="14" t="s">
        <v>92</v>
      </c>
      <c r="AX16" s="14" t="s">
        <v>132</v>
      </c>
      <c r="AY16" s="15" t="s">
        <v>195</v>
      </c>
      <c r="AZ16" s="14"/>
      <c r="BA16" s="15" t="s">
        <v>196</v>
      </c>
    </row>
    <row r="17" customFormat="false" ht="19.4" hidden="false" customHeight="false" outlineLevel="0" collapsed="false">
      <c r="A17" s="12" t="str">
        <f aca="false">IF(OR(AND(AH17&gt;=75,S17&gt;=2),AND(AH17&gt;=65,S17&gt;=3)),"P1",IF(OR(AH17&gt;=60,AND(AH17&gt;=55,S17&gt;=2)),"P2","P3"))</f>
        <v>P3</v>
      </c>
      <c r="B17" s="13" t="s">
        <v>139</v>
      </c>
      <c r="C17" s="14" t="s">
        <v>97</v>
      </c>
      <c r="D17" s="15" t="s">
        <v>98</v>
      </c>
      <c r="E17" s="14" t="n">
        <v>3</v>
      </c>
      <c r="F17" s="15" t="s">
        <v>99</v>
      </c>
      <c r="G17" s="16" t="n">
        <v>2.2</v>
      </c>
      <c r="H17" s="15" t="s">
        <v>100</v>
      </c>
      <c r="I17" s="15" t="s">
        <v>101</v>
      </c>
      <c r="J17" s="15" t="s">
        <v>71</v>
      </c>
      <c r="K17" s="14" t="s">
        <v>121</v>
      </c>
      <c r="L17" s="15" t="s">
        <v>144</v>
      </c>
      <c r="M17" s="14" t="s">
        <v>103</v>
      </c>
      <c r="N17" s="17" t="n">
        <v>2200</v>
      </c>
      <c r="O17" s="17" t="n">
        <v>350</v>
      </c>
      <c r="P17" s="14" t="s">
        <v>101</v>
      </c>
      <c r="Q17" s="15" t="s">
        <v>104</v>
      </c>
      <c r="R17" s="15" t="s">
        <v>105</v>
      </c>
      <c r="S17" s="14" t="n">
        <v>3</v>
      </c>
      <c r="T17" s="14" t="str">
        <f aca="false">IF(S17&gt;=2,"◆ Multi","Single")</f>
        <v>◆ Multi</v>
      </c>
      <c r="U17" s="15" t="s">
        <v>106</v>
      </c>
      <c r="V17" s="15" t="s">
        <v>107</v>
      </c>
      <c r="W17" s="14" t="s">
        <v>80</v>
      </c>
      <c r="X17" s="14" t="n">
        <v>2</v>
      </c>
      <c r="Y17" s="14" t="n">
        <v>0</v>
      </c>
      <c r="Z17" s="14" t="n">
        <v>0</v>
      </c>
      <c r="AA17" s="14" t="n">
        <v>1</v>
      </c>
      <c r="AB17" s="14" t="n">
        <v>2</v>
      </c>
      <c r="AC17" s="14" t="n">
        <v>3</v>
      </c>
      <c r="AD17" s="14" t="n">
        <v>2</v>
      </c>
      <c r="AE17" s="14" t="n">
        <v>4</v>
      </c>
      <c r="AF17" s="18" t="n">
        <f aca="false">ROUND(AVERAGE(X17,Y17,Z17,AE17)*20,0)</f>
        <v>30</v>
      </c>
      <c r="AG17" s="18" t="n">
        <f aca="false">ROUND(AVERAGE(AA17,AB17,AC17,AD17)*20,0)</f>
        <v>40</v>
      </c>
      <c r="AH17" s="19" t="n">
        <f aca="false">ROUND(SUMPRODUCT({2,1,1,2,1,1.5,1,1.5},X17:AE17)/11*20,0)</f>
        <v>37</v>
      </c>
      <c r="AI17" s="14" t="str">
        <f aca="false">IF(AH17&gt;=75,"Likely",IF(AH17&gt;=55,"Possible","Unlikely"))</f>
        <v>Unlikely</v>
      </c>
      <c r="AJ17" s="16" t="n">
        <f aca="false">ROUND(AH17/100*G17,1)</f>
        <v>0.8</v>
      </c>
      <c r="AK17" s="15" t="s">
        <v>81</v>
      </c>
      <c r="AL17" s="14" t="s">
        <v>82</v>
      </c>
      <c r="AM17" s="14" t="s">
        <v>83</v>
      </c>
      <c r="AN17" s="14" t="s">
        <v>84</v>
      </c>
      <c r="AO17" s="15" t="s">
        <v>126</v>
      </c>
      <c r="AP17" s="14" t="n">
        <v>4</v>
      </c>
      <c r="AQ17" s="15" t="s">
        <v>109</v>
      </c>
      <c r="AR17" s="15" t="s">
        <v>127</v>
      </c>
      <c r="AS17" s="15" t="s">
        <v>128</v>
      </c>
      <c r="AT17" s="15" t="s">
        <v>129</v>
      </c>
      <c r="AU17" s="15" t="s">
        <v>130</v>
      </c>
      <c r="AV17" s="15" t="s">
        <v>131</v>
      </c>
      <c r="AW17" s="14" t="s">
        <v>92</v>
      </c>
      <c r="AX17" s="14" t="s">
        <v>132</v>
      </c>
      <c r="AY17" s="15" t="s">
        <v>133</v>
      </c>
      <c r="AZ17" s="14"/>
      <c r="BA17" s="15" t="s">
        <v>197</v>
      </c>
    </row>
    <row r="18" customFormat="false" ht="19.4" hidden="false" customHeight="false" outlineLevel="0" collapsed="false">
      <c r="A18" s="12" t="str">
        <f aca="false">IF(OR(AND(AH18&gt;=75,S18&gt;=2),AND(AH18&gt;=65,S18&gt;=3)),"P1",IF(OR(AH18&gt;=60,AND(AH18&gt;=55,S18&gt;=2)),"P2","P3"))</f>
        <v>P3</v>
      </c>
      <c r="B18" s="13" t="s">
        <v>198</v>
      </c>
      <c r="C18" s="14" t="s">
        <v>140</v>
      </c>
      <c r="D18" s="15" t="s">
        <v>141</v>
      </c>
      <c r="E18" s="14" t="n">
        <v>2</v>
      </c>
      <c r="F18" s="15" t="s">
        <v>142</v>
      </c>
      <c r="G18" s="16" t="n">
        <v>3</v>
      </c>
      <c r="H18" s="15" t="s">
        <v>100</v>
      </c>
      <c r="I18" s="15" t="s">
        <v>101</v>
      </c>
      <c r="J18" s="15" t="s">
        <v>143</v>
      </c>
      <c r="K18" s="14" t="s">
        <v>199</v>
      </c>
      <c r="L18" s="15" t="s">
        <v>200</v>
      </c>
      <c r="M18" s="14" t="s">
        <v>103</v>
      </c>
      <c r="N18" s="17" t="n">
        <v>350</v>
      </c>
      <c r="O18" s="17" t="n">
        <v>5000</v>
      </c>
      <c r="P18" s="14" t="s">
        <v>75</v>
      </c>
      <c r="Q18" s="15" t="s">
        <v>201</v>
      </c>
      <c r="R18" s="15" t="s">
        <v>202</v>
      </c>
      <c r="S18" s="14" t="n">
        <v>2</v>
      </c>
      <c r="T18" s="14" t="str">
        <f aca="false">IF(S18&gt;=2,"◆ Multi","Single")</f>
        <v>◆ Multi</v>
      </c>
      <c r="U18" s="15" t="s">
        <v>203</v>
      </c>
      <c r="V18" s="15" t="s">
        <v>204</v>
      </c>
      <c r="W18" s="14" t="s">
        <v>80</v>
      </c>
      <c r="X18" s="14" t="n">
        <v>0</v>
      </c>
      <c r="Y18" s="14" t="n">
        <v>0</v>
      </c>
      <c r="Z18" s="14" t="n">
        <v>0</v>
      </c>
      <c r="AA18" s="14" t="n">
        <v>2</v>
      </c>
      <c r="AB18" s="14" t="n">
        <v>1</v>
      </c>
      <c r="AC18" s="14" t="n">
        <v>4</v>
      </c>
      <c r="AD18" s="14" t="n">
        <v>5</v>
      </c>
      <c r="AE18" s="14" t="n">
        <v>2</v>
      </c>
      <c r="AF18" s="18" t="n">
        <f aca="false">ROUND(AVERAGE(X18,Y18,Z18,AE18)*20,0)</f>
        <v>10</v>
      </c>
      <c r="AG18" s="18" t="n">
        <f aca="false">ROUND(AVERAGE(AA18,AB18,AC18,AD18)*20,0)</f>
        <v>60</v>
      </c>
      <c r="AH18" s="19" t="n">
        <f aca="false">ROUND(SUMPRODUCT({2,1,1,2,1,1.5,1,1.5},X18:AE18)/11*20,0)</f>
        <v>35</v>
      </c>
      <c r="AI18" s="14" t="str">
        <f aca="false">IF(AH18&gt;=75,"Likely",IF(AH18&gt;=55,"Possible","Unlikely"))</f>
        <v>Unlikely</v>
      </c>
      <c r="AJ18" s="16" t="n">
        <f aca="false">ROUND(AH18/100*G18,1)</f>
        <v>1.1</v>
      </c>
      <c r="AK18" s="15" t="s">
        <v>154</v>
      </c>
      <c r="AL18" s="14" t="s">
        <v>82</v>
      </c>
      <c r="AM18" s="14" t="s">
        <v>83</v>
      </c>
      <c r="AN18" s="14" t="s">
        <v>84</v>
      </c>
      <c r="AO18" s="15" t="s">
        <v>205</v>
      </c>
      <c r="AP18" s="14" t="n">
        <v>15</v>
      </c>
      <c r="AQ18" s="15" t="s">
        <v>156</v>
      </c>
      <c r="AR18" s="15" t="s">
        <v>206</v>
      </c>
      <c r="AS18" s="15" t="s">
        <v>207</v>
      </c>
      <c r="AT18" s="15" t="s">
        <v>208</v>
      </c>
      <c r="AU18" s="15" t="s">
        <v>209</v>
      </c>
      <c r="AV18" s="15" t="s">
        <v>210</v>
      </c>
      <c r="AW18" s="14" t="s">
        <v>92</v>
      </c>
      <c r="AX18" s="14" t="s">
        <v>132</v>
      </c>
      <c r="AY18" s="15" t="s">
        <v>211</v>
      </c>
      <c r="AZ18" s="14"/>
      <c r="BA18" s="15" t="s">
        <v>212</v>
      </c>
    </row>
    <row r="19" customFormat="false" ht="19.4" hidden="false" customHeight="false" outlineLevel="0" collapsed="false">
      <c r="A19" s="12" t="str">
        <f aca="false">IF(OR(AND(AH19&gt;=75,S19&gt;=2),AND(AH19&gt;=65,S19&gt;=3)),"P1",IF(OR(AH19&gt;=60,AND(AH19&gt;=55,S19&gt;=2)),"P2","P3"))</f>
        <v>P3</v>
      </c>
      <c r="B19" s="13" t="s">
        <v>213</v>
      </c>
      <c r="C19" s="14" t="s">
        <v>97</v>
      </c>
      <c r="D19" s="15" t="s">
        <v>98</v>
      </c>
      <c r="E19" s="14" t="n">
        <v>3</v>
      </c>
      <c r="F19" s="15" t="s">
        <v>99</v>
      </c>
      <c r="G19" s="16" t="n">
        <v>2.2</v>
      </c>
      <c r="H19" s="15" t="s">
        <v>100</v>
      </c>
      <c r="I19" s="15" t="s">
        <v>101</v>
      </c>
      <c r="J19" s="15" t="s">
        <v>71</v>
      </c>
      <c r="K19" s="14" t="s">
        <v>199</v>
      </c>
      <c r="L19" s="15" t="s">
        <v>200</v>
      </c>
      <c r="M19" s="14" t="s">
        <v>103</v>
      </c>
      <c r="N19" s="17" t="n">
        <v>400</v>
      </c>
      <c r="O19" s="17" t="n">
        <v>6000</v>
      </c>
      <c r="P19" s="14" t="s">
        <v>75</v>
      </c>
      <c r="Q19" s="15" t="s">
        <v>201</v>
      </c>
      <c r="R19" s="15" t="s">
        <v>202</v>
      </c>
      <c r="S19" s="14" t="n">
        <v>3</v>
      </c>
      <c r="T19" s="14" t="str">
        <f aca="false">IF(S19&gt;=2,"◆ Multi","Single")</f>
        <v>◆ Multi</v>
      </c>
      <c r="U19" s="15" t="s">
        <v>214</v>
      </c>
      <c r="V19" s="15" t="s">
        <v>204</v>
      </c>
      <c r="W19" s="14" t="s">
        <v>80</v>
      </c>
      <c r="X19" s="14" t="n">
        <v>0</v>
      </c>
      <c r="Y19" s="14" t="n">
        <v>0</v>
      </c>
      <c r="Z19" s="14" t="n">
        <v>0</v>
      </c>
      <c r="AA19" s="14" t="n">
        <v>1</v>
      </c>
      <c r="AB19" s="14" t="n">
        <v>1</v>
      </c>
      <c r="AC19" s="14" t="n">
        <v>4</v>
      </c>
      <c r="AD19" s="14" t="n">
        <v>5</v>
      </c>
      <c r="AE19" s="14" t="n">
        <v>2</v>
      </c>
      <c r="AF19" s="18" t="n">
        <f aca="false">ROUND(AVERAGE(X19,Y19,Z19,AE19)*20,0)</f>
        <v>10</v>
      </c>
      <c r="AG19" s="18" t="n">
        <f aca="false">ROUND(AVERAGE(AA19,AB19,AC19,AD19)*20,0)</f>
        <v>55</v>
      </c>
      <c r="AH19" s="19" t="n">
        <f aca="false">ROUND(SUMPRODUCT({2,1,1,2,1,1.5,1,1.5},X19:AE19)/11*20,0)</f>
        <v>31</v>
      </c>
      <c r="AI19" s="14" t="str">
        <f aca="false">IF(AH19&gt;=75,"Likely",IF(AH19&gt;=55,"Possible","Unlikely"))</f>
        <v>Unlikely</v>
      </c>
      <c r="AJ19" s="16" t="n">
        <f aca="false">ROUND(AH19/100*G19,1)</f>
        <v>0.7</v>
      </c>
      <c r="AK19" s="15" t="s">
        <v>154</v>
      </c>
      <c r="AL19" s="14" t="s">
        <v>82</v>
      </c>
      <c r="AM19" s="14" t="s">
        <v>83</v>
      </c>
      <c r="AN19" s="14" t="s">
        <v>84</v>
      </c>
      <c r="AO19" s="15" t="s">
        <v>205</v>
      </c>
      <c r="AP19" s="14" t="n">
        <v>6</v>
      </c>
      <c r="AQ19" s="15" t="s">
        <v>156</v>
      </c>
      <c r="AR19" s="15" t="s">
        <v>206</v>
      </c>
      <c r="AS19" s="15" t="s">
        <v>207</v>
      </c>
      <c r="AT19" s="15" t="s">
        <v>208</v>
      </c>
      <c r="AU19" s="15" t="s">
        <v>209</v>
      </c>
      <c r="AV19" s="15" t="s">
        <v>210</v>
      </c>
      <c r="AW19" s="14" t="s">
        <v>92</v>
      </c>
      <c r="AX19" s="14" t="s">
        <v>132</v>
      </c>
      <c r="AY19" s="15" t="s">
        <v>211</v>
      </c>
      <c r="AZ19" s="14"/>
      <c r="BA19" s="15" t="s">
        <v>215</v>
      </c>
    </row>
    <row r="20" customFormat="false" ht="19.4" hidden="false" customHeight="false" outlineLevel="0" collapsed="false">
      <c r="A20" s="12" t="str">
        <f aca="false">IF(OR(AND(AH20&gt;=75,S20&gt;=2),AND(AH20&gt;=65,S20&gt;=3)),"P1",IF(OR(AH20&gt;=60,AND(AH20&gt;=55,S20&gt;=2)),"P2","P3"))</f>
        <v>P3</v>
      </c>
      <c r="B20" s="13" t="s">
        <v>213</v>
      </c>
      <c r="C20" s="14" t="s">
        <v>66</v>
      </c>
      <c r="D20" s="15" t="s">
        <v>67</v>
      </c>
      <c r="E20" s="14" t="n">
        <v>3</v>
      </c>
      <c r="F20" s="15" t="s">
        <v>68</v>
      </c>
      <c r="G20" s="16" t="n">
        <v>4.5</v>
      </c>
      <c r="H20" s="15" t="s">
        <v>69</v>
      </c>
      <c r="I20" s="15" t="s">
        <v>70</v>
      </c>
      <c r="J20" s="15" t="s">
        <v>71</v>
      </c>
      <c r="K20" s="14" t="s">
        <v>199</v>
      </c>
      <c r="L20" s="15" t="s">
        <v>200</v>
      </c>
      <c r="M20" s="14" t="s">
        <v>103</v>
      </c>
      <c r="N20" s="17" t="n">
        <v>400</v>
      </c>
      <c r="O20" s="17" t="n">
        <v>6000</v>
      </c>
      <c r="P20" s="14" t="s">
        <v>75</v>
      </c>
      <c r="Q20" s="15" t="s">
        <v>201</v>
      </c>
      <c r="R20" s="15" t="s">
        <v>202</v>
      </c>
      <c r="S20" s="14" t="n">
        <v>3</v>
      </c>
      <c r="T20" s="14" t="str">
        <f aca="false">IF(S20&gt;=2,"◆ Multi","Single")</f>
        <v>◆ Multi</v>
      </c>
      <c r="U20" s="15" t="s">
        <v>214</v>
      </c>
      <c r="V20" s="15" t="s">
        <v>204</v>
      </c>
      <c r="W20" s="14" t="s">
        <v>80</v>
      </c>
      <c r="X20" s="14" t="n">
        <v>0</v>
      </c>
      <c r="Y20" s="14" t="n">
        <v>0</v>
      </c>
      <c r="Z20" s="14" t="n">
        <v>0</v>
      </c>
      <c r="AA20" s="14" t="n">
        <v>1</v>
      </c>
      <c r="AB20" s="14" t="n">
        <v>0</v>
      </c>
      <c r="AC20" s="14" t="n">
        <v>4</v>
      </c>
      <c r="AD20" s="14" t="n">
        <v>5</v>
      </c>
      <c r="AE20" s="14" t="n">
        <v>2</v>
      </c>
      <c r="AF20" s="18" t="n">
        <f aca="false">ROUND(AVERAGE(X20,Y20,Z20,AE20)*20,0)</f>
        <v>10</v>
      </c>
      <c r="AG20" s="18" t="n">
        <f aca="false">ROUND(AVERAGE(AA20,AB20,AC20,AD20)*20,0)</f>
        <v>50</v>
      </c>
      <c r="AH20" s="19" t="n">
        <f aca="false">ROUND(SUMPRODUCT({2,1,1,2,1,1.5,1,1.5},X20:AE20)/11*20,0)</f>
        <v>29</v>
      </c>
      <c r="AI20" s="14" t="str">
        <f aca="false">IF(AH20&gt;=75,"Likely",IF(AH20&gt;=55,"Possible","Unlikely"))</f>
        <v>Unlikely</v>
      </c>
      <c r="AJ20" s="16" t="n">
        <f aca="false">ROUND(AH20/100*G20,1)</f>
        <v>1.3</v>
      </c>
      <c r="AK20" s="15" t="s">
        <v>154</v>
      </c>
      <c r="AL20" s="14" t="s">
        <v>82</v>
      </c>
      <c r="AM20" s="14" t="s">
        <v>83</v>
      </c>
      <c r="AN20" s="14" t="s">
        <v>84</v>
      </c>
      <c r="AO20" s="15" t="s">
        <v>205</v>
      </c>
      <c r="AP20" s="14" t="n">
        <v>6</v>
      </c>
      <c r="AQ20" s="15" t="s">
        <v>156</v>
      </c>
      <c r="AR20" s="15" t="s">
        <v>206</v>
      </c>
      <c r="AS20" s="15" t="s">
        <v>207</v>
      </c>
      <c r="AT20" s="15" t="s">
        <v>208</v>
      </c>
      <c r="AU20" s="15" t="s">
        <v>209</v>
      </c>
      <c r="AV20" s="15" t="s">
        <v>210</v>
      </c>
      <c r="AW20" s="14" t="s">
        <v>92</v>
      </c>
      <c r="AX20" s="14" t="s">
        <v>132</v>
      </c>
      <c r="AY20" s="15" t="s">
        <v>211</v>
      </c>
      <c r="AZ20" s="14"/>
      <c r="BA20" s="15" t="s">
        <v>215</v>
      </c>
    </row>
  </sheetData>
  <mergeCells count="12">
    <mergeCell ref="A1:BA1"/>
    <mergeCell ref="A2:BA2"/>
    <mergeCell ref="A3:C3"/>
    <mergeCell ref="D3:J3"/>
    <mergeCell ref="K3:P3"/>
    <mergeCell ref="Q3:W3"/>
    <mergeCell ref="X3:AG3"/>
    <mergeCell ref="AH3:AJ3"/>
    <mergeCell ref="AK3:AN3"/>
    <mergeCell ref="AO3:AQ3"/>
    <mergeCell ref="AR3:AV3"/>
    <mergeCell ref="AW3:BA3"/>
  </mergeCells>
  <conditionalFormatting sqref="X5:AE20">
    <cfRule type="colorScale" priority="2">
      <colorScale>
        <cfvo type="num" val="0"/>
        <cfvo type="num" val="2.5"/>
        <cfvo type="num" val="5"/>
        <color rgb="FFF8696B"/>
        <color rgb="FFFFEB84"/>
        <color rgb="FF63BE7B"/>
      </colorScale>
    </cfRule>
  </conditionalFormatting>
  <conditionalFormatting sqref="S5:S20">
    <cfRule type="dataBar" priority="3">
      <dataBar showValue="1" minLength="10" maxLength="90">
        <cfvo type="num" val="0"/>
        <cfvo type="num" val="3"/>
        <color rgb="FF5B2C83"/>
      </dataBar>
      <extLst>
        <ext xmlns:x14="http://schemas.microsoft.com/office/spreadsheetml/2009/9/main" uri="{B025F937-C7B1-47D3-B67F-A62EFF666E3E}">
          <x14:id>{A6536273-A3E3-48A1-9E40-BA665042AEEB}</x14:id>
        </ext>
      </extLst>
    </cfRule>
  </conditionalFormatting>
  <conditionalFormatting sqref="AH5:AH20">
    <cfRule type="dataBar" priority="4">
      <dataBar showValue="1" minLength="10" maxLength="90">
        <cfvo type="num" val="0"/>
        <cfvo type="num" val="100"/>
        <color rgb="FF2E75B6"/>
      </dataBar>
      <extLst>
        <ext xmlns:x14="http://schemas.microsoft.com/office/spreadsheetml/2009/9/main" uri="{B025F937-C7B1-47D3-B67F-A62EFF666E3E}">
          <x14:id>{9D16B717-D6BD-4469-A864-27F8C3B8317D}</x14:id>
        </ext>
      </extLst>
    </cfRule>
  </conditionalFormatting>
  <conditionalFormatting sqref="AJ5:AJ20">
    <cfRule type="dataBar" priority="5">
      <dataBar showValue="1" minLength="10" maxLength="90">
        <cfvo type="num" val="0"/>
        <cfvo type="num" val="6"/>
        <color rgb="FF005B7F"/>
      </dataBar>
      <extLst>
        <ext xmlns:x14="http://schemas.microsoft.com/office/spreadsheetml/2009/9/main" uri="{B025F937-C7B1-47D3-B67F-A62EFF666E3E}">
          <x14:id>{741079B0-A2ED-4152-B729-E3FD30D0A2FE}</x14:id>
        </ext>
      </extLst>
    </cfRule>
  </conditionalFormatting>
  <conditionalFormatting sqref="AP5:AP20">
    <cfRule type="colorScale" priority="6">
      <colorScale>
        <cfvo type="num" val="0"/>
        <cfvo type="num" val="100"/>
        <color rgb="FFFFFFFF"/>
        <color rgb="FF63BE7B"/>
      </colorScale>
    </cfRule>
  </conditionalFormatting>
  <conditionalFormatting sqref="AF5:AF20">
    <cfRule type="colorScale" priority="7">
      <colorScale>
        <cfvo type="num" val="0"/>
        <cfvo type="num" val="100"/>
        <color rgb="FFFFFFFF"/>
        <color rgb="FF2E75B6"/>
      </colorScale>
    </cfRule>
  </conditionalFormatting>
  <conditionalFormatting sqref="AG5:AG20">
    <cfRule type="colorScale" priority="8">
      <colorScale>
        <cfvo type="num" val="0"/>
        <cfvo type="num" val="100"/>
        <color rgb="FFFFFFFF"/>
        <color rgb="FF2E75B6"/>
      </colorScale>
    </cfRule>
  </conditionalFormatting>
  <conditionalFormatting sqref="AI5:AI20">
    <cfRule type="expression" priority="9" aboveAverage="0" equalAverage="0" bottom="0" percent="0" rank="0" text="" dxfId="47">
      <formula>$AI5="Likely"</formula>
    </cfRule>
    <cfRule type="expression" priority="10" aboveAverage="0" equalAverage="0" bottom="0" percent="0" rank="0" text="" dxfId="48">
      <formula>$AI5="Possible"</formula>
    </cfRule>
    <cfRule type="expression" priority="11" aboveAverage="0" equalAverage="0" bottom="0" percent="0" rank="0" text="" dxfId="49">
      <formula>$AI5="Unlikely"</formula>
    </cfRule>
  </conditionalFormatting>
  <conditionalFormatting sqref="A5:A20">
    <cfRule type="expression" priority="12" aboveAverage="0" equalAverage="0" bottom="0" percent="0" rank="0" text="" dxfId="50">
      <formula>$A5="P1"</formula>
    </cfRule>
    <cfRule type="expression" priority="13" aboveAverage="0" equalAverage="0" bottom="0" percent="0" rank="0" text="" dxfId="51">
      <formula>$A5="P2"</formula>
    </cfRule>
    <cfRule type="expression" priority="14" aboveAverage="0" equalAverage="0" bottom="0" percent="0" rank="0" text="" dxfId="52">
      <formula>$A5="P3"</formula>
    </cfRule>
  </conditionalFormatting>
  <conditionalFormatting sqref="T5:T20">
    <cfRule type="expression" priority="15" aboveAverage="0" equalAverage="0" bottom="0" percent="0" rank="0" text="" dxfId="53">
      <formula>$T5="◆ Multi"</formula>
    </cfRule>
  </conditionalFormatting>
  <conditionalFormatting sqref="AL5:AL20">
    <cfRule type="expression" priority="16" aboveAverage="0" equalAverage="0" bottom="0" percent="0" rank="0" text="" dxfId="49">
      <formula>$AL5="H"</formula>
    </cfRule>
    <cfRule type="expression" priority="17" aboveAverage="0" equalAverage="0" bottom="0" percent="0" rank="0" text="" dxfId="48">
      <formula>$AL5="M"</formula>
    </cfRule>
    <cfRule type="expression" priority="18" aboveAverage="0" equalAverage="0" bottom="0" percent="0" rank="0" text="" dxfId="47">
      <formula>$AL5="L"</formula>
    </cfRule>
  </conditionalFormatting>
  <conditionalFormatting sqref="AM5:AM20">
    <cfRule type="expression" priority="19" aboveAverage="0" equalAverage="0" bottom="0" percent="0" rank="0" text="" dxfId="49">
      <formula>$AM5="H"</formula>
    </cfRule>
    <cfRule type="expression" priority="20" aboveAverage="0" equalAverage="0" bottom="0" percent="0" rank="0" text="" dxfId="48">
      <formula>$AM5="M"</formula>
    </cfRule>
    <cfRule type="expression" priority="21" aboveAverage="0" equalAverage="0" bottom="0" percent="0" rank="0" text="" dxfId="47">
      <formula>$AM5="L"</formula>
    </cfRule>
  </conditionalFormatting>
  <conditionalFormatting sqref="AN5:AN20">
    <cfRule type="expression" priority="22" aboveAverage="0" equalAverage="0" bottom="0" percent="0" rank="0" text="" dxfId="49">
      <formula>$AN5="H"</formula>
    </cfRule>
    <cfRule type="expression" priority="23" aboveAverage="0" equalAverage="0" bottom="0" percent="0" rank="0" text="" dxfId="48">
      <formula>$AN5="M"</formula>
    </cfRule>
    <cfRule type="expression" priority="24" aboveAverage="0" equalAverage="0" bottom="0" percent="0" rank="0" text="" dxfId="47">
      <formula>$AN5="L"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536273-A3E3-48A1-9E40-BA665042AEEB}">
            <x14:dataBar minLength="10" maxLength="90" axisPosition="none" gradient="true">
              <x14:cfvo type="num">
                <xm:f>0</xm:f>
              </x14:cfvo>
              <x14:cfvo type="num">
                <xm:f>3</xm:f>
              </x14:cfvo>
              <x14:negativeFillColor rgb="FF5B2C83"/>
              <x14:axisColor rgb="FF000000"/>
            </x14:dataBar>
          </x14:cfRule>
          <xm:sqref>S5:S20</xm:sqref>
        </x14:conditionalFormatting>
        <x14:conditionalFormatting xmlns:xm="http://schemas.microsoft.com/office/excel/2006/main">
          <x14:cfRule type="dataBar" id="{9D16B717-D6BD-4469-A864-27F8C3B8317D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2E75B6"/>
              <x14:axisColor rgb="FF000000"/>
            </x14:dataBar>
          </x14:cfRule>
          <xm:sqref>AH5:AH20</xm:sqref>
        </x14:conditionalFormatting>
        <x14:conditionalFormatting xmlns:xm="http://schemas.microsoft.com/office/excel/2006/main">
          <x14:cfRule type="dataBar" id="{741079B0-A2ED-4152-B729-E3FD30D0A2FE}">
            <x14:dataBar minLength="10" maxLength="90" axisPosition="none" gradient="true">
              <x14:cfvo type="num">
                <xm:f>0</xm:f>
              </x14:cfvo>
              <x14:cfvo type="num">
                <xm:f>6</xm:f>
              </x14:cfvo>
              <x14:negativeFillColor rgb="FF005B7F"/>
              <x14:axisColor rgb="FF000000"/>
            </x14:dataBar>
          </x14:cfRule>
          <xm:sqref>AJ5:AJ20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</cols>
  <sheetData>
    <row r="1" customFormat="false" ht="17.35" hidden="false" customHeight="false" outlineLevel="0" collapsed="false">
      <c r="A1" s="1" t="s">
        <v>216</v>
      </c>
      <c r="B1" s="1"/>
      <c r="C1" s="1"/>
      <c r="D1" s="1"/>
    </row>
    <row r="3" customFormat="false" ht="15" hidden="false" customHeight="false" outlineLevel="0" collapsed="false">
      <c r="A3" s="20" t="s">
        <v>217</v>
      </c>
      <c r="B3" s="20"/>
      <c r="C3" s="20"/>
      <c r="D3" s="20"/>
    </row>
    <row r="4" customFormat="false" ht="30" hidden="false" customHeight="true" outlineLevel="0" collapsed="false">
      <c r="A4" s="21" t="s">
        <v>202</v>
      </c>
      <c r="B4" s="22" t="s">
        <v>218</v>
      </c>
      <c r="C4" s="22"/>
      <c r="D4" s="22"/>
    </row>
    <row r="5" customFormat="false" ht="30" hidden="false" customHeight="true" outlineLevel="0" collapsed="false">
      <c r="A5" s="21" t="s">
        <v>105</v>
      </c>
      <c r="B5" s="22" t="s">
        <v>219</v>
      </c>
      <c r="C5" s="22"/>
      <c r="D5" s="22"/>
    </row>
    <row r="6" customFormat="false" ht="30" hidden="false" customHeight="true" outlineLevel="0" collapsed="false">
      <c r="A6" s="21" t="s">
        <v>77</v>
      </c>
      <c r="B6" s="22" t="s">
        <v>220</v>
      </c>
      <c r="C6" s="22"/>
      <c r="D6" s="22"/>
    </row>
    <row r="7" customFormat="false" ht="30" hidden="false" customHeight="true" outlineLevel="0" collapsed="false">
      <c r="A7" s="21" t="s">
        <v>167</v>
      </c>
      <c r="B7" s="22" t="s">
        <v>221</v>
      </c>
      <c r="C7" s="22"/>
      <c r="D7" s="22"/>
    </row>
    <row r="8" customFormat="false" ht="30" hidden="false" customHeight="true" outlineLevel="0" collapsed="false">
      <c r="A8" s="21" t="s">
        <v>222</v>
      </c>
      <c r="B8" s="22" t="s">
        <v>223</v>
      </c>
      <c r="C8" s="22"/>
      <c r="D8" s="22"/>
    </row>
    <row r="9" customFormat="false" ht="30" hidden="false" customHeight="true" outlineLevel="0" collapsed="false">
      <c r="A9" s="21" t="s">
        <v>224</v>
      </c>
      <c r="B9" s="22" t="s">
        <v>225</v>
      </c>
      <c r="C9" s="22"/>
      <c r="D9" s="22"/>
    </row>
    <row r="10" customFormat="false" ht="30" hidden="false" customHeight="true" outlineLevel="0" collapsed="false">
      <c r="A10" s="21" t="s">
        <v>226</v>
      </c>
      <c r="B10" s="22" t="s">
        <v>227</v>
      </c>
      <c r="C10" s="22"/>
      <c r="D10" s="22"/>
    </row>
    <row r="12" customFormat="false" ht="15" hidden="false" customHeight="false" outlineLevel="0" collapsed="false">
      <c r="A12" s="23" t="s">
        <v>228</v>
      </c>
      <c r="B12" s="23"/>
      <c r="C12" s="23"/>
      <c r="D12" s="23"/>
    </row>
    <row r="13" customFormat="false" ht="15" hidden="false" customHeight="true" outlineLevel="0" collapsed="false">
      <c r="A13" s="21" t="s">
        <v>229</v>
      </c>
      <c r="B13" s="22" t="s">
        <v>230</v>
      </c>
      <c r="C13" s="22"/>
      <c r="D13" s="22"/>
    </row>
    <row r="14" customFormat="false" ht="15" hidden="false" customHeight="true" outlineLevel="0" collapsed="false">
      <c r="A14" s="21" t="s">
        <v>231</v>
      </c>
      <c r="B14" s="22" t="s">
        <v>232</v>
      </c>
      <c r="C14" s="22"/>
      <c r="D14" s="22"/>
    </row>
    <row r="15" customFormat="false" ht="15" hidden="false" customHeight="true" outlineLevel="0" collapsed="false">
      <c r="A15" s="21" t="s">
        <v>233</v>
      </c>
      <c r="B15" s="22" t="s">
        <v>234</v>
      </c>
      <c r="C15" s="22"/>
      <c r="D15" s="22"/>
    </row>
    <row r="16" customFormat="false" ht="15" hidden="false" customHeight="true" outlineLevel="0" collapsed="false">
      <c r="A16" s="21" t="s">
        <v>235</v>
      </c>
      <c r="B16" s="22" t="s">
        <v>236</v>
      </c>
      <c r="C16" s="22"/>
      <c r="D16" s="22"/>
    </row>
    <row r="17" customFormat="false" ht="15" hidden="false" customHeight="true" outlineLevel="0" collapsed="false">
      <c r="A17" s="21" t="s">
        <v>237</v>
      </c>
      <c r="B17" s="22" t="s">
        <v>238</v>
      </c>
      <c r="C17" s="22"/>
      <c r="D17" s="22"/>
    </row>
    <row r="18" customFormat="false" ht="15" hidden="false" customHeight="true" outlineLevel="0" collapsed="false">
      <c r="A18" s="21" t="s">
        <v>239</v>
      </c>
      <c r="B18" s="22" t="s">
        <v>240</v>
      </c>
      <c r="C18" s="22"/>
      <c r="D18" s="22"/>
    </row>
    <row r="19" customFormat="false" ht="15" hidden="false" customHeight="true" outlineLevel="0" collapsed="false">
      <c r="A19" s="21" t="s">
        <v>241</v>
      </c>
      <c r="B19" s="22" t="s">
        <v>242</v>
      </c>
      <c r="C19" s="22"/>
      <c r="D19" s="22"/>
    </row>
    <row r="20" customFormat="false" ht="15" hidden="false" customHeight="true" outlineLevel="0" collapsed="false">
      <c r="A20" s="21" t="s">
        <v>243</v>
      </c>
      <c r="B20" s="22" t="s">
        <v>244</v>
      </c>
      <c r="C20" s="22"/>
      <c r="D20" s="22"/>
    </row>
    <row r="22" customFormat="false" ht="15" hidden="false" customHeight="false" outlineLevel="0" collapsed="false">
      <c r="A22" s="24" t="s">
        <v>245</v>
      </c>
      <c r="B22" s="24"/>
      <c r="C22" s="24"/>
      <c r="D22" s="24"/>
    </row>
    <row r="23" customFormat="false" ht="25.5" hidden="false" customHeight="true" outlineLevel="0" collapsed="false">
      <c r="A23" s="21" t="s">
        <v>43</v>
      </c>
      <c r="B23" s="22" t="s">
        <v>246</v>
      </c>
      <c r="C23" s="22"/>
      <c r="D23" s="22"/>
    </row>
    <row r="24" customFormat="false" ht="25.5" hidden="false" customHeight="true" outlineLevel="0" collapsed="false">
      <c r="A24" s="21" t="s">
        <v>247</v>
      </c>
      <c r="B24" s="22" t="s">
        <v>248</v>
      </c>
      <c r="C24" s="22"/>
      <c r="D24" s="22"/>
    </row>
    <row r="25" customFormat="false" ht="25.5" hidden="false" customHeight="true" outlineLevel="0" collapsed="false">
      <c r="A25" s="21" t="s">
        <v>45</v>
      </c>
      <c r="B25" s="22" t="s">
        <v>249</v>
      </c>
      <c r="C25" s="22"/>
      <c r="D25" s="22"/>
    </row>
    <row r="26" customFormat="false" ht="25.5" hidden="false" customHeight="true" outlineLevel="0" collapsed="false">
      <c r="A26" s="21" t="s">
        <v>46</v>
      </c>
      <c r="B26" s="22" t="s">
        <v>250</v>
      </c>
      <c r="C26" s="22"/>
      <c r="D26" s="22"/>
    </row>
    <row r="27" customFormat="false" ht="25.5" hidden="false" customHeight="true" outlineLevel="0" collapsed="false">
      <c r="A27" s="21" t="s">
        <v>31</v>
      </c>
      <c r="B27" s="22" t="s">
        <v>251</v>
      </c>
      <c r="C27" s="22"/>
      <c r="D27" s="22"/>
    </row>
    <row r="28" customFormat="false" ht="25.5" hidden="false" customHeight="true" outlineLevel="0" collapsed="false">
      <c r="A28" s="21" t="s">
        <v>12</v>
      </c>
      <c r="B28" s="22" t="s">
        <v>252</v>
      </c>
      <c r="C28" s="22"/>
      <c r="D28" s="22"/>
    </row>
    <row r="29" customFormat="false" ht="25.5" hidden="false" customHeight="true" outlineLevel="0" collapsed="false">
      <c r="A29" s="21" t="s">
        <v>253</v>
      </c>
      <c r="B29" s="22" t="s">
        <v>254</v>
      </c>
      <c r="C29" s="22"/>
      <c r="D29" s="22"/>
    </row>
    <row r="31" customFormat="false" ht="15" hidden="false" customHeight="false" outlineLevel="0" collapsed="false">
      <c r="A31" s="25" t="s">
        <v>255</v>
      </c>
      <c r="B31" s="25"/>
      <c r="C31" s="25"/>
      <c r="D31" s="25"/>
    </row>
    <row r="32" customFormat="false" ht="25.5" hidden="false" customHeight="true" outlineLevel="0" collapsed="false">
      <c r="A32" s="21" t="s">
        <v>256</v>
      </c>
      <c r="B32" s="22" t="s">
        <v>257</v>
      </c>
      <c r="C32" s="22"/>
      <c r="D32" s="22"/>
    </row>
    <row r="33" customFormat="false" ht="25.5" hidden="false" customHeight="true" outlineLevel="0" collapsed="false">
      <c r="A33" s="21" t="s">
        <v>258</v>
      </c>
      <c r="B33" s="22" t="s">
        <v>259</v>
      </c>
      <c r="C33" s="22"/>
      <c r="D33" s="22"/>
    </row>
    <row r="34" customFormat="false" ht="25.5" hidden="false" customHeight="true" outlineLevel="0" collapsed="false">
      <c r="A34" s="21" t="s">
        <v>260</v>
      </c>
      <c r="B34" s="22" t="s">
        <v>261</v>
      </c>
      <c r="C34" s="22"/>
      <c r="D34" s="22"/>
    </row>
    <row r="35" customFormat="false" ht="25.5" hidden="false" customHeight="true" outlineLevel="0" collapsed="false">
      <c r="A35" s="21" t="s">
        <v>151</v>
      </c>
      <c r="B35" s="22" t="s">
        <v>262</v>
      </c>
      <c r="C35" s="22"/>
      <c r="D35" s="22"/>
    </row>
    <row r="36" customFormat="false" ht="25.5" hidden="false" customHeight="true" outlineLevel="0" collapsed="false">
      <c r="A36" s="21" t="s">
        <v>184</v>
      </c>
      <c r="B36" s="22" t="s">
        <v>263</v>
      </c>
      <c r="C36" s="22"/>
      <c r="D36" s="22"/>
    </row>
    <row r="37" customFormat="false" ht="25.5" hidden="false" customHeight="true" outlineLevel="0" collapsed="false">
      <c r="A37" s="21" t="s">
        <v>199</v>
      </c>
      <c r="B37" s="22" t="s">
        <v>264</v>
      </c>
      <c r="C37" s="22"/>
      <c r="D37" s="22"/>
    </row>
    <row r="39" customFormat="false" ht="15" hidden="false" customHeight="false" outlineLevel="0" collapsed="false">
      <c r="A39" s="26" t="s">
        <v>265</v>
      </c>
      <c r="B39" s="26"/>
      <c r="C39" s="26"/>
      <c r="D39" s="26"/>
    </row>
    <row r="40" customFormat="false" ht="30" hidden="false" customHeight="true" outlineLevel="0" collapsed="false">
      <c r="A40" s="21" t="s">
        <v>266</v>
      </c>
      <c r="B40" s="22" t="s">
        <v>267</v>
      </c>
      <c r="C40" s="22"/>
      <c r="D40" s="22"/>
    </row>
    <row r="41" customFormat="false" ht="15" hidden="false" customHeight="true" outlineLevel="0" collapsed="false">
      <c r="A41" s="21" t="s">
        <v>60</v>
      </c>
      <c r="B41" s="22" t="s">
        <v>268</v>
      </c>
      <c r="C41" s="22"/>
      <c r="D41" s="22"/>
    </row>
    <row r="43" customFormat="false" ht="15" hidden="false" customHeight="false" outlineLevel="0" collapsed="false">
      <c r="A43" s="2" t="s">
        <v>269</v>
      </c>
      <c r="B43" s="2"/>
      <c r="C43" s="2"/>
      <c r="D43" s="2"/>
    </row>
  </sheetData>
  <mergeCells count="37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A12:D12"/>
    <mergeCell ref="B13:D13"/>
    <mergeCell ref="B14:D14"/>
    <mergeCell ref="B15:D15"/>
    <mergeCell ref="B16:D16"/>
    <mergeCell ref="B17:D17"/>
    <mergeCell ref="B18:D18"/>
    <mergeCell ref="B19:D19"/>
    <mergeCell ref="B20:D20"/>
    <mergeCell ref="A22:D22"/>
    <mergeCell ref="B23:D23"/>
    <mergeCell ref="B24:D24"/>
    <mergeCell ref="B25:D25"/>
    <mergeCell ref="B26:D26"/>
    <mergeCell ref="B27:D27"/>
    <mergeCell ref="B28:D28"/>
    <mergeCell ref="B29:D29"/>
    <mergeCell ref="A31:D31"/>
    <mergeCell ref="B32:D32"/>
    <mergeCell ref="B33:D33"/>
    <mergeCell ref="B34:D34"/>
    <mergeCell ref="B35:D35"/>
    <mergeCell ref="B36:D36"/>
    <mergeCell ref="B37:D37"/>
    <mergeCell ref="A39:D39"/>
    <mergeCell ref="B40:D40"/>
    <mergeCell ref="B41:D41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2C83"/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270</v>
      </c>
      <c r="B1" s="1"/>
      <c r="C1" s="1"/>
      <c r="D1" s="1"/>
    </row>
    <row r="2" customFormat="false" ht="39.75" hidden="false" customHeight="true" outlineLevel="0" collapsed="false">
      <c r="A2" s="27" t="s">
        <v>271</v>
      </c>
      <c r="B2" s="27"/>
      <c r="C2" s="27"/>
      <c r="D2" s="27"/>
    </row>
    <row r="4" customFormat="false" ht="15" hidden="false" customHeight="false" outlineLevel="0" collapsed="false">
      <c r="A4" s="28" t="s">
        <v>272</v>
      </c>
      <c r="B4" s="28" t="s">
        <v>273</v>
      </c>
      <c r="C4" s="28" t="s">
        <v>274</v>
      </c>
      <c r="D4" s="28" t="s">
        <v>275</v>
      </c>
    </row>
    <row r="5" customFormat="false" ht="24" hidden="false" customHeight="true" outlineLevel="0" collapsed="false">
      <c r="A5" s="21" t="s">
        <v>235</v>
      </c>
      <c r="B5" s="29" t="s">
        <v>276</v>
      </c>
      <c r="C5" s="30" t="s">
        <v>277</v>
      </c>
      <c r="D5" s="29" t="s">
        <v>278</v>
      </c>
    </row>
    <row r="6" customFormat="false" ht="24" hidden="false" customHeight="true" outlineLevel="0" collapsed="false">
      <c r="A6" s="31" t="s">
        <v>279</v>
      </c>
      <c r="B6" s="32" t="s">
        <v>276</v>
      </c>
      <c r="C6" s="33" t="s">
        <v>280</v>
      </c>
      <c r="D6" s="32" t="s">
        <v>278</v>
      </c>
    </row>
    <row r="7" customFormat="false" ht="24" hidden="false" customHeight="true" outlineLevel="0" collapsed="false">
      <c r="A7" s="21" t="s">
        <v>233</v>
      </c>
      <c r="B7" s="29" t="s">
        <v>276</v>
      </c>
      <c r="C7" s="30" t="s">
        <v>281</v>
      </c>
      <c r="D7" s="29" t="s">
        <v>278</v>
      </c>
    </row>
    <row r="8" customFormat="false" ht="24" hidden="false" customHeight="true" outlineLevel="0" collapsed="false">
      <c r="A8" s="31" t="s">
        <v>229</v>
      </c>
      <c r="B8" s="32" t="s">
        <v>282</v>
      </c>
      <c r="C8" s="33" t="s">
        <v>283</v>
      </c>
      <c r="D8" s="32" t="s">
        <v>284</v>
      </c>
    </row>
    <row r="9" customFormat="false" ht="24" hidden="false" customHeight="true" outlineLevel="0" collapsed="false">
      <c r="A9" s="21" t="s">
        <v>241</v>
      </c>
      <c r="B9" s="29" t="s">
        <v>285</v>
      </c>
      <c r="C9" s="30" t="s">
        <v>286</v>
      </c>
      <c r="D9" s="29" t="s">
        <v>287</v>
      </c>
    </row>
    <row r="10" customFormat="false" ht="24" hidden="false" customHeight="true" outlineLevel="0" collapsed="false">
      <c r="A10" s="31" t="s">
        <v>231</v>
      </c>
      <c r="B10" s="32" t="s">
        <v>285</v>
      </c>
      <c r="C10" s="33" t="s">
        <v>288</v>
      </c>
      <c r="D10" s="32" t="s">
        <v>287</v>
      </c>
    </row>
    <row r="11" customFormat="false" ht="24" hidden="false" customHeight="true" outlineLevel="0" collapsed="false">
      <c r="A11" s="21" t="s">
        <v>237</v>
      </c>
      <c r="B11" s="29" t="s">
        <v>289</v>
      </c>
      <c r="C11" s="30" t="s">
        <v>290</v>
      </c>
      <c r="D11" s="29" t="s">
        <v>278</v>
      </c>
    </row>
    <row r="12" customFormat="false" ht="24" hidden="false" customHeight="true" outlineLevel="0" collapsed="false">
      <c r="A12" s="31" t="s">
        <v>239</v>
      </c>
      <c r="B12" s="32" t="s">
        <v>291</v>
      </c>
      <c r="C12" s="33" t="s">
        <v>292</v>
      </c>
      <c r="D12" s="32" t="s">
        <v>287</v>
      </c>
    </row>
    <row r="13" customFormat="false" ht="24" hidden="false" customHeight="true" outlineLevel="0" collapsed="false">
      <c r="A13" s="21" t="s">
        <v>243</v>
      </c>
      <c r="B13" s="29" t="s">
        <v>289</v>
      </c>
      <c r="C13" s="30" t="s">
        <v>293</v>
      </c>
      <c r="D13" s="29" t="s">
        <v>294</v>
      </c>
    </row>
    <row r="14" customFormat="false" ht="30" hidden="false" customHeight="true" outlineLevel="0" collapsed="false">
      <c r="A14" s="34" t="s">
        <v>295</v>
      </c>
      <c r="B14" s="34"/>
      <c r="C14" s="34"/>
      <c r="D14" s="34"/>
    </row>
  </sheetData>
  <mergeCells count="3">
    <mergeCell ref="A1:D1"/>
    <mergeCell ref="A2:D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2026-06-16T19:05:43Z</dcterms:created>
  <dc:creator>openpyxl</dc:creator>
  <dc:description/>
  <dc:language>en-US</dc:language>
  <cp:lastModifiedBy/>
  <dcterms:modified xsi:type="dcterms:W3CDTF">2026-06-16T19:05:43Z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