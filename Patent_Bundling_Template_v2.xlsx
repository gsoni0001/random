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ttribute Dictionary" sheetId="2" state="visible" r:id="rId4"/>
    <sheet name="Patent Portfolio" sheetId="3" state="visible" r:id="rId5"/>
    <sheet name="Bundle Rules" sheetId="4" state="visible" r:id="rId6"/>
    <sheet name="Bundle Assignment" sheetId="5" state="visible" r:id="rId7"/>
    <sheet name="Bundle Quality Scorecard" sheetId="6" state="visible" r:id="rId8"/>
    <sheet name="Sample Bundles" sheetId="7" state="visible" r:id="rId9"/>
    <sheet name="Bundle Composition Strateg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<sst xmlns="http://schemas.openxmlformats.org/spreadsheetml/2006/main" count="918" uniqueCount="612">
  <si>
    <t xml:space="preserve">PATENT PORTFOLIO BUNDLING TEMPLATE</t>
  </si>
  <si>
    <t xml:space="preserve">A technical-attribute-based framework for grouping patents into sellable bundles</t>
  </si>
  <si>
    <t xml:space="preserve">PURPOSE</t>
  </si>
  <si>
    <t xml:space="preserve">Score each patent across technical attributes, then auto-route patents into one or more sellable bundle types based on logical rules. The framework is purely technical — no valuation, no pricing.</t>
  </si>
  <si>
    <t xml:space="preserve">SHEETS IN THIS WORKBOOK</t>
  </si>
  <si>
    <t xml:space="preserve">1. README — This page. Overview and instructions.</t>
  </si>
  <si>
    <t xml:space="preserve">2. Attribute Dictionary — Definitions and scoring scales for every attribute.</t>
  </si>
  <si>
    <t xml:space="preserve">3. Patent Portfolio — Master data sheet. One row per patent. Fill this in.</t>
  </si>
  <si>
    <t xml:space="preserve">4. Bundle Rules — The 21 bundle types and the routing rule that qualifies a patent for each.</t>
  </si>
  <si>
    <t xml:space="preserve">5. Bundle Assignment — Auto-computed: which bundles each patent qualifies for.</t>
  </si>
  <si>
    <t xml:space="preserve">6. Bundle Quality Scorecard — Auto-computed: quality indicators per bundle.</t>
  </si>
  <si>
    <t xml:space="preserve">7. Sample Bundles — Worked examples showing how three bundles look in practice.</t>
  </si>
  <si>
    <t xml:space="preserve">HOW TO USE</t>
  </si>
  <si>
    <t xml:space="preserve">Step 1: Read the Attribute Dictionary to understand the scoring scales.</t>
  </si>
  <si>
    <t xml:space="preserve">Step 2: Open Patent Portfolio. Replace the 12 sample rows with your own patents. Use the dropdowns where provided.</t>
  </si>
  <si>
    <t xml:space="preserve">Step 3: Review Bundle Assignment — each patent shows which of the 21 bundles it qualifies for, with TRUE/FALSE flags.</t>
  </si>
  <si>
    <t xml:space="preserve">Step 4: Review Bundle Quality Scorecard — aggregate metrics tell you which bundles are strong, weak, or too small.</t>
  </si>
  <si>
    <t xml:space="preserve">Step 5: Iterate. Merge small bundles, split large ones, refine attribute scores.</t>
  </si>
  <si>
    <t xml:space="preserve">COLOR LEGEND (Patent Portfolio sheet)</t>
  </si>
  <si>
    <t xml:space="preserve">Group A (dark blue) — Technology classification attributes</t>
  </si>
  <si>
    <t xml:space="preserve">Group B (medium blue) — Standards &amp; ecosystem attributes</t>
  </si>
  <si>
    <t xml:space="preserve">Group C (light blue) — Claim &amp; scope attributes</t>
  </si>
  <si>
    <t xml:space="preserve">Group D (pale blue) — Detectability &amp; enforcement attributes</t>
  </si>
  <si>
    <t xml:space="preserve">Group E (dark green) — Family &amp; lifecycle attributes</t>
  </si>
  <si>
    <t xml:space="preserve">Group F (medium green) — Geographic attributes</t>
  </si>
  <si>
    <t xml:space="preserve">Group G (light green) — Strategic &amp; thematic attributes</t>
  </si>
  <si>
    <t xml:space="preserve">NOTES</t>
  </si>
  <si>
    <t xml:space="preserve">• The 12 sample patents are illustrative only. They span wireless, battery, computer vision, and materials to demonstrate how diverse portfolios map to bundles.</t>
  </si>
  <si>
    <t xml:space="preserve">• All cells with formulas are black text. All input cells use blue text. Lookup/cross-sheet links use green text where applicable.</t>
  </si>
  <si>
    <t xml:space="preserve">• A patent typically qualifies for multiple bundles. Use the Bundle Assignment sheet to decide final placement (multi-list, anchor-assign, or tiered).</t>
  </si>
  <si>
    <t xml:space="preserve">v2 ADDITIONS</t>
  </si>
  <si>
    <t xml:space="preserve">Group H attributes — Patent Quality &amp; Vulnerability (claim strength, prior-art exposure, prosecution history, divided-infringement risk, citation counts, litigation history, chain of title, EoU availability, encumbrance).</t>
  </si>
  <si>
    <t xml:space="preserve">Group I attributes — Market/Buyer Signals (product-mapping confidence, implementation maturity, adjacent-market re-read, workaround complexity).</t>
  </si>
  <si>
    <t xml:space="preserve">Bundle types 22-33 — Anchor-and-Halo, Picket-Fence, Strong-Core+Tail, Continuation-Live, EoU-Backed, Battle-Tested, Clean-Title, High-Citation, Adjacent Re-Read, Salvage Volume, Pre-Expiry, Provenance-Coherent.</t>
  </si>
  <si>
    <t xml:space="preserve">Scorecard gates — Weakest H1, Invalidity exposure %, EoU-ready %, Survived %, Continuation-optionality %.</t>
  </si>
  <si>
    <t xml:space="preserve">New "Bundle Composition Strategy" sheet — tiered structure, anchor-first, storyline, complementary-weakness, modular, carve-in/out, reserve, buyer-profile, continuation-optionality overlays.</t>
  </si>
  <si>
    <t xml:space="preserve">Group</t>
  </si>
  <si>
    <t xml:space="preserve">Code</t>
  </si>
  <si>
    <t xml:space="preserve">Attribute</t>
  </si>
  <si>
    <t xml:space="preserve">Description</t>
  </si>
  <si>
    <t xml:space="preserve">Scale / Values</t>
  </si>
  <si>
    <t xml:space="preserve">Example</t>
  </si>
  <si>
    <t xml:space="preserve">A. Technology Classification</t>
  </si>
  <si>
    <t xml:space="preserve">A1</t>
  </si>
  <si>
    <t xml:space="preserve">Primary technology domain</t>
  </si>
  <si>
    <t xml:space="preserve">Main CPC/IPC classification or internal taxonomy tag.</t>
  </si>
  <si>
    <t xml:space="preserve">Categorical text</t>
  </si>
  <si>
    <t xml:space="preserve">Wireless PHY</t>
  </si>
  <si>
    <t xml:space="preserve">A2</t>
  </si>
  <si>
    <t xml:space="preserve">Secondary domains</t>
  </si>
  <si>
    <t xml:space="preserve">Cross-applicable technical areas the patent also touches.</t>
  </si>
  <si>
    <t xml:space="preserve">Comma-separated tags</t>
  </si>
  <si>
    <t xml:space="preserve">Beamforming, MIMO</t>
  </si>
  <si>
    <t xml:space="preserve">A3</t>
  </si>
  <si>
    <t xml:space="preserve">Stack layer</t>
  </si>
  <si>
    <t xml:space="preserve">Horizontal layer of the technology stack.</t>
  </si>
  <si>
    <t xml:space="preserve">Hardware / Firmware / OS / Middleware / App / Cloud / UI</t>
  </si>
  <si>
    <t xml:space="preserve">Hardware</t>
  </si>
  <si>
    <t xml:space="preserve">A4</t>
  </si>
  <si>
    <t xml:space="preserve">Product subsystem</t>
  </si>
  <si>
    <t xml:space="preserve">Which subsystem(s) of an end-product it covers.</t>
  </si>
  <si>
    <t xml:space="preserve">Free-text / list</t>
  </si>
  <si>
    <t xml:space="preserve">Battery management</t>
  </si>
  <si>
    <t xml:space="preserve">A5</t>
  </si>
  <si>
    <t xml:space="preserve">Use-case</t>
  </si>
  <si>
    <t xml:space="preserve">Real-world problem(s) it solves.</t>
  </si>
  <si>
    <t xml:space="preserve">Indoor positioning</t>
  </si>
  <si>
    <t xml:space="preserve">B. Standards &amp; Ecosystem</t>
  </si>
  <si>
    <t xml:space="preserve">B1</t>
  </si>
  <si>
    <t xml:space="preserve">SEP potential</t>
  </si>
  <si>
    <t xml:space="preserve">Standard-essential potential.</t>
  </si>
  <si>
    <t xml:space="preserve">0 (none) → 3 (declared/strong mapping)</t>
  </si>
  <si>
    <t xml:space="preserve">3</t>
  </si>
  <si>
    <t xml:space="preserve">B2</t>
  </si>
  <si>
    <t xml:space="preserve">Standard tagged</t>
  </si>
  <si>
    <t xml:space="preserve">Specific standard(s) the patent maps to.</t>
  </si>
  <si>
    <t xml:space="preserve">3GPP 5G NR</t>
  </si>
  <si>
    <t xml:space="preserve">B3</t>
  </si>
  <si>
    <t xml:space="preserve">Interface role</t>
  </si>
  <si>
    <t xml:space="preserve">Role as an interoperability/interface technology.</t>
  </si>
  <si>
    <t xml:space="preserve">0 (internal only) → 3 (mandatory interface)</t>
  </si>
  <si>
    <t xml:space="preserve">2</t>
  </si>
  <si>
    <t xml:space="preserve">C. Claim &amp; Scope</t>
  </si>
  <si>
    <t xml:space="preserve">C1</t>
  </si>
  <si>
    <t xml:space="preserve">Claim type</t>
  </si>
  <si>
    <t xml:space="preserve">Dominant claim type.</t>
  </si>
  <si>
    <t xml:space="preserve">Apparatus / Method / System / CRM / Design</t>
  </si>
  <si>
    <t xml:space="preserve">Method</t>
  </si>
  <si>
    <t xml:space="preserve">C2</t>
  </si>
  <si>
    <t xml:space="preserve">Claim breadth</t>
  </si>
  <si>
    <t xml:space="preserve">How broad/foundational the independent claims are.</t>
  </si>
  <si>
    <t xml:space="preserve">0 (narrow) → 3 (foundational/pioneer)</t>
  </si>
  <si>
    <t xml:space="preserve">C3</t>
  </si>
  <si>
    <t xml:space="preserve">Independent claim count</t>
  </si>
  <si>
    <t xml:space="preserve">Number of independent claims.</t>
  </si>
  <si>
    <t xml:space="preserve">Integer</t>
  </si>
  <si>
    <t xml:space="preserve">C4</t>
  </si>
  <si>
    <t xml:space="preserve">Design-around difficulty</t>
  </si>
  <si>
    <t xml:space="preserve">How hard it is to design around the claims.</t>
  </si>
  <si>
    <t xml:space="preserve">0 (easy) → 3 (hard)</t>
  </si>
  <si>
    <t xml:space="preserve">D. Detectability</t>
  </si>
  <si>
    <t xml:space="preserve">D1</t>
  </si>
  <si>
    <t xml:space="preserve">External detectability</t>
  </si>
  <si>
    <t xml:space="preserve">Detectable via observable product behavior / UX / spec sheet.</t>
  </si>
  <si>
    <t xml:space="preserve">0 (not visible) → 3 (visible without teardown)</t>
  </si>
  <si>
    <t xml:space="preserve">D2</t>
  </si>
  <si>
    <t xml:space="preserve">Teardown detectability</t>
  </si>
  <si>
    <t xml:space="preserve">Detectable via product teardown / reverse engineering.</t>
  </si>
  <si>
    <t xml:space="preserve">0 → 3</t>
  </si>
  <si>
    <t xml:space="preserve">D3</t>
  </si>
  <si>
    <t xml:space="preserve">Reads-on-known-products</t>
  </si>
  <si>
    <t xml:space="preserve">Confirmed read on known commercial products.</t>
  </si>
  <si>
    <t xml:space="preserve">0 (none) → 3 (multiple confirmed)</t>
  </si>
  <si>
    <t xml:space="preserve">E. Family &amp; Lifecycle</t>
  </si>
  <si>
    <t xml:space="preserve">E1</t>
  </si>
  <si>
    <t xml:space="preserve">Family size</t>
  </si>
  <si>
    <t xml:space="preserve">Total count of family members (parent + continuations + foreign).</t>
  </si>
  <si>
    <t xml:space="preserve">7</t>
  </si>
  <si>
    <t xml:space="preserve">E2</t>
  </si>
  <si>
    <t xml:space="preserve">Prosecution status</t>
  </si>
  <si>
    <t xml:space="preserve">Status of the patent.</t>
  </si>
  <si>
    <t xml:space="preserve">Pending / Granted / Mixed</t>
  </si>
  <si>
    <t xml:space="preserve">Granted</t>
  </si>
  <si>
    <t xml:space="preserve">E3</t>
  </si>
  <si>
    <t xml:space="preserve">Continuation available</t>
  </si>
  <si>
    <t xml:space="preserve">Whether any child application is still pending.</t>
  </si>
  <si>
    <t xml:space="preserve">Yes / No</t>
  </si>
  <si>
    <t xml:space="preserve">Yes</t>
  </si>
  <si>
    <t xml:space="preserve">E4</t>
  </si>
  <si>
    <t xml:space="preserve">Remaining term (years)</t>
  </si>
  <si>
    <t xml:space="preserve">Years until earliest family member expires.</t>
  </si>
  <si>
    <t xml:space="preserve">14</t>
  </si>
  <si>
    <t xml:space="preserve">E5</t>
  </si>
  <si>
    <t xml:space="preserve">Maintenance status</t>
  </si>
  <si>
    <t xml:space="preserve">Whether maintenance fees are paid and family is active.</t>
  </si>
  <si>
    <t xml:space="preserve">Active / Lapsed / At-risk</t>
  </si>
  <si>
    <t xml:space="preserve">Active</t>
  </si>
  <si>
    <t xml:space="preserve">F. Geographic</t>
  </si>
  <si>
    <t xml:space="preserve">F1</t>
  </si>
  <si>
    <t xml:space="preserve">Jurisdictions</t>
  </si>
  <si>
    <t xml:space="preserve">Jurisdictions where the patent is granted.</t>
  </si>
  <si>
    <t xml:space="preserve">Comma-separated</t>
  </si>
  <si>
    <t xml:space="preserve">US, EP, CN, JP</t>
  </si>
  <si>
    <t xml:space="preserve">F2</t>
  </si>
  <si>
    <t xml:space="preserve">Trilateral coverage flag</t>
  </si>
  <si>
    <t xml:space="preserve">Granted in at least US + EP + at least one of CN/JP/KR.</t>
  </si>
  <si>
    <t xml:space="preserve">F3</t>
  </si>
  <si>
    <t xml:space="preserve">Major-market coverage score</t>
  </si>
  <si>
    <t xml:space="preserve">Strength of coverage across major economies.</t>
  </si>
  <si>
    <t xml:space="preserve">G. Strategic &amp; Thematic</t>
  </si>
  <si>
    <t xml:space="preserve">G1</t>
  </si>
  <si>
    <t xml:space="preserve">Convergence theme</t>
  </si>
  <si>
    <t xml:space="preserve">Hot convergence theme tags (AI+health, edge AI, AR/VR, etc.).</t>
  </si>
  <si>
    <t xml:space="preserve">Edge AI</t>
  </si>
  <si>
    <t xml:space="preserve">G2</t>
  </si>
  <si>
    <t xml:space="preserve">Generation</t>
  </si>
  <si>
    <t xml:space="preserve">Technology generation tag.</t>
  </si>
  <si>
    <t xml:space="preserve">Legacy / Current / Next-gen</t>
  </si>
  <si>
    <t xml:space="preserve">Current</t>
  </si>
  <si>
    <t xml:space="preserve">G3</t>
  </si>
  <si>
    <t xml:space="preserve">Cross-industry applicability</t>
  </si>
  <si>
    <t xml:space="preserve">How many industries the patent could read on.</t>
  </si>
  <si>
    <t xml:space="preserve">0 (single) → 3 (4+ industries)</t>
  </si>
  <si>
    <t xml:space="preserve">H. Patent Quality &amp; Vulnerability</t>
  </si>
  <si>
    <t xml:space="preserve">H1</t>
  </si>
  <si>
    <t xml:space="preserve">Claim strength rating</t>
  </si>
  <si>
    <t xml:space="preserve">Overall enforceability based on claim language clarity and dependent-claim depth.</t>
  </si>
  <si>
    <t xml:space="preserve">0 (vague/narrow) → 3 (clean, well-anchored)</t>
  </si>
  <si>
    <t xml:space="preserve">H2</t>
  </si>
  <si>
    <t xml:space="preserve">Prior-art exposure</t>
  </si>
  <si>
    <t xml:space="preserve">Known prior art that could invalidate the patent; PTAB/IPR/EPO opposition risk.</t>
  </si>
  <si>
    <t xml:space="preserve">0 (high invalidity risk) → 3 (clean)</t>
  </si>
  <si>
    <t xml:space="preserve">H3</t>
  </si>
  <si>
    <t xml:space="preserve">Prosecution history risk</t>
  </si>
  <si>
    <t xml:space="preserve">File-wrapper estoppel exposure from narrowing arguments made during prosecution.</t>
  </si>
  <si>
    <t xml:space="preserve">0 (heavy estoppel) → 3 (clean prosecution)</t>
  </si>
  <si>
    <t xml:space="preserve">H4</t>
  </si>
  <si>
    <t xml:space="preserve">Divided infringement risk</t>
  </si>
  <si>
    <t xml:space="preserve">Whether infringement requires acts by multiple parties (multi-actor reduces enforceability).</t>
  </si>
  <si>
    <t xml:space="preserve">0 (multi-party only) → 3 (single-actor)</t>
  </si>
  <si>
    <t xml:space="preserve">H5</t>
  </si>
  <si>
    <t xml:space="preserve">Forward citation count</t>
  </si>
  <si>
    <t xml:space="preserve">Number of times this patent has been cited by later filings (technical influence signal).</t>
  </si>
  <si>
    <t xml:space="preserve">12</t>
  </si>
  <si>
    <t xml:space="preserve">H6</t>
  </si>
  <si>
    <t xml:space="preserve">Backward citation density</t>
  </si>
  <si>
    <t xml:space="preserve">Density of prior art cited during prosecution.</t>
  </si>
  <si>
    <t xml:space="preserve">34</t>
  </si>
  <si>
    <t xml:space="preserve">H7</t>
  </si>
  <si>
    <t xml:space="preserve">Litigation/PTAB history</t>
  </si>
  <si>
    <t xml:space="preserve">Has the patent or family been litigated or challenged? Outcome?</t>
  </si>
  <si>
    <t xml:space="preserve">None / Survived / Pending / Lost-claims</t>
  </si>
  <si>
    <t xml:space="preserve">Survived</t>
  </si>
  <si>
    <t xml:space="preserve">H8</t>
  </si>
  <si>
    <t xml:space="preserve">Chain-of-title cleanliness</t>
  </si>
  <si>
    <t xml:space="preserve">Quality of the ownership chain: assignments, prior co-ownership, security interests.</t>
  </si>
  <si>
    <t xml:space="preserve">Clean / Minor gaps / Encumbered</t>
  </si>
  <si>
    <t xml:space="preserve">Clean</t>
  </si>
  <si>
    <t xml:space="preserve">H9</t>
  </si>
  <si>
    <t xml:space="preserve">EoU / claim-chart availability</t>
  </si>
  <si>
    <t xml:space="preserve">Evidence-of-Use claim chart available mapping claims to product or standard.</t>
  </si>
  <si>
    <t xml:space="preserve">None / Partial / Full</t>
  </si>
  <si>
    <t xml:space="preserve">Full</t>
  </si>
  <si>
    <t xml:space="preserve">H10</t>
  </si>
  <si>
    <t xml:space="preserve">Encumbrance status</t>
  </si>
  <si>
    <t xml:space="preserve">Existing licenses, liens, or prior commitments affecting transferability.</t>
  </si>
  <si>
    <t xml:space="preserve">None / Non-exclusive licensed / Exclusive licensed / Encumbered</t>
  </si>
  <si>
    <t xml:space="preserve">None</t>
  </si>
  <si>
    <t xml:space="preserve">I. Market/Buyer Signals</t>
  </si>
  <si>
    <t xml:space="preserve">I1</t>
  </si>
  <si>
    <t xml:space="preserve">Product-mapping confidence</t>
  </si>
  <si>
    <t xml:space="preserve">Confidence with which the patent reads on identifiable commercial products.</t>
  </si>
  <si>
    <t xml:space="preserve">I2</t>
  </si>
  <si>
    <t xml:space="preserve">Implementation maturity</t>
  </si>
  <si>
    <t xml:space="preserve">Whether the invention was prototyped / productized vs. remained an idea.</t>
  </si>
  <si>
    <t xml:space="preserve">Idea-only / Prototyped / Productized</t>
  </si>
  <si>
    <t xml:space="preserve">Productized</t>
  </si>
  <si>
    <t xml:space="preserve">I3</t>
  </si>
  <si>
    <t xml:space="preserve">Adjacent-market re-read</t>
  </si>
  <si>
    <t xml:space="preserve">Whether claims can be re-mapped to products in industries beyond the original target.</t>
  </si>
  <si>
    <t xml:space="preserve">I4</t>
  </si>
  <si>
    <t xml:space="preserve">Workaround complexity</t>
  </si>
  <si>
    <t xml:space="preserve">Engineering effort needed for a competitor to design around the claims.</t>
  </si>
  <si>
    <t xml:space="preserve">0 (trivial) → 3 (deep redesign)</t>
  </si>
  <si>
    <t xml:space="preserve">Identification</t>
  </si>
  <si>
    <t xml:space="preserve">B. Standards</t>
  </si>
  <si>
    <t xml:space="preserve">G. Strategic</t>
  </si>
  <si>
    <t xml:space="preserve">Patent ID</t>
  </si>
  <si>
    <t xml:space="preserve">Title</t>
  </si>
  <si>
    <t xml:space="preserve">A1 Primary domain</t>
  </si>
  <si>
    <t xml:space="preserve">A2 Secondary domains</t>
  </si>
  <si>
    <t xml:space="preserve">A3 Stack layer</t>
  </si>
  <si>
    <t xml:space="preserve">A4 Subsystem</t>
  </si>
  <si>
    <t xml:space="preserve">A5 Use-case</t>
  </si>
  <si>
    <t xml:space="preserve">B1 SEP potential (0-3)</t>
  </si>
  <si>
    <t xml:space="preserve">B2 Standard</t>
  </si>
  <si>
    <t xml:space="preserve">B3 Interface role (0-3)</t>
  </si>
  <si>
    <t xml:space="preserve">C1 Claim type</t>
  </si>
  <si>
    <t xml:space="preserve">C2 Claim breadth (0-3)</t>
  </si>
  <si>
    <t xml:space="preserve">C3 Indep. claim count</t>
  </si>
  <si>
    <t xml:space="preserve">C4 Design-around diff. (0-3)</t>
  </si>
  <si>
    <t xml:space="preserve">D1 External detect. (0-3)</t>
  </si>
  <si>
    <t xml:space="preserve">D2 Teardown detect. (0-3)</t>
  </si>
  <si>
    <t xml:space="preserve">D3 Reads-on-products (0-3)</t>
  </si>
  <si>
    <t xml:space="preserve">E1 Family size</t>
  </si>
  <si>
    <t xml:space="preserve">E2 Prosecution</t>
  </si>
  <si>
    <t xml:space="preserve">E3 Continuation</t>
  </si>
  <si>
    <t xml:space="preserve">E4 Remaining term (yrs)</t>
  </si>
  <si>
    <t xml:space="preserve">E5 Maint. status</t>
  </si>
  <si>
    <t xml:space="preserve">F1 Jurisdictions</t>
  </si>
  <si>
    <t xml:space="preserve">F2 Trilateral (Y/N)</t>
  </si>
  <si>
    <t xml:space="preserve">F3 Major-market score (0-3)</t>
  </si>
  <si>
    <t xml:space="preserve">G1 Convergence theme</t>
  </si>
  <si>
    <t xml:space="preserve">G2 Generation</t>
  </si>
  <si>
    <t xml:space="preserve">G3 Cross-industry (0-3)</t>
  </si>
  <si>
    <t xml:space="preserve">H1 Claim strength (0-3)</t>
  </si>
  <si>
    <t xml:space="preserve">H2 Prior-art exposure (0-3)</t>
  </si>
  <si>
    <t xml:space="preserve">H3 Prosecution risk (0-3)</t>
  </si>
  <si>
    <t xml:space="preserve">H4 Divided-infrgmnt (0-3)</t>
  </si>
  <si>
    <t xml:space="preserve">H5 Fwd citations</t>
  </si>
  <si>
    <t xml:space="preserve">H6 Bwd citations</t>
  </si>
  <si>
    <t xml:space="preserve">H7 Lit/PTAB history</t>
  </si>
  <si>
    <t xml:space="preserve">H8 Chain-of-title</t>
  </si>
  <si>
    <t xml:space="preserve">H9 EoU available</t>
  </si>
  <si>
    <t xml:space="preserve">H10 Encumbrance</t>
  </si>
  <si>
    <t xml:space="preserve">I1 Product-map conf. (0-3)</t>
  </si>
  <si>
    <t xml:space="preserve">I2 Impl. maturity</t>
  </si>
  <si>
    <t xml:space="preserve">I3 Adjacent re-read (0-3)</t>
  </si>
  <si>
    <t xml:space="preserve">I4 Workaround complex. (0-3)</t>
  </si>
  <si>
    <t xml:space="preserve">P-001</t>
  </si>
  <si>
    <t xml:space="preserve">Beamforming pilot signaling for 5G NR</t>
  </si>
  <si>
    <t xml:space="preserve">MIMO, beamforming</t>
  </si>
  <si>
    <t xml:space="preserve">Radio frontend</t>
  </si>
  <si>
    <t xml:space="preserve">Cellular comms</t>
  </si>
  <si>
    <t xml:space="preserve">US, EP, CN, JP, KR</t>
  </si>
  <si>
    <t xml:space="preserve">P-002</t>
  </si>
  <si>
    <t xml:space="preserve">Polar code decoder architecture</t>
  </si>
  <si>
    <t xml:space="preserve">Error correction</t>
  </si>
  <si>
    <t xml:space="preserve">Baseband processor</t>
  </si>
  <si>
    <t xml:space="preserve">Apparatus</t>
  </si>
  <si>
    <t xml:space="preserve">No</t>
  </si>
  <si>
    <t xml:space="preserve">US, EP, CN, KR</t>
  </si>
  <si>
    <t xml:space="preserve">Partial</t>
  </si>
  <si>
    <t xml:space="preserve">P-003</t>
  </si>
  <si>
    <t xml:space="preserve">Adaptive Wi-Fi 7 channel sounding</t>
  </si>
  <si>
    <t xml:space="preserve">OFDMA</t>
  </si>
  <si>
    <t xml:space="preserve">Firmware</t>
  </si>
  <si>
    <t xml:space="preserve">WLAN module</t>
  </si>
  <si>
    <t xml:space="preserve">Indoor connectivity</t>
  </si>
  <si>
    <t xml:space="preserve">IEEE 802.11be</t>
  </si>
  <si>
    <t xml:space="preserve">Mixed</t>
  </si>
  <si>
    <t xml:space="preserve">US, EP, CN</t>
  </si>
  <si>
    <t xml:space="preserve">Next-gen</t>
  </si>
  <si>
    <t xml:space="preserve">Prototyped</t>
  </si>
  <si>
    <t xml:space="preserve">P-004</t>
  </si>
  <si>
    <t xml:space="preserve">Solid-state electrolyte composition for EV batteries</t>
  </si>
  <si>
    <t xml:space="preserve">Battery materials</t>
  </si>
  <si>
    <t xml:space="preserve">Solid-state, ionics</t>
  </si>
  <si>
    <t xml:space="preserve">Battery cell</t>
  </si>
  <si>
    <t xml:space="preserve">EV propulsion</t>
  </si>
  <si>
    <t xml:space="preserve">P-005</t>
  </si>
  <si>
    <t xml:space="preserve">Battery thermal management with phase-change material</t>
  </si>
  <si>
    <t xml:space="preserve">Thermal mgmt</t>
  </si>
  <si>
    <t xml:space="preserve">BMS, materials</t>
  </si>
  <si>
    <t xml:space="preserve">Battery pack</t>
  </si>
  <si>
    <t xml:space="preserve">System</t>
  </si>
  <si>
    <t xml:space="preserve">Non-exclusive licensed</t>
  </si>
  <si>
    <t xml:space="preserve">P-006</t>
  </si>
  <si>
    <t xml:space="preserve">SiC MOSFET inverter control method</t>
  </si>
  <si>
    <t xml:space="preserve">Power electronics</t>
  </si>
  <si>
    <t xml:space="preserve">Wide-bandgap</t>
  </si>
  <si>
    <t xml:space="preserve">Traction inverter</t>
  </si>
  <si>
    <t xml:space="preserve">Minor gaps</t>
  </si>
  <si>
    <t xml:space="preserve">P-007</t>
  </si>
  <si>
    <t xml:space="preserve">On-device CNN quantization for low-power inference</t>
  </si>
  <si>
    <t xml:space="preserve">CV algorithm</t>
  </si>
  <si>
    <t xml:space="preserve">Edge AI, ML</t>
  </si>
  <si>
    <t xml:space="preserve">App</t>
  </si>
  <si>
    <t xml:space="preserve">Vision pipeline</t>
  </si>
  <si>
    <t xml:space="preserve">Smart cameras</t>
  </si>
  <si>
    <t xml:space="preserve">CRM</t>
  </si>
  <si>
    <t xml:space="preserve">Pending</t>
  </si>
  <si>
    <t xml:space="preserve">P-008</t>
  </si>
  <si>
    <t xml:space="preserve">Transformer attention pruning for vision models</t>
  </si>
  <si>
    <t xml:space="preserve">AI optimization</t>
  </si>
  <si>
    <t xml:space="preserve">Inference engine</t>
  </si>
  <si>
    <t xml:space="preserve">Visual analytics</t>
  </si>
  <si>
    <t xml:space="preserve">US, EP</t>
  </si>
  <si>
    <t xml:space="preserve">Edge AI, AI+health</t>
  </si>
  <si>
    <t xml:space="preserve">Idea-only</t>
  </si>
  <si>
    <t xml:space="preserve">P-009</t>
  </si>
  <si>
    <t xml:space="preserve">Visual SLAM for indoor robot navigation</t>
  </si>
  <si>
    <t xml:space="preserve">Robotics SW</t>
  </si>
  <si>
    <t xml:space="preserve">SLAM, CV</t>
  </si>
  <si>
    <t xml:space="preserve">Middleware</t>
  </si>
  <si>
    <t xml:space="preserve">Navigation stack</t>
  </si>
  <si>
    <t xml:space="preserve">US, EP, JP</t>
  </si>
  <si>
    <t xml:space="preserve">Robotics, edge AI</t>
  </si>
  <si>
    <t xml:space="preserve">P-010</t>
  </si>
  <si>
    <t xml:space="preserve">USB-C power delivery handshake extension</t>
  </si>
  <si>
    <t xml:space="preserve">Interconnect</t>
  </si>
  <si>
    <t xml:space="preserve">Power delivery</t>
  </si>
  <si>
    <t xml:space="preserve">Charging interface</t>
  </si>
  <si>
    <t xml:space="preserve">Universal charging</t>
  </si>
  <si>
    <t xml:space="preserve">USB PD 3.x</t>
  </si>
  <si>
    <t xml:space="preserve">P-011</t>
  </si>
  <si>
    <t xml:space="preserve">Atomic layer deposition recipe for high-k dielectric</t>
  </si>
  <si>
    <t xml:space="preserve">Semiconductor process</t>
  </si>
  <si>
    <t xml:space="preserve">ALD, fab</t>
  </si>
  <si>
    <t xml:space="preserve">Front-end-of-line</t>
  </si>
  <si>
    <t xml:space="preserve">IC manufacturing</t>
  </si>
  <si>
    <t xml:space="preserve">US, EP, CN, JP, KR, TW</t>
  </si>
  <si>
    <t xml:space="preserve">P-012</t>
  </si>
  <si>
    <t xml:space="preserve">Predictive maintenance ML for industrial pumps</t>
  </si>
  <si>
    <t xml:space="preserve">Industrial AI</t>
  </si>
  <si>
    <t xml:space="preserve">Predictive analytics</t>
  </si>
  <si>
    <t xml:space="preserve">Cloud</t>
  </si>
  <si>
    <t xml:space="preserve">Asset monitoring</t>
  </si>
  <si>
    <t xml:space="preserve">Predictive maintenance</t>
  </si>
  <si>
    <t xml:space="preserve">AI+industrial</t>
  </si>
  <si>
    <t xml:space="preserve">#</t>
  </si>
  <si>
    <t xml:space="preserve">Bundle Type</t>
  </si>
  <si>
    <t xml:space="preserve">Value Proposition</t>
  </si>
  <si>
    <t xml:space="preserve">Routing Rule (technical qualification)</t>
  </si>
  <si>
    <t xml:space="preserve">Primary attributes used</t>
  </si>
  <si>
    <t xml:space="preserve">Technology Domain</t>
  </si>
  <si>
    <t xml:space="preserve">Concentrated coverage in one technical field; useful for entering or fortifying a domain position.</t>
  </si>
  <si>
    <t xml:space="preserve">Patents share the same A1 (primary domain) tag.</t>
  </si>
  <si>
    <t xml:space="preserve">Standard-Essential (SEP)</t>
  </si>
  <si>
    <t xml:space="preserve">Bundle of assets every implementer of the standard must license or design around.</t>
  </si>
  <si>
    <t xml:space="preserve">B1 ≥ 2 AND share same B2 standard.</t>
  </si>
  <si>
    <t xml:space="preserve">B1, B2</t>
  </si>
  <si>
    <t xml:space="preserve">Product Architecture</t>
  </si>
  <si>
    <t xml:space="preserve">"Build a product" kit — full vertical coverage across subsystems of one end-product.</t>
  </si>
  <si>
    <t xml:space="preserve">Collectively span ≥ 3 distinct A4 subsystems of one product family.</t>
  </si>
  <si>
    <t xml:space="preserve">Stack Layer</t>
  </si>
  <si>
    <t xml:space="preserve">Targets buyers operating at a specific layer of the technology stack.</t>
  </si>
  <si>
    <t xml:space="preserve">Patents share the same A3 (stack layer).</t>
  </si>
  <si>
    <t xml:space="preserve">Use-Case / Application</t>
  </si>
  <si>
    <t xml:space="preserve">All tools to address one customer problem, even if underlying tech is heterogeneous.</t>
  </si>
  <si>
    <t xml:space="preserve">Patents share at least one A5 (use-case) tag.</t>
  </si>
  <si>
    <t xml:space="preserve">Manufacturing / Process</t>
  </si>
  <si>
    <t xml:space="preserve">Targets fabs, contract manufacturers, equipment makers needing freedom to operate on production methods.</t>
  </si>
  <si>
    <t xml:space="preserve">A1 is a "process" / manufacturing domain (e.g., contains "process" or "fab") AND C1 = Method.</t>
  </si>
  <si>
    <t xml:space="preserve">A1, C1</t>
  </si>
  <si>
    <t xml:space="preserve">Materials &amp; Chemistry</t>
  </si>
  <si>
    <t xml:space="preserve">Focused IP shield around composition, synthesis, and use of a material system.</t>
  </si>
  <si>
    <t xml:space="preserve">A1 is a materials/chemistry domain AND C1 ∈ {Apparatus, Method}.</t>
  </si>
  <si>
    <t xml:space="preserve">Algorithm / Software Method</t>
  </si>
  <si>
    <t xml:space="preserve">Implementation-agnostic methods deployable across many products.</t>
  </si>
  <si>
    <t xml:space="preserve">A3 ∈ {App, Middleware, Cloud} AND C1 ∈ {Method, CRM}.</t>
  </si>
  <si>
    <t xml:space="preserve">A3, C1</t>
  </si>
  <si>
    <t xml:space="preserve">Interoperability / Interface</t>
  </si>
  <si>
    <t xml:space="preserve">Critical chokepoints for any player whose product must talk to others.</t>
  </si>
  <si>
    <t xml:space="preserve">B3 ≥ 2.</t>
  </si>
  <si>
    <t xml:space="preserve">Generational Roadmap</t>
  </si>
  <si>
    <t xml:space="preserve">Buyer picks legacy (cheap defensive) or next-gen (forward-looking offensive).</t>
  </si>
  <si>
    <t xml:space="preserve">Group by G2 (Legacy / Current / Next-gen).</t>
  </si>
  <si>
    <t xml:space="preserve">Claim-Type</t>
  </si>
  <si>
    <t xml:space="preserve">Different enforcement profiles; buyers pick by litigation/licensing strategy.</t>
  </si>
  <si>
    <t xml:space="preserve">Group by C1.</t>
  </si>
  <si>
    <t xml:space="preserve">Detectability</t>
  </si>
  <si>
    <t xml:space="preserve">Litigation-ready bundle — infringement is easy to spot.</t>
  </si>
  <si>
    <t xml:space="preserve">D1 ≥ 2 OR D2 ≥ 2.</t>
  </si>
  <si>
    <t xml:space="preserve">D1, D2</t>
  </si>
  <si>
    <t xml:space="preserve">Geographic</t>
  </si>
  <si>
    <t xml:space="preserve">Aligned with the buyer's market footprint and enforcement venues.</t>
  </si>
  <si>
    <t xml:space="preserve">F2 = Yes OR share a defined F1 jurisdiction set.</t>
  </si>
  <si>
    <t xml:space="preserve">F1, F2</t>
  </si>
  <si>
    <t xml:space="preserve">Family-Tree</t>
  </si>
  <si>
    <t xml:space="preserve">Complete families together — parent + continuations + foreign counterparts; avoids fragmented ownership.</t>
  </si>
  <si>
    <t xml:space="preserve">E1 ≥ 2 (bundle by family ID; here approximated by E1 threshold).</t>
  </si>
  <si>
    <t xml:space="preserve">Lifecycle / Remaining Term</t>
  </si>
  <si>
    <t xml:space="preserve">Long-life = strategic; short-life = immediate licensing.</t>
  </si>
  <si>
    <t xml:space="preserve">Bucket by E4: Long (&gt;15), Mid (8-15), Short (&lt;8).</t>
  </si>
  <si>
    <t xml:space="preserve">Foundational + Improvement Stack</t>
  </si>
  <si>
    <t xml:space="preserve">Combines blocking broad claims with defensive narrow follow-ons — design-around becomes hard.</t>
  </si>
  <si>
    <t xml:space="preserve">C2 = 3 (pioneer) + C2 ≤ 1 (improvements) within same A1.</t>
  </si>
  <si>
    <t xml:space="preserve">A1, C2</t>
  </si>
  <si>
    <t xml:space="preserve">Cross-Industry Applicability</t>
  </si>
  <si>
    <t xml:space="preserve">Maximises addressable buyer pool — many industries are potential acquirers.</t>
  </si>
  <si>
    <t xml:space="preserve">G3 ≥ 2.</t>
  </si>
  <si>
    <t xml:space="preserve">Convergent / Emerging Theme</t>
  </si>
  <si>
    <t xml:space="preserve">Aligns with current investment trends; commands attention from active builders.</t>
  </si>
  <si>
    <t xml:space="preserve">Share G1 (convergence theme tag).</t>
  </si>
  <si>
    <t xml:space="preserve">Defensive / Counter-Assertion</t>
  </si>
  <si>
    <t xml:space="preserve">Counter-assertion ammunition — defined by who the patents read on, not just the technology.</t>
  </si>
  <si>
    <t xml:space="preserve">D3 ≥ 2 against the same target entity (qualified by D3 threshold).</t>
  </si>
  <si>
    <t xml:space="preserve">Whitespace / Design-Around</t>
  </si>
  <si>
    <t xml:space="preserve">Closes escape routes around a known core patent / feature.</t>
  </si>
  <si>
    <t xml:space="preserve">Same A1 AND C4 ≥ 2.</t>
  </si>
  <si>
    <t xml:space="preserve">A1, C4</t>
  </si>
  <si>
    <t xml:space="preserve">Prosecution-Status</t>
  </si>
  <si>
    <t xml:space="preserve">Pending applications offer claim-tailoring flexibility for buyers targeting a specific product.</t>
  </si>
  <si>
    <t xml:space="preserve">Group by E2/E3 (e.g., Pending OR E3 = Yes).</t>
  </si>
  <si>
    <t xml:space="preserve">E2, E3</t>
  </si>
  <si>
    <t xml:space="preserve">Anchor-and-Halo</t>
  </si>
  <si>
    <t xml:space="preserve">One or two strong "anchor" patents fortified by narrower halo patents that close design-around routes. Buyer gets a fortified zone, not a single exposed asset.</t>
  </si>
  <si>
    <t xml:space="preserve">At least 1 anchor in bundle with H1=3 AND C2&gt;=2 AND D2&gt;=2. Halo patents share A1 with the anchor and have H1&gt;=1.</t>
  </si>
  <si>
    <t xml:space="preserve">H1, C2, D2, A1</t>
  </si>
  <si>
    <t xml:space="preserve">Picket-Fence / Cluster-Around-Standard</t>
  </si>
  <si>
    <t xml:space="preserve">Multiple narrow patents collectively encircling a known commercial technology or specification — fence formed by the group, not any one patent.</t>
  </si>
  <si>
    <t xml:space="preserve">Patents share A1 or B2 AND each has C4&gt;=1 AND collectively count &gt;=4.</t>
  </si>
  <si>
    <t xml:space="preserve">A1, B2, C4, count</t>
  </si>
  <si>
    <t xml:space="preserve">Strong-Core + Quality-Diluted Tail</t>
  </si>
  <si>
    <t xml:space="preserve">A small set of high-quality assets carries the bundle while a tail provides volume and continuation optionality. Tail patents that would not sell alone find a home alongside anchors.</t>
  </si>
  <si>
    <t xml:space="preserve">Bundle contains both high-quality (H1&gt;=2) and lower-quality (H1&lt;=1) patents within the same A1.</t>
  </si>
  <si>
    <t xml:space="preserve">H1, A1</t>
  </si>
  <si>
    <t xml:space="preserve">Continuation-Live / Claim-Tailorable</t>
  </si>
  <si>
    <t xml:space="preserve">Every patent in the bundle has a live continuation or pending child. Buyer can shape future claims to match a specific target product.</t>
  </si>
  <si>
    <t xml:space="preserve">E3 = "Yes" for all patents in the bundle.</t>
  </si>
  <si>
    <t xml:space="preserve">EoU-Backed / Litigation-Ready</t>
  </si>
  <si>
    <t xml:space="preserve">Every patent ships with an Evidence-of-Use claim chart already mapped to a named product or standard. Buyer skips claim charting and moves directly to assertion/licensing.</t>
  </si>
  <si>
    <t xml:space="preserve">H9 IN {"Partial", "Full"}.</t>
  </si>
  <si>
    <t xml:space="preserve">Survived-Challenge / Battle-Tested</t>
  </si>
  <si>
    <t xml:space="preserve">All patents have survived at least one validity challenge (IPR, EPO opposition, re-exam). Reduces buyer's invalidity risk.</t>
  </si>
  <si>
    <t xml:space="preserve">H7 = "Survived".</t>
  </si>
  <si>
    <t xml:space="preserve">Clean-Chain-of-Title</t>
  </si>
  <si>
    <t xml:space="preserve">All patents have clean ownership chains and no encumbrances. Transacts faster and with lower legal cost.</t>
  </si>
  <si>
    <t xml:space="preserve">H8 = "Clean" AND H10 = "None".</t>
  </si>
  <si>
    <t xml:space="preserve">H8, H10</t>
  </si>
  <si>
    <t xml:space="preserve">High-Citation / Technical-Influence</t>
  </si>
  <si>
    <t xml:space="preserve">Patents with forward citations above a domain threshold. Forward citations are a recognized signal of technical importance and point to obvious future target companies.</t>
  </si>
  <si>
    <t xml:space="preserve">H5 &gt;= threshold (default 15).</t>
  </si>
  <si>
    <t xml:space="preserve">Adjacent-Industry Re-Read</t>
  </si>
  <si>
    <t xml:space="preserve">Patents whose claims can be re-mapped onto products in industries different from the original target — gives the buyer a "second-life" thesis and opens new buyer pools.</t>
  </si>
  <si>
    <t xml:space="preserve">I3 &gt;= 2 AND G3 &gt;= 2.</t>
  </si>
  <si>
    <t xml:space="preserve">I3, G3</t>
  </si>
  <si>
    <t xml:space="preserve">Salvage / Defensive-Volume Lot</t>
  </si>
  <si>
    <t xml:space="preserve">Deliberate volume lot of weak, narrow, or near-expiry patents priced for defensive aggregators or counter-assertion stockpilers. Honest about what it is.</t>
  </si>
  <si>
    <t xml:space="preserve">H1 &lt;= 1 OR E4 &lt; 5 OR H2 &lt;= 1.</t>
  </si>
  <si>
    <t xml:space="preserve">H1, E4, H2</t>
  </si>
  <si>
    <t xml:space="preserve">Pre-Expiry / Last-Window</t>
  </si>
  <si>
    <t xml:space="preserve">Patents with 1-4 years of term remaining grouped for buyers running short-cycle licensing campaigns. Short term is a feature for litigation-finance buyers.</t>
  </si>
  <si>
    <t xml:space="preserve">E4 between 1 and 4.</t>
  </si>
  <si>
    <t xml:space="preserve">Provenance-Coherent</t>
  </si>
  <si>
    <t xml:space="preserve">Patents originating from the same R&amp;D program, inventor group, or acquired sub-business. Shared specifications and consistent terminology reduce claim-construction risk.</t>
  </si>
  <si>
    <t xml:space="preserve">Patents share A1 AND share A4 (proxy for common provenance in this template).</t>
  </si>
  <si>
    <t xml:space="preserve">A1, A4</t>
  </si>
  <si>
    <t xml:space="preserve">Patent</t>
  </si>
  <si>
    <t xml:space="preserve">Bundle Qualification (TRUE = patent qualifies for this bundle)</t>
  </si>
  <si>
    <t xml:space="preserve">Total</t>
  </si>
  <si>
    <t xml:space="preserve">B1 Tech Domain</t>
  </si>
  <si>
    <t xml:space="preserve">B2 SEP</t>
  </si>
  <si>
    <t xml:space="preserve">B3 Product Arch</t>
  </si>
  <si>
    <t xml:space="preserve">B4 Stack Layer</t>
  </si>
  <si>
    <t xml:space="preserve">B5 Use-Case</t>
  </si>
  <si>
    <t xml:space="preserve">B6 Mfg/Process</t>
  </si>
  <si>
    <t xml:space="preserve">B7 Materials</t>
  </si>
  <si>
    <t xml:space="preserve">B8 Algorithm</t>
  </si>
  <si>
    <t xml:space="preserve">B9 Interop</t>
  </si>
  <si>
    <t xml:space="preserve">B10 Generational</t>
  </si>
  <si>
    <t xml:space="preserve">B11 Claim-Type</t>
  </si>
  <si>
    <t xml:space="preserve">B12 Detectable</t>
  </si>
  <si>
    <t xml:space="preserve">B13 Geographic</t>
  </si>
  <si>
    <t xml:space="preserve">B14 Family</t>
  </si>
  <si>
    <t xml:space="preserve">B15 Lifecycle</t>
  </si>
  <si>
    <t xml:space="preserve">B16 Foundational+Improvement</t>
  </si>
  <si>
    <t xml:space="preserve">B17 Cross-Industry</t>
  </si>
  <si>
    <t xml:space="preserve">B18 Convergent Theme</t>
  </si>
  <si>
    <t xml:space="preserve">B19 Defensive</t>
  </si>
  <si>
    <t xml:space="preserve">B20 Whitespace</t>
  </si>
  <si>
    <t xml:space="preserve">B21 Prosecution-Status</t>
  </si>
  <si>
    <t xml:space="preserve">B22 Anchor+Halo</t>
  </si>
  <si>
    <t xml:space="preserve">B23 Picket-Fence</t>
  </si>
  <si>
    <t xml:space="preserve">B24 Strong+Tail</t>
  </si>
  <si>
    <t xml:space="preserve">B25 Continuation-Live</t>
  </si>
  <si>
    <t xml:space="preserve">B26 EoU-Backed</t>
  </si>
  <si>
    <t xml:space="preserve">B27 Battle-Tested</t>
  </si>
  <si>
    <t xml:space="preserve">B28 Clean-Title</t>
  </si>
  <si>
    <t xml:space="preserve">B29 High-Citation</t>
  </si>
  <si>
    <t xml:space="preserve">B30 Adjacent Re-Read</t>
  </si>
  <si>
    <t xml:space="preserve">B31 Salvage-Volume</t>
  </si>
  <si>
    <t xml:space="preserve">B32 Pre-Expiry</t>
  </si>
  <si>
    <t xml:space="preserve">B33 Provenance</t>
  </si>
  <si>
    <t xml:space="preserve"># of bundles</t>
  </si>
  <si>
    <t xml:space="preserve">Coverage depth (# patents)</t>
  </si>
  <si>
    <t xml:space="preserve">Avg Detectability (D1+D2)/2</t>
  </si>
  <si>
    <t xml:space="preserve">Avg Remaining Term (E4)</t>
  </si>
  <si>
    <t xml:space="preserve">Trilateral % (F2=Yes)</t>
  </si>
  <si>
    <t xml:space="preserve">Continuation % (E3=Yes)</t>
  </si>
  <si>
    <t xml:space="preserve">% SEP-flagged (B1≥2)</t>
  </si>
  <si>
    <t xml:space="preserve">Pioneer count (C2=3)</t>
  </si>
  <si>
    <t xml:space="preserve">Strength flag</t>
  </si>
  <si>
    <t xml:space="preserve">Weakest H1 (min in bundle)</t>
  </si>
  <si>
    <t xml:space="preserve">Invalidity exposure % (H2≤1)</t>
  </si>
  <si>
    <t xml:space="preserve">EoU-ready % (H9≠None)</t>
  </si>
  <si>
    <t xml:space="preserve">Survived % (H7=Survived)</t>
  </si>
  <si>
    <t xml:space="preserve">Continuation-optionality %</t>
  </si>
  <si>
    <t xml:space="preserve">Tech Domain</t>
  </si>
  <si>
    <t xml:space="preserve">SEP</t>
  </si>
  <si>
    <t xml:space="preserve">Product Arch</t>
  </si>
  <si>
    <t xml:space="preserve">Use-Case</t>
  </si>
  <si>
    <t xml:space="preserve">Mfg/Process</t>
  </si>
  <si>
    <t xml:space="preserve">Materials</t>
  </si>
  <si>
    <t xml:space="preserve">Algorithm</t>
  </si>
  <si>
    <t xml:space="preserve">Interop</t>
  </si>
  <si>
    <t xml:space="preserve">Generational</t>
  </si>
  <si>
    <t xml:space="preserve">Detectable</t>
  </si>
  <si>
    <t xml:space="preserve">Family</t>
  </si>
  <si>
    <t xml:space="preserve">Lifecycle</t>
  </si>
  <si>
    <t xml:space="preserve">Foundational+Improvement</t>
  </si>
  <si>
    <t xml:space="preserve">Cross-Industry</t>
  </si>
  <si>
    <t xml:space="preserve">Convergent Theme</t>
  </si>
  <si>
    <t xml:space="preserve">Defensive</t>
  </si>
  <si>
    <t xml:space="preserve">Whitespace</t>
  </si>
  <si>
    <t xml:space="preserve">BUNDLE A — 5G Wireless PHY SEP Cluster</t>
  </si>
  <si>
    <t xml:space="preserve">Value proposition:</t>
  </si>
  <si>
    <t xml:space="preserve">Buyer gets standards-relevant assets that any 5G NR implementer must license or design around. High enforcement leverage from teardown-detectable hardware claims, trilateral coverage, and one family with active continuation for claim shaping.</t>
  </si>
  <si>
    <t xml:space="preserve">Routing rule:</t>
  </si>
  <si>
    <t xml:space="preserve">B1 ≥ 2 AND share B2 = "3GPP 5G NR". (Bundle Rule #2 — Standard-Essential.)</t>
  </si>
  <si>
    <t xml:space="preserve">A1 Domain</t>
  </si>
  <si>
    <t xml:space="preserve">B2 Standard / G2 Gen.</t>
  </si>
  <si>
    <t xml:space="preserve">E4 Term (yrs)</t>
  </si>
  <si>
    <t xml:space="preserve">F2 Trilateral</t>
  </si>
  <si>
    <t xml:space="preserve">BUNDLE B — Electric Vehicle Powertrain Stack</t>
  </si>
  <si>
    <t xml:space="preserve">"Build-an-EV-powertrain" kit covering battery cell chemistry, pack-level thermal management, and traction inverter control. Cross-subsystem coverage across one product architecture; valuable to an EV OEM, Tier-1 supplier, or cell maker wanting end-to-end FTO.</t>
  </si>
  <si>
    <t xml:space="preserve">Patents collectively span ≥ 3 distinct A4 subsystems of the EV product family. (Bundle Rule #3 — Product Architecture.)</t>
  </si>
  <si>
    <t xml:space="preserve">BUNDLE C — Edge AI / Computer Vision Convergence</t>
  </si>
  <si>
    <t xml:space="preserve">Thematic bundle aligned with the edge-AI investment narrative. Spans algorithmic optimization (quantization, attention pruning) and applied robotics (visual SLAM). Implementation-agnostic methods deployable across smart cameras, robotics, AR/VR, and on-device inference products.</t>
  </si>
  <si>
    <t xml:space="preserve">Patents share G1 convergence theme tag (Edge AI). (Bundle Rule #18 — Convergent / Emerging Theme.)</t>
  </si>
  <si>
    <t xml:space="preserve">BUNDLE COMPOSITION STRATEGIES</t>
  </si>
  <si>
    <t xml:space="preserve">Compositional approaches that sit on top of the 33 bundle types — how to construct, position, and price bundles for a mixed-quality portfolio.</t>
  </si>
  <si>
    <t xml:space="preserve">1. TIERED STRUCTURE (Premium / Standard / Lot)</t>
  </si>
  <si>
    <t xml:space="preserve">For each technology domain, build three tiers from the same patent pool:</t>
  </si>
  <si>
    <t xml:space="preserve">• Premium tier: only patents with H1≥2 AND avg detectability≥2 AND F2=Yes AND E4≥10. Marketed individually with full claim charts.</t>
  </si>
  <si>
    <t xml:space="preserve">• Standard tier: mixed quality, used for thematic / use-case bundles. The workhorses.</t>
  </si>
  <si>
    <t xml:space="preserve">• Lot tier: weak, narrow, near-expiry, or unclassified patents — sold as defensive-volume lots.</t>
  </si>
  <si>
    <t xml:space="preserve">Value of tiering: isolates strong assets so weak ones do not drag the premium narrative down. Each tier has a distinct buyer profile.</t>
  </si>
  <si>
    <t xml:space="preserve">2. ANCHOR-FIRST BUNDLING</t>
  </si>
  <si>
    <t xml:space="preserve">Identify the top 5-10 strongest patents (H1=3, C2≥2, D2≥2). Build each bundle AROUND one anchor; surround it with related supporting patents.</t>
  </si>
  <si>
    <t xml:space="preserve">Every bundle must have a "lead patent" the buyer can latch onto. Bundles without an anchor are restructured or moved to the salvage lot.</t>
  </si>
  <si>
    <t xml:space="preserve">3. STORYLINE BUNDLING</t>
  </si>
  <si>
    <t xml:space="preserve">Group patents that together tell a single technical story: problem → core solution → variants → enhancements → use-case extensions.</t>
  </si>
  <si>
    <t xml:space="preserve">The bundle reads as a self-contained R&amp;D narrative rather than a list. Especially effective for emerging-tech themes (edge AI, EV powertrain, next-gen wireless).</t>
  </si>
  <si>
    <t xml:space="preserve">4. COMPLEMENTARY-WEAKNESS BUNDLING</t>
  </si>
  <si>
    <t xml:space="preserve">Pair patents whose weaknesses cancel: a broad-but-vulnerable patent with a narrow-but-bulletproof patent in the same area.</t>
  </si>
  <si>
    <t xml:space="preserve">If the broad one survives, the buyer has wide coverage. If it is invalidated, the narrow one still bites. The buyer is paying for redundancy.</t>
  </si>
  <si>
    <t xml:space="preserve">5. MODULAR BUNDLING</t>
  </si>
  <si>
    <t xml:space="preserve">Pre-compose 3-4 modules (e.g., RF front-end / baseband / network) that buyers can mix-and-match.</t>
  </si>
  <si>
    <t xml:space="preserve">One marketing pack addresses multiple buyer types. Each module is a stand-alone sellable unit, but composes into larger bundles for serious buyers.</t>
  </si>
  <si>
    <t xml:space="preserve">6. CARVE-IN vs. CARVE-OUT LOGIC</t>
  </si>
  <si>
    <t xml:space="preserve">For each bundle, explicitly mark which patents are CARVED IN (sold only as a unit) and which are FLOATING (could be added on request).</t>
  </si>
  <si>
    <t xml:space="preserve">Prevents buyers from cherry-picking only the best one or two patents.</t>
  </si>
  <si>
    <t xml:space="preserve">7. RESERVE STRATEGY</t>
  </si>
  <si>
    <t xml:space="preserve">Keep the strongest 1-2 patents in each domain out of any bundle. Sell those individually or hold for direct licensing.</t>
  </si>
  <si>
    <t xml:space="preserve">Bundles get tier-2 strength patents — still attractive but does not bleed peak assets at bundle pricing.</t>
  </si>
  <si>
    <t xml:space="preserve">8. CONDITIONAL / BUYER-PROFILE BUNDLING</t>
  </si>
  <si>
    <t xml:space="preserve">Same patents, three different bundle constructions for three buyer types:</t>
  </si>
  <si>
    <t xml:space="preserve">• Operating company: emphasize FTO and product subsystem coverage (Bundle types 3, 4, 9).</t>
  </si>
  <si>
    <t xml:space="preserve">• NPE / litigation buyer: emphasize detectability, EoU charts, survived challenges (Bundles 12, 19, 26, 27).</t>
  </si>
  <si>
    <t xml:space="preserve">• Defensive aggregator: emphasize volume, breadth, low-cost (Bundles 11, 13, 31).</t>
  </si>
  <si>
    <t xml:space="preserve">9. CONTINUATION-OPTIONALITY BUNDLING</t>
  </si>
  <si>
    <t xml:space="preserve">A premium overlay: any bundle that includes patents with E3=Yes gets marketed as "claim-tailorable" — buyer can shape future claims to match their target.</t>
  </si>
  <si>
    <t xml:space="preserve">This single attribute substantially shifts a bundle from "static IP" to "active platform" in buyer perception.</t>
  </si>
  <si>
    <t xml:space="preserve">10. PROVENANCE-COHERENT BUNDLING</t>
  </si>
  <si>
    <t xml:space="preserve">All patents in a bundle originate from the same R&amp;D program, inventor group, or sub-business.</t>
  </si>
  <si>
    <t xml:space="preserve">Shared specifications and consistent terminology reduce claim-construction risk. Critical when buyer experts must digest 30+ patents at once.</t>
  </si>
  <si>
    <t xml:space="preserve">BUNDLE-LEVEL QUALITY GATES (already computed on the Scorecard sheet)</t>
  </si>
  <si>
    <t xml:space="preserve">• Weakest H1 in bundle — bundle is only as strong as its weakest patent.</t>
  </si>
  <si>
    <t xml:space="preserve">• Invalidity exposure % — % of bundle with H2≤1. Above 30% triggers a quality-filter pass.</t>
  </si>
  <si>
    <t xml:space="preserve">• EoU-ready % — % with H9 not None.</t>
  </si>
  <si>
    <t xml:space="preserve">• Survived % — % with H7 = Survived.</t>
  </si>
  <si>
    <t xml:space="preserve">• Continuation-optionality % — % with E3 = Yes.</t>
  </si>
  <si>
    <t xml:space="preserve">PRACTICAL CHECKLIST BEFORE OFFERING A BUNDLE</t>
  </si>
  <si>
    <t xml:space="preserve">• Does the bundle have at least one anchor patent? If no, restructure.</t>
  </si>
  <si>
    <t xml:space="preserve">• Is invalidity exposure under 30%? If no, remove the weakest patents or move to salvage lot.</t>
  </si>
  <si>
    <t xml:space="preserve">• Does every patent have clean chain of title (H8=Clean)? If no, fix or disclose.</t>
  </si>
  <si>
    <t xml:space="preserve">• Is there a coherent technical story across the bundle? If no, split into smaller bundles.</t>
  </si>
  <si>
    <t xml:space="preserve">• Are EoU charts available for at least the anchor(s)? If no, prepare before market.</t>
  </si>
  <si>
    <t xml:space="preserve">• Is the bundle size commercially meaningful (≥3 patents)? Tiny bundles often need to be merged.</t>
  </si>
  <si>
    <t xml:space="preserve">• Is the buyer profile clear? Operating company, NPE, or defensive aggregator — write to that audience.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</si>
</sst>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0"/>
    <numFmt numFmtId="167" formatCode="0.0"/>
    <numFmt numFmtId="168" formatCode="0.0%"/>
    <numFmt numFmtId="169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5B9BD5"/>
        <bgColor rgb="FF2E75B6"/>
      </patternFill>
    </fill>
    <fill>
      <patternFill patternType="solid">
        <fgColor rgb="FF9DC3E6"/>
        <bgColor rgb="FFBFBFBF"/>
      </patternFill>
    </fill>
    <fill>
      <patternFill patternType="solid">
        <fgColor rgb="FFBDD7EE"/>
        <bgColor rgb="FFC6E0B4"/>
      </patternFill>
    </fill>
    <fill>
      <patternFill patternType="solid">
        <fgColor rgb="FFA9D08E"/>
        <bgColor rgb="FFC6E0B4"/>
      </patternFill>
    </fill>
    <fill>
      <patternFill patternType="solid">
        <fgColor rgb="FFC6E0B4"/>
        <bgColor rgb="FFC6EFCE"/>
      </patternFill>
    </fill>
    <fill>
      <patternFill patternType="solid">
        <fgColor rgb="FFE2EFDA"/>
        <bgColor rgb="FFF2F2F2"/>
      </patternFill>
    </fill>
    <fill>
      <patternFill patternType="solid">
        <fgColor rgb="FFF4B084"/>
        <bgColor rgb="FFFFC7CE"/>
      </patternFill>
    </fill>
    <fill>
      <patternFill patternType="solid">
        <fgColor rgb="FFFFD966"/>
        <bgColor rgb="FFFFEB9C"/>
      </patternFill>
    </fill>
    <fill>
      <patternFill patternType="solid">
        <fgColor rgb="FF404040"/>
        <bgColor rgb="FF333300"/>
      </patternFill>
    </fill>
    <fill>
      <patternFill patternType="solid">
        <fgColor rgb="FFF2F2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2F2F2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C6EFCE"/>
      <rgbColor rgb="FFFFEB9C"/>
      <rgbColor rgb="FF9DC3E6"/>
      <rgbColor rgb="FFF4B084"/>
      <rgbColor rgb="FFCC99FF"/>
      <rgbColor rgb="FFFFC7CE"/>
      <rgbColor rgb="FF2E75B6"/>
      <rgbColor rgb="FF33CCCC"/>
      <rgbColor rgb="FF99CC00"/>
      <rgbColor rgb="FFFFD966"/>
      <rgbColor rgb="FFFF9900"/>
      <rgbColor rgb="FFFF6600"/>
      <rgbColor rgb="FF595959"/>
      <rgbColor rgb="FFA9D08E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0"/>
  </cols>
  <sheetData>
    <row r="1" customFormat="false" ht="21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5" t="s">
        <v>2</v>
      </c>
    </row>
    <row r="5" customFormat="false" ht="23.25" hidden="false" customHeight="true" outlineLevel="0" collapsed="false">
      <c r="A5" s="4" t="s">
        <v>3</v>
      </c>
    </row>
    <row r="6" customFormat="false" ht="15" hidden="false" customHeight="true" outlineLevel="0" collapsed="false">
      <c r="A6" s="4"/>
    </row>
    <row r="7" customFormat="false" ht="15" hidden="false" customHeight="true" outlineLevel="0" collapsed="false">
      <c r="A7" s="5" t="s">
        <v>4</v>
      </c>
    </row>
    <row r="8" customFormat="false" ht="15" hidden="false" customHeight="true" outlineLevel="0" collapsed="false">
      <c r="A8" s="4" t="s">
        <v>5</v>
      </c>
    </row>
    <row r="9" customFormat="false" ht="15" hidden="false" customHeight="true" outlineLevel="0" collapsed="false">
      <c r="A9" s="4" t="s">
        <v>6</v>
      </c>
    </row>
    <row r="10" customFormat="false" ht="15" hidden="false" customHeight="true" outlineLevel="0" collapsed="false">
      <c r="A10" s="4" t="s">
        <v>7</v>
      </c>
    </row>
    <row r="11" customFormat="false" ht="15" hidden="false" customHeight="true" outlineLevel="0" collapsed="false">
      <c r="A11" s="4" t="s">
        <v>8</v>
      </c>
    </row>
    <row r="12" customFormat="false" ht="15" hidden="false" customHeight="true" outlineLevel="0" collapsed="false">
      <c r="A12" s="4" t="s">
        <v>9</v>
      </c>
    </row>
    <row r="13" customFormat="false" ht="15" hidden="false" customHeight="true" outlineLevel="0" collapsed="false">
      <c r="A13" s="4" t="s">
        <v>10</v>
      </c>
    </row>
    <row r="14" customFormat="false" ht="15" hidden="false" customHeight="true" outlineLevel="0" collapsed="false">
      <c r="A14" s="4" t="s">
        <v>11</v>
      </c>
    </row>
    <row r="15" customFormat="false" ht="15" hidden="false" customHeight="true" outlineLevel="0" collapsed="false">
      <c r="A15" s="4"/>
    </row>
    <row r="16" customFormat="false" ht="15" hidden="false" customHeight="true" outlineLevel="0" collapsed="false">
      <c r="A16" s="5" t="s">
        <v>12</v>
      </c>
    </row>
    <row r="17" customFormat="false" ht="15" hidden="false" customHeight="true" outlineLevel="0" collapsed="false">
      <c r="A17" s="4" t="s">
        <v>13</v>
      </c>
    </row>
    <row r="18" customFormat="false" ht="15" hidden="false" customHeight="true" outlineLevel="0" collapsed="false">
      <c r="A18" s="4" t="s">
        <v>14</v>
      </c>
    </row>
    <row r="19" customFormat="false" ht="15" hidden="false" customHeight="true" outlineLevel="0" collapsed="false">
      <c r="A19" s="4" t="s">
        <v>15</v>
      </c>
    </row>
    <row r="20" customFormat="false" ht="15" hidden="false" customHeight="true" outlineLevel="0" collapsed="false">
      <c r="A20" s="4" t="s">
        <v>16</v>
      </c>
    </row>
    <row r="21" customFormat="false" ht="15" hidden="false" customHeight="true" outlineLevel="0" collapsed="false">
      <c r="A21" s="4" t="s">
        <v>17</v>
      </c>
    </row>
    <row r="22" customFormat="false" ht="15" hidden="false" customHeight="true" outlineLevel="0" collapsed="false">
      <c r="A22" s="4"/>
    </row>
    <row r="23" customFormat="false" ht="15" hidden="false" customHeight="true" outlineLevel="0" collapsed="false">
      <c r="A23" s="5" t="s">
        <v>18</v>
      </c>
    </row>
    <row r="24" customFormat="false" ht="15" hidden="false" customHeight="true" outlineLevel="0" collapsed="false">
      <c r="A24" s="4" t="s">
        <v>19</v>
      </c>
    </row>
    <row r="25" customFormat="false" ht="15" hidden="false" customHeight="true" outlineLevel="0" collapsed="false">
      <c r="A25" s="4" t="s">
        <v>20</v>
      </c>
    </row>
    <row r="26" customFormat="false" ht="15" hidden="false" customHeight="true" outlineLevel="0" collapsed="false">
      <c r="A26" s="4" t="s">
        <v>21</v>
      </c>
    </row>
    <row r="27" customFormat="false" ht="15" hidden="false" customHeight="true" outlineLevel="0" collapsed="false">
      <c r="A27" s="4" t="s">
        <v>22</v>
      </c>
    </row>
    <row r="28" customFormat="false" ht="15" hidden="false" customHeight="true" outlineLevel="0" collapsed="false">
      <c r="A28" s="4" t="s">
        <v>23</v>
      </c>
    </row>
    <row r="29" customFormat="false" ht="15" hidden="false" customHeight="true" outlineLevel="0" collapsed="false">
      <c r="A29" s="4" t="s">
        <v>24</v>
      </c>
    </row>
    <row r="30" customFormat="false" ht="15" hidden="false" customHeight="true" outlineLevel="0" collapsed="false">
      <c r="A30" s="4" t="s">
        <v>25</v>
      </c>
    </row>
    <row r="31" customFormat="false" ht="15" hidden="false" customHeight="true" outlineLevel="0" collapsed="false">
      <c r="A31" s="4"/>
    </row>
    <row r="32" customFormat="false" ht="15" hidden="false" customHeight="true" outlineLevel="0" collapsed="false">
      <c r="A32" s="5" t="s">
        <v>26</v>
      </c>
    </row>
    <row r="33" customFormat="false" ht="15" hidden="false" customHeight="true" outlineLevel="0" collapsed="false">
      <c r="A33" s="4" t="s">
        <v>27</v>
      </c>
    </row>
    <row r="34" customFormat="false" ht="15" hidden="false" customHeight="true" outlineLevel="0" collapsed="false">
      <c r="A34" s="4" t="s">
        <v>28</v>
      </c>
    </row>
    <row r="35" customFormat="false" ht="15" hidden="false" customHeight="true" outlineLevel="0" collapsed="false">
      <c r="A35" s="4" t="s">
        <v>29</v>
      </c>
    </row>
    <row r="37" customFormat="false" ht="15" hidden="false" customHeight="false" outlineLevel="0" collapsed="false">
      <c r="A37" s="6" t="s">
        <v>30</v>
      </c>
    </row>
    <row r="38" customFormat="false" ht="23.85" hidden="false" customHeight="false" outlineLevel="0" collapsed="false">
      <c r="A38" s="4" t="s">
        <v>31</v>
      </c>
    </row>
    <row r="39" customFormat="false" ht="15" hidden="false" customHeight="false" outlineLevel="0" collapsed="false">
      <c r="A39" s="4" t="s">
        <v>32</v>
      </c>
    </row>
    <row r="40" customFormat="false" ht="23.85" hidden="false" customHeight="false" outlineLevel="0" collapsed="false">
      <c r="A40" s="4" t="s">
        <v>33</v>
      </c>
    </row>
    <row r="41" customFormat="false" ht="15" hidden="false" customHeight="false" outlineLevel="0" collapsed="false">
      <c r="A41" s="4" t="s">
        <v>34</v>
      </c>
    </row>
    <row r="42" customFormat="false" ht="23.85" hidden="false" customHeight="false" outlineLevel="0" collapsed="false">
      <c r="A42" s="4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4" min="4" style="1" width="50"/>
    <col collapsed="false" customWidth="true" hidden="false" outlineLevel="0" max="5" min="5" style="1" width="40"/>
    <col collapsed="false" customWidth="true" hidden="false" outlineLevel="0" max="6" min="6" style="1" width="22"/>
  </cols>
  <sheetData>
    <row r="1" customFormat="false" ht="30" hidden="false" customHeight="true" outlineLevel="0" collapsed="false">
      <c r="A1" s="7" t="s">
        <v>36</v>
      </c>
      <c r="B1" s="7" t="s">
        <v>37</v>
      </c>
      <c r="C1" s="7" t="s">
        <v>38</v>
      </c>
      <c r="D1" s="7" t="s">
        <v>39</v>
      </c>
      <c r="E1" s="7" t="s">
        <v>40</v>
      </c>
      <c r="F1" s="7" t="s">
        <v>41</v>
      </c>
    </row>
    <row r="2" customFormat="false" ht="15" hidden="false" customHeight="true" outlineLevel="0" collapsed="false">
      <c r="A2" s="8" t="s">
        <v>42</v>
      </c>
      <c r="B2" s="9" t="s">
        <v>43</v>
      </c>
      <c r="C2" s="9" t="s">
        <v>44</v>
      </c>
      <c r="D2" s="9" t="s">
        <v>45</v>
      </c>
      <c r="E2" s="9" t="s">
        <v>46</v>
      </c>
      <c r="F2" s="9" t="s">
        <v>47</v>
      </c>
    </row>
    <row r="3" customFormat="false" ht="15" hidden="false" customHeight="true" outlineLevel="0" collapsed="false">
      <c r="A3" s="8" t="s">
        <v>42</v>
      </c>
      <c r="B3" s="9" t="s">
        <v>48</v>
      </c>
      <c r="C3" s="9" t="s">
        <v>49</v>
      </c>
      <c r="D3" s="9" t="s">
        <v>50</v>
      </c>
      <c r="E3" s="9" t="s">
        <v>51</v>
      </c>
      <c r="F3" s="9" t="s">
        <v>52</v>
      </c>
    </row>
    <row r="4" customFormat="false" ht="23.25" hidden="false" customHeight="true" outlineLevel="0" collapsed="false">
      <c r="A4" s="8" t="s">
        <v>42</v>
      </c>
      <c r="B4" s="9" t="s">
        <v>53</v>
      </c>
      <c r="C4" s="9" t="s">
        <v>54</v>
      </c>
      <c r="D4" s="9" t="s">
        <v>55</v>
      </c>
      <c r="E4" s="9" t="s">
        <v>56</v>
      </c>
      <c r="F4" s="9" t="s">
        <v>57</v>
      </c>
    </row>
    <row r="5" customFormat="false" ht="15" hidden="false" customHeight="true" outlineLevel="0" collapsed="false">
      <c r="A5" s="8" t="s">
        <v>42</v>
      </c>
      <c r="B5" s="9" t="s">
        <v>58</v>
      </c>
      <c r="C5" s="9" t="s">
        <v>59</v>
      </c>
      <c r="D5" s="9" t="s">
        <v>60</v>
      </c>
      <c r="E5" s="9" t="s">
        <v>61</v>
      </c>
      <c r="F5" s="9" t="s">
        <v>62</v>
      </c>
    </row>
    <row r="6" customFormat="false" ht="15" hidden="false" customHeight="true" outlineLevel="0" collapsed="false">
      <c r="A6" s="8" t="s">
        <v>42</v>
      </c>
      <c r="B6" s="9" t="s">
        <v>63</v>
      </c>
      <c r="C6" s="9" t="s">
        <v>64</v>
      </c>
      <c r="D6" s="9" t="s">
        <v>65</v>
      </c>
      <c r="E6" s="9" t="s">
        <v>61</v>
      </c>
      <c r="F6" s="9" t="s">
        <v>66</v>
      </c>
    </row>
    <row r="7" customFormat="false" ht="15" hidden="false" customHeight="true" outlineLevel="0" collapsed="false">
      <c r="A7" s="10" t="s">
        <v>67</v>
      </c>
      <c r="B7" s="9" t="s">
        <v>68</v>
      </c>
      <c r="C7" s="9" t="s">
        <v>69</v>
      </c>
      <c r="D7" s="9" t="s">
        <v>70</v>
      </c>
      <c r="E7" s="9" t="s">
        <v>71</v>
      </c>
      <c r="F7" s="9" t="s">
        <v>72</v>
      </c>
    </row>
    <row r="8" customFormat="false" ht="15" hidden="false" customHeight="true" outlineLevel="0" collapsed="false">
      <c r="A8" s="10" t="s">
        <v>67</v>
      </c>
      <c r="B8" s="9" t="s">
        <v>73</v>
      </c>
      <c r="C8" s="9" t="s">
        <v>74</v>
      </c>
      <c r="D8" s="9" t="s">
        <v>75</v>
      </c>
      <c r="E8" s="9" t="s">
        <v>46</v>
      </c>
      <c r="F8" s="9" t="s">
        <v>76</v>
      </c>
    </row>
    <row r="9" customFormat="false" ht="15" hidden="false" customHeight="true" outlineLevel="0" collapsed="false">
      <c r="A9" s="10" t="s">
        <v>67</v>
      </c>
      <c r="B9" s="9" t="s">
        <v>77</v>
      </c>
      <c r="C9" s="9" t="s">
        <v>78</v>
      </c>
      <c r="D9" s="9" t="s">
        <v>79</v>
      </c>
      <c r="E9" s="9" t="s">
        <v>80</v>
      </c>
      <c r="F9" s="9" t="s">
        <v>81</v>
      </c>
    </row>
    <row r="10" customFormat="false" ht="15" hidden="false" customHeight="true" outlineLevel="0" collapsed="false">
      <c r="A10" s="11" t="s">
        <v>82</v>
      </c>
      <c r="B10" s="9" t="s">
        <v>83</v>
      </c>
      <c r="C10" s="9" t="s">
        <v>84</v>
      </c>
      <c r="D10" s="9" t="s">
        <v>85</v>
      </c>
      <c r="E10" s="9" t="s">
        <v>86</v>
      </c>
      <c r="F10" s="9" t="s">
        <v>87</v>
      </c>
    </row>
    <row r="11" customFormat="false" ht="15" hidden="false" customHeight="true" outlineLevel="0" collapsed="false">
      <c r="A11" s="11" t="s">
        <v>82</v>
      </c>
      <c r="B11" s="9" t="s">
        <v>88</v>
      </c>
      <c r="C11" s="9" t="s">
        <v>89</v>
      </c>
      <c r="D11" s="9" t="s">
        <v>90</v>
      </c>
      <c r="E11" s="9" t="s">
        <v>91</v>
      </c>
      <c r="F11" s="9" t="s">
        <v>81</v>
      </c>
    </row>
    <row r="12" customFormat="false" ht="15" hidden="false" customHeight="true" outlineLevel="0" collapsed="false">
      <c r="A12" s="11" t="s">
        <v>82</v>
      </c>
      <c r="B12" s="9" t="s">
        <v>92</v>
      </c>
      <c r="C12" s="9" t="s">
        <v>93</v>
      </c>
      <c r="D12" s="9" t="s">
        <v>94</v>
      </c>
      <c r="E12" s="9" t="s">
        <v>95</v>
      </c>
      <c r="F12" s="9" t="s">
        <v>72</v>
      </c>
    </row>
    <row r="13" customFormat="false" ht="15" hidden="false" customHeight="true" outlineLevel="0" collapsed="false">
      <c r="A13" s="11" t="s">
        <v>82</v>
      </c>
      <c r="B13" s="9" t="s">
        <v>96</v>
      </c>
      <c r="C13" s="9" t="s">
        <v>97</v>
      </c>
      <c r="D13" s="9" t="s">
        <v>98</v>
      </c>
      <c r="E13" s="9" t="s">
        <v>99</v>
      </c>
      <c r="F13" s="9" t="s">
        <v>72</v>
      </c>
    </row>
    <row r="14" customFormat="false" ht="23.25" hidden="false" customHeight="true" outlineLevel="0" collapsed="false">
      <c r="A14" s="12" t="s">
        <v>100</v>
      </c>
      <c r="B14" s="9" t="s">
        <v>101</v>
      </c>
      <c r="C14" s="9" t="s">
        <v>102</v>
      </c>
      <c r="D14" s="9" t="s">
        <v>103</v>
      </c>
      <c r="E14" s="9" t="s">
        <v>104</v>
      </c>
      <c r="F14" s="9" t="s">
        <v>81</v>
      </c>
    </row>
    <row r="15" customFormat="false" ht="15" hidden="false" customHeight="true" outlineLevel="0" collapsed="false">
      <c r="A15" s="12" t="s">
        <v>100</v>
      </c>
      <c r="B15" s="9" t="s">
        <v>105</v>
      </c>
      <c r="C15" s="9" t="s">
        <v>106</v>
      </c>
      <c r="D15" s="9" t="s">
        <v>107</v>
      </c>
      <c r="E15" s="9" t="s">
        <v>108</v>
      </c>
      <c r="F15" s="9" t="s">
        <v>72</v>
      </c>
    </row>
    <row r="16" customFormat="false" ht="15" hidden="false" customHeight="true" outlineLevel="0" collapsed="false">
      <c r="A16" s="12" t="s">
        <v>100</v>
      </c>
      <c r="B16" s="9" t="s">
        <v>109</v>
      </c>
      <c r="C16" s="9" t="s">
        <v>110</v>
      </c>
      <c r="D16" s="9" t="s">
        <v>111</v>
      </c>
      <c r="E16" s="9" t="s">
        <v>112</v>
      </c>
      <c r="F16" s="9" t="s">
        <v>81</v>
      </c>
    </row>
    <row r="17" customFormat="false" ht="23.25" hidden="false" customHeight="true" outlineLevel="0" collapsed="false">
      <c r="A17" s="13" t="s">
        <v>113</v>
      </c>
      <c r="B17" s="9" t="s">
        <v>114</v>
      </c>
      <c r="C17" s="9" t="s">
        <v>115</v>
      </c>
      <c r="D17" s="9" t="s">
        <v>116</v>
      </c>
      <c r="E17" s="9" t="s">
        <v>95</v>
      </c>
      <c r="F17" s="9" t="s">
        <v>117</v>
      </c>
    </row>
    <row r="18" customFormat="false" ht="15" hidden="false" customHeight="true" outlineLevel="0" collapsed="false">
      <c r="A18" s="13" t="s">
        <v>113</v>
      </c>
      <c r="B18" s="9" t="s">
        <v>118</v>
      </c>
      <c r="C18" s="9" t="s">
        <v>119</v>
      </c>
      <c r="D18" s="9" t="s">
        <v>120</v>
      </c>
      <c r="E18" s="9" t="s">
        <v>121</v>
      </c>
      <c r="F18" s="9" t="s">
        <v>122</v>
      </c>
    </row>
    <row r="19" customFormat="false" ht="15" hidden="false" customHeight="true" outlineLevel="0" collapsed="false">
      <c r="A19" s="13" t="s">
        <v>113</v>
      </c>
      <c r="B19" s="9" t="s">
        <v>123</v>
      </c>
      <c r="C19" s="9" t="s">
        <v>124</v>
      </c>
      <c r="D19" s="9" t="s">
        <v>125</v>
      </c>
      <c r="E19" s="9" t="s">
        <v>126</v>
      </c>
      <c r="F19" s="9" t="s">
        <v>127</v>
      </c>
    </row>
    <row r="20" customFormat="false" ht="15" hidden="false" customHeight="true" outlineLevel="0" collapsed="false">
      <c r="A20" s="13" t="s">
        <v>113</v>
      </c>
      <c r="B20" s="9" t="s">
        <v>128</v>
      </c>
      <c r="C20" s="9" t="s">
        <v>129</v>
      </c>
      <c r="D20" s="9" t="s">
        <v>130</v>
      </c>
      <c r="E20" s="9" t="s">
        <v>95</v>
      </c>
      <c r="F20" s="9" t="s">
        <v>131</v>
      </c>
    </row>
    <row r="21" customFormat="false" ht="15" hidden="false" customHeight="true" outlineLevel="0" collapsed="false">
      <c r="A21" s="13" t="s">
        <v>113</v>
      </c>
      <c r="B21" s="9" t="s">
        <v>132</v>
      </c>
      <c r="C21" s="9" t="s">
        <v>133</v>
      </c>
      <c r="D21" s="9" t="s">
        <v>134</v>
      </c>
      <c r="E21" s="9" t="s">
        <v>135</v>
      </c>
      <c r="F21" s="9" t="s">
        <v>136</v>
      </c>
    </row>
    <row r="22" customFormat="false" ht="15" hidden="false" customHeight="true" outlineLevel="0" collapsed="false">
      <c r="A22" s="14" t="s">
        <v>137</v>
      </c>
      <c r="B22" s="9" t="s">
        <v>138</v>
      </c>
      <c r="C22" s="9" t="s">
        <v>139</v>
      </c>
      <c r="D22" s="9" t="s">
        <v>140</v>
      </c>
      <c r="E22" s="9" t="s">
        <v>141</v>
      </c>
      <c r="F22" s="9" t="s">
        <v>142</v>
      </c>
    </row>
    <row r="23" customFormat="false" ht="15" hidden="false" customHeight="true" outlineLevel="0" collapsed="false">
      <c r="A23" s="14" t="s">
        <v>137</v>
      </c>
      <c r="B23" s="9" t="s">
        <v>143</v>
      </c>
      <c r="C23" s="9" t="s">
        <v>144</v>
      </c>
      <c r="D23" s="9" t="s">
        <v>145</v>
      </c>
      <c r="E23" s="9" t="s">
        <v>126</v>
      </c>
      <c r="F23" s="9" t="s">
        <v>127</v>
      </c>
    </row>
    <row r="24" customFormat="false" ht="15" hidden="false" customHeight="true" outlineLevel="0" collapsed="false">
      <c r="A24" s="14" t="s">
        <v>137</v>
      </c>
      <c r="B24" s="9" t="s">
        <v>146</v>
      </c>
      <c r="C24" s="9" t="s">
        <v>147</v>
      </c>
      <c r="D24" s="9" t="s">
        <v>148</v>
      </c>
      <c r="E24" s="9" t="s">
        <v>108</v>
      </c>
      <c r="F24" s="9" t="s">
        <v>72</v>
      </c>
    </row>
    <row r="25" customFormat="false" ht="23.25" hidden="false" customHeight="true" outlineLevel="0" collapsed="false">
      <c r="A25" s="15" t="s">
        <v>149</v>
      </c>
      <c r="B25" s="9" t="s">
        <v>150</v>
      </c>
      <c r="C25" s="9" t="s">
        <v>151</v>
      </c>
      <c r="D25" s="9" t="s">
        <v>152</v>
      </c>
      <c r="E25" s="9" t="s">
        <v>51</v>
      </c>
      <c r="F25" s="9" t="s">
        <v>153</v>
      </c>
    </row>
    <row r="26" customFormat="false" ht="15" hidden="false" customHeight="true" outlineLevel="0" collapsed="false">
      <c r="A26" s="15" t="s">
        <v>149</v>
      </c>
      <c r="B26" s="9" t="s">
        <v>154</v>
      </c>
      <c r="C26" s="9" t="s">
        <v>155</v>
      </c>
      <c r="D26" s="9" t="s">
        <v>156</v>
      </c>
      <c r="E26" s="9" t="s">
        <v>157</v>
      </c>
      <c r="F26" s="9" t="s">
        <v>158</v>
      </c>
    </row>
    <row r="27" customFormat="false" ht="15" hidden="false" customHeight="true" outlineLevel="0" collapsed="false">
      <c r="A27" s="15" t="s">
        <v>149</v>
      </c>
      <c r="B27" s="9" t="s">
        <v>159</v>
      </c>
      <c r="C27" s="9" t="s">
        <v>160</v>
      </c>
      <c r="D27" s="9" t="s">
        <v>161</v>
      </c>
      <c r="E27" s="9" t="s">
        <v>162</v>
      </c>
      <c r="F27" s="9" t="s">
        <v>81</v>
      </c>
    </row>
    <row r="28" customFormat="false" ht="23.85" hidden="false" customHeight="false" outlineLevel="0" collapsed="false">
      <c r="A28" s="16" t="s">
        <v>163</v>
      </c>
      <c r="B28" s="9" t="s">
        <v>164</v>
      </c>
      <c r="C28" s="9" t="s">
        <v>165</v>
      </c>
      <c r="D28" s="9" t="s">
        <v>166</v>
      </c>
      <c r="E28" s="9" t="s">
        <v>167</v>
      </c>
      <c r="F28" s="9" t="s">
        <v>81</v>
      </c>
    </row>
    <row r="29" customFormat="false" ht="23.85" hidden="false" customHeight="false" outlineLevel="0" collapsed="false">
      <c r="A29" s="16" t="s">
        <v>163</v>
      </c>
      <c r="B29" s="9" t="s">
        <v>168</v>
      </c>
      <c r="C29" s="9" t="s">
        <v>169</v>
      </c>
      <c r="D29" s="9" t="s">
        <v>170</v>
      </c>
      <c r="E29" s="9" t="s">
        <v>171</v>
      </c>
      <c r="F29" s="9" t="s">
        <v>72</v>
      </c>
    </row>
    <row r="30" customFormat="false" ht="23.85" hidden="false" customHeight="false" outlineLevel="0" collapsed="false">
      <c r="A30" s="16" t="s">
        <v>163</v>
      </c>
      <c r="B30" s="9" t="s">
        <v>172</v>
      </c>
      <c r="C30" s="9" t="s">
        <v>173</v>
      </c>
      <c r="D30" s="9" t="s">
        <v>174</v>
      </c>
      <c r="E30" s="9" t="s">
        <v>175</v>
      </c>
      <c r="F30" s="9" t="s">
        <v>81</v>
      </c>
    </row>
    <row r="31" customFormat="false" ht="23.85" hidden="false" customHeight="false" outlineLevel="0" collapsed="false">
      <c r="A31" s="16" t="s">
        <v>163</v>
      </c>
      <c r="B31" s="9" t="s">
        <v>176</v>
      </c>
      <c r="C31" s="9" t="s">
        <v>177</v>
      </c>
      <c r="D31" s="9" t="s">
        <v>178</v>
      </c>
      <c r="E31" s="9" t="s">
        <v>179</v>
      </c>
      <c r="F31" s="9" t="s">
        <v>72</v>
      </c>
    </row>
    <row r="32" customFormat="false" ht="23.85" hidden="false" customHeight="false" outlineLevel="0" collapsed="false">
      <c r="A32" s="16" t="s">
        <v>163</v>
      </c>
      <c r="B32" s="9" t="s">
        <v>180</v>
      </c>
      <c r="C32" s="9" t="s">
        <v>181</v>
      </c>
      <c r="D32" s="9" t="s">
        <v>182</v>
      </c>
      <c r="E32" s="9" t="s">
        <v>95</v>
      </c>
      <c r="F32" s="9" t="s">
        <v>183</v>
      </c>
    </row>
    <row r="33" customFormat="false" ht="23.85" hidden="false" customHeight="false" outlineLevel="0" collapsed="false">
      <c r="A33" s="16" t="s">
        <v>163</v>
      </c>
      <c r="B33" s="9" t="s">
        <v>184</v>
      </c>
      <c r="C33" s="9" t="s">
        <v>185</v>
      </c>
      <c r="D33" s="9" t="s">
        <v>186</v>
      </c>
      <c r="E33" s="9" t="s">
        <v>95</v>
      </c>
      <c r="F33" s="9" t="s">
        <v>187</v>
      </c>
    </row>
    <row r="34" customFormat="false" ht="23.85" hidden="false" customHeight="false" outlineLevel="0" collapsed="false">
      <c r="A34" s="16" t="s">
        <v>163</v>
      </c>
      <c r="B34" s="9" t="s">
        <v>188</v>
      </c>
      <c r="C34" s="9" t="s">
        <v>189</v>
      </c>
      <c r="D34" s="9" t="s">
        <v>190</v>
      </c>
      <c r="E34" s="9" t="s">
        <v>191</v>
      </c>
      <c r="F34" s="9" t="s">
        <v>192</v>
      </c>
    </row>
    <row r="35" customFormat="false" ht="23.85" hidden="false" customHeight="false" outlineLevel="0" collapsed="false">
      <c r="A35" s="16" t="s">
        <v>163</v>
      </c>
      <c r="B35" s="9" t="s">
        <v>193</v>
      </c>
      <c r="C35" s="9" t="s">
        <v>194</v>
      </c>
      <c r="D35" s="9" t="s">
        <v>195</v>
      </c>
      <c r="E35" s="9" t="s">
        <v>196</v>
      </c>
      <c r="F35" s="9" t="s">
        <v>197</v>
      </c>
    </row>
    <row r="36" customFormat="false" ht="23.85" hidden="false" customHeight="false" outlineLevel="0" collapsed="false">
      <c r="A36" s="16" t="s">
        <v>163</v>
      </c>
      <c r="B36" s="9" t="s">
        <v>198</v>
      </c>
      <c r="C36" s="9" t="s">
        <v>199</v>
      </c>
      <c r="D36" s="9" t="s">
        <v>200</v>
      </c>
      <c r="E36" s="9" t="s">
        <v>201</v>
      </c>
      <c r="F36" s="9" t="s">
        <v>202</v>
      </c>
    </row>
    <row r="37" customFormat="false" ht="23.85" hidden="false" customHeight="false" outlineLevel="0" collapsed="false">
      <c r="A37" s="16" t="s">
        <v>163</v>
      </c>
      <c r="B37" s="9" t="s">
        <v>203</v>
      </c>
      <c r="C37" s="9" t="s">
        <v>204</v>
      </c>
      <c r="D37" s="9" t="s">
        <v>205</v>
      </c>
      <c r="E37" s="9" t="s">
        <v>206</v>
      </c>
      <c r="F37" s="9" t="s">
        <v>207</v>
      </c>
    </row>
    <row r="38" customFormat="false" ht="23.85" hidden="false" customHeight="false" outlineLevel="0" collapsed="false">
      <c r="A38" s="17" t="s">
        <v>208</v>
      </c>
      <c r="B38" s="9" t="s">
        <v>209</v>
      </c>
      <c r="C38" s="9" t="s">
        <v>210</v>
      </c>
      <c r="D38" s="9" t="s">
        <v>211</v>
      </c>
      <c r="E38" s="9" t="s">
        <v>108</v>
      </c>
      <c r="F38" s="9" t="s">
        <v>72</v>
      </c>
    </row>
    <row r="39" customFormat="false" ht="23.85" hidden="false" customHeight="false" outlineLevel="0" collapsed="false">
      <c r="A39" s="17" t="s">
        <v>208</v>
      </c>
      <c r="B39" s="9" t="s">
        <v>212</v>
      </c>
      <c r="C39" s="9" t="s">
        <v>213</v>
      </c>
      <c r="D39" s="9" t="s">
        <v>214</v>
      </c>
      <c r="E39" s="9" t="s">
        <v>215</v>
      </c>
      <c r="F39" s="9" t="s">
        <v>216</v>
      </c>
    </row>
    <row r="40" customFormat="false" ht="23.85" hidden="false" customHeight="false" outlineLevel="0" collapsed="false">
      <c r="A40" s="17" t="s">
        <v>208</v>
      </c>
      <c r="B40" s="9" t="s">
        <v>217</v>
      </c>
      <c r="C40" s="9" t="s">
        <v>218</v>
      </c>
      <c r="D40" s="9" t="s">
        <v>219</v>
      </c>
      <c r="E40" s="9" t="s">
        <v>108</v>
      </c>
      <c r="F40" s="9" t="s">
        <v>81</v>
      </c>
    </row>
    <row r="41" customFormat="false" ht="23.85" hidden="false" customHeight="false" outlineLevel="0" collapsed="false">
      <c r="A41" s="17" t="s">
        <v>208</v>
      </c>
      <c r="B41" s="9" t="s">
        <v>220</v>
      </c>
      <c r="C41" s="9" t="s">
        <v>221</v>
      </c>
      <c r="D41" s="9" t="s">
        <v>222</v>
      </c>
      <c r="E41" s="9" t="s">
        <v>223</v>
      </c>
      <c r="F41" s="9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8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7" min="6" style="1" width="22"/>
    <col collapsed="false" customWidth="true" hidden="false" outlineLevel="0" max="8" min="8" style="1" width="12"/>
    <col collapsed="false" customWidth="true" hidden="false" outlineLevel="0" max="9" min="9" style="1" width="18"/>
    <col collapsed="false" customWidth="true" hidden="false" outlineLevel="0" max="10" min="10" style="1" width="12"/>
    <col collapsed="false" customWidth="true" hidden="false" outlineLevel="0" max="11" min="11" style="1" width="14"/>
    <col collapsed="false" customWidth="true" hidden="false" outlineLevel="0" max="13" min="12" style="1" width="12"/>
    <col collapsed="false" customWidth="true" hidden="false" outlineLevel="0" max="17" min="14" style="1" width="14"/>
    <col collapsed="false" customWidth="true" hidden="false" outlineLevel="0" max="18" min="18" style="1" width="12"/>
    <col collapsed="false" customWidth="true" hidden="false" outlineLevel="0" max="19" min="19" style="1" width="14"/>
    <col collapsed="false" customWidth="true" hidden="false" outlineLevel="0" max="20" min="20" style="1" width="12"/>
    <col collapsed="false" customWidth="true" hidden="false" outlineLevel="0" max="22" min="21" style="1" width="14"/>
    <col collapsed="false" customWidth="true" hidden="false" outlineLevel="0" max="23" min="23" style="1" width="24"/>
    <col collapsed="false" customWidth="true" hidden="false" outlineLevel="0" max="24" min="24" style="1" width="12"/>
    <col collapsed="false" customWidth="true" hidden="false" outlineLevel="0" max="25" min="25" style="1" width="14"/>
    <col collapsed="false" customWidth="true" hidden="false" outlineLevel="0" max="26" min="26" style="1" width="20"/>
    <col collapsed="false" customWidth="true" hidden="false" outlineLevel="0" max="28" min="27" style="1" width="14"/>
    <col collapsed="false" customWidth="true" hidden="false" outlineLevel="0" max="32" min="29" style="0" width="14"/>
    <col collapsed="false" customWidth="true" hidden="false" outlineLevel="0" max="34" min="33" style="0" width="12"/>
    <col collapsed="false" customWidth="true" hidden="false" outlineLevel="0" max="35" min="35" style="0" width="16"/>
    <col collapsed="false" customWidth="true" hidden="false" outlineLevel="0" max="37" min="36" style="0" width="14"/>
    <col collapsed="false" customWidth="true" hidden="false" outlineLevel="0" max="38" min="38" style="0" width="22"/>
    <col collapsed="false" customWidth="true" hidden="false" outlineLevel="0" max="41" min="39" style="0" width="14"/>
    <col collapsed="false" customWidth="true" hidden="false" outlineLevel="0" max="42" min="42" style="0" width="16"/>
  </cols>
  <sheetData>
    <row r="1" customFormat="false" ht="21.75" hidden="false" customHeight="true" outlineLevel="0" collapsed="false">
      <c r="A1" s="18" t="s">
        <v>224</v>
      </c>
      <c r="B1" s="18"/>
      <c r="C1" s="19" t="s">
        <v>42</v>
      </c>
      <c r="D1" s="19"/>
      <c r="E1" s="19"/>
      <c r="F1" s="19"/>
      <c r="G1" s="19"/>
      <c r="H1" s="20" t="s">
        <v>225</v>
      </c>
      <c r="I1" s="20"/>
      <c r="J1" s="20"/>
      <c r="K1" s="21" t="s">
        <v>82</v>
      </c>
      <c r="L1" s="21"/>
      <c r="M1" s="21"/>
      <c r="N1" s="21"/>
      <c r="O1" s="22" t="s">
        <v>100</v>
      </c>
      <c r="P1" s="22"/>
      <c r="Q1" s="22"/>
      <c r="R1" s="23" t="s">
        <v>113</v>
      </c>
      <c r="S1" s="23"/>
      <c r="T1" s="23"/>
      <c r="U1" s="23"/>
      <c r="V1" s="23"/>
      <c r="W1" s="24" t="s">
        <v>137</v>
      </c>
      <c r="X1" s="24"/>
      <c r="Y1" s="24"/>
      <c r="Z1" s="25" t="s">
        <v>226</v>
      </c>
      <c r="AA1" s="25"/>
      <c r="AB1" s="25"/>
      <c r="AC1" s="26" t="s">
        <v>163</v>
      </c>
      <c r="AD1" s="26"/>
      <c r="AE1" s="26"/>
      <c r="AF1" s="26"/>
      <c r="AG1" s="26"/>
      <c r="AH1" s="26"/>
      <c r="AI1" s="26"/>
      <c r="AJ1" s="26"/>
      <c r="AK1" s="26"/>
      <c r="AL1" s="26"/>
      <c r="AM1" s="27" t="s">
        <v>208</v>
      </c>
      <c r="AN1" s="27"/>
      <c r="AO1" s="27"/>
      <c r="AP1" s="27"/>
    </row>
    <row r="2" customFormat="false" ht="37.5" hidden="false" customHeight="true" outlineLevel="0" collapsed="false">
      <c r="A2" s="28" t="s">
        <v>227</v>
      </c>
      <c r="B2" s="28" t="s">
        <v>228</v>
      </c>
      <c r="C2" s="28" t="s">
        <v>229</v>
      </c>
      <c r="D2" s="28" t="s">
        <v>230</v>
      </c>
      <c r="E2" s="28" t="s">
        <v>231</v>
      </c>
      <c r="F2" s="28" t="s">
        <v>232</v>
      </c>
      <c r="G2" s="28" t="s">
        <v>233</v>
      </c>
      <c r="H2" s="28" t="s">
        <v>234</v>
      </c>
      <c r="I2" s="28" t="s">
        <v>235</v>
      </c>
      <c r="J2" s="28" t="s">
        <v>236</v>
      </c>
      <c r="K2" s="28" t="s">
        <v>237</v>
      </c>
      <c r="L2" s="28" t="s">
        <v>238</v>
      </c>
      <c r="M2" s="28" t="s">
        <v>239</v>
      </c>
      <c r="N2" s="28" t="s">
        <v>240</v>
      </c>
      <c r="O2" s="28" t="s">
        <v>241</v>
      </c>
      <c r="P2" s="28" t="s">
        <v>242</v>
      </c>
      <c r="Q2" s="28" t="s">
        <v>243</v>
      </c>
      <c r="R2" s="28" t="s">
        <v>244</v>
      </c>
      <c r="S2" s="28" t="s">
        <v>245</v>
      </c>
      <c r="T2" s="28" t="s">
        <v>246</v>
      </c>
      <c r="U2" s="28" t="s">
        <v>247</v>
      </c>
      <c r="V2" s="28" t="s">
        <v>248</v>
      </c>
      <c r="W2" s="28" t="s">
        <v>249</v>
      </c>
      <c r="X2" s="28" t="s">
        <v>250</v>
      </c>
      <c r="Y2" s="28" t="s">
        <v>251</v>
      </c>
      <c r="Z2" s="28" t="s">
        <v>252</v>
      </c>
      <c r="AA2" s="28" t="s">
        <v>253</v>
      </c>
      <c r="AB2" s="28" t="s">
        <v>254</v>
      </c>
      <c r="AC2" s="28" t="s">
        <v>255</v>
      </c>
      <c r="AD2" s="28" t="s">
        <v>256</v>
      </c>
      <c r="AE2" s="28" t="s">
        <v>257</v>
      </c>
      <c r="AF2" s="28" t="s">
        <v>258</v>
      </c>
      <c r="AG2" s="28" t="s">
        <v>259</v>
      </c>
      <c r="AH2" s="28" t="s">
        <v>260</v>
      </c>
      <c r="AI2" s="28" t="s">
        <v>261</v>
      </c>
      <c r="AJ2" s="28" t="s">
        <v>262</v>
      </c>
      <c r="AK2" s="28" t="s">
        <v>263</v>
      </c>
      <c r="AL2" s="28" t="s">
        <v>264</v>
      </c>
      <c r="AM2" s="28" t="s">
        <v>265</v>
      </c>
      <c r="AN2" s="28" t="s">
        <v>266</v>
      </c>
      <c r="AO2" s="28" t="s">
        <v>267</v>
      </c>
      <c r="AP2" s="28" t="s">
        <v>268</v>
      </c>
    </row>
    <row r="3" customFormat="false" ht="15" hidden="false" customHeight="true" outlineLevel="0" collapsed="false">
      <c r="A3" s="29" t="s">
        <v>269</v>
      </c>
      <c r="B3" s="29" t="s">
        <v>270</v>
      </c>
      <c r="C3" s="30" t="s">
        <v>47</v>
      </c>
      <c r="D3" s="30" t="s">
        <v>271</v>
      </c>
      <c r="E3" s="30" t="s">
        <v>57</v>
      </c>
      <c r="F3" s="30" t="s">
        <v>272</v>
      </c>
      <c r="G3" s="30" t="s">
        <v>273</v>
      </c>
      <c r="H3" s="30" t="n">
        <v>3</v>
      </c>
      <c r="I3" s="30" t="s">
        <v>76</v>
      </c>
      <c r="J3" s="30" t="n">
        <v>3</v>
      </c>
      <c r="K3" s="30" t="s">
        <v>87</v>
      </c>
      <c r="L3" s="30" t="n">
        <v>2</v>
      </c>
      <c r="M3" s="30" t="n">
        <v>3</v>
      </c>
      <c r="N3" s="30" t="n">
        <v>3</v>
      </c>
      <c r="O3" s="30" t="n">
        <v>1</v>
      </c>
      <c r="P3" s="30" t="n">
        <v>3</v>
      </c>
      <c r="Q3" s="30" t="n">
        <v>3</v>
      </c>
      <c r="R3" s="30" t="n">
        <v>8</v>
      </c>
      <c r="S3" s="30" t="s">
        <v>122</v>
      </c>
      <c r="T3" s="30" t="s">
        <v>127</v>
      </c>
      <c r="U3" s="30" t="n">
        <v>14</v>
      </c>
      <c r="V3" s="30" t="s">
        <v>136</v>
      </c>
      <c r="W3" s="30" t="s">
        <v>274</v>
      </c>
      <c r="X3" s="30" t="s">
        <v>127</v>
      </c>
      <c r="Y3" s="30" t="n">
        <v>3</v>
      </c>
      <c r="Z3" s="30"/>
      <c r="AA3" s="30" t="s">
        <v>158</v>
      </c>
      <c r="AB3" s="30" t="n">
        <v>1</v>
      </c>
      <c r="AC3" s="30" t="n">
        <v>3</v>
      </c>
      <c r="AD3" s="30" t="n">
        <v>3</v>
      </c>
      <c r="AE3" s="30" t="n">
        <v>2</v>
      </c>
      <c r="AF3" s="30" t="n">
        <v>3</v>
      </c>
      <c r="AG3" s="30" t="n">
        <v>28</v>
      </c>
      <c r="AH3" s="30" t="n">
        <v>42</v>
      </c>
      <c r="AI3" s="30" t="s">
        <v>192</v>
      </c>
      <c r="AJ3" s="30" t="s">
        <v>197</v>
      </c>
      <c r="AK3" s="30" t="s">
        <v>202</v>
      </c>
      <c r="AL3" s="30" t="s">
        <v>207</v>
      </c>
      <c r="AM3" s="30" t="n">
        <v>3</v>
      </c>
      <c r="AN3" s="30" t="s">
        <v>216</v>
      </c>
      <c r="AO3" s="30" t="n">
        <v>1</v>
      </c>
      <c r="AP3" s="30" t="n">
        <v>3</v>
      </c>
    </row>
    <row r="4" customFormat="false" ht="15" hidden="false" customHeight="true" outlineLevel="0" collapsed="false">
      <c r="A4" s="29" t="s">
        <v>275</v>
      </c>
      <c r="B4" s="29" t="s">
        <v>276</v>
      </c>
      <c r="C4" s="30" t="s">
        <v>47</v>
      </c>
      <c r="D4" s="30" t="s">
        <v>277</v>
      </c>
      <c r="E4" s="30" t="s">
        <v>57</v>
      </c>
      <c r="F4" s="30" t="s">
        <v>278</v>
      </c>
      <c r="G4" s="30" t="s">
        <v>273</v>
      </c>
      <c r="H4" s="30" t="n">
        <v>3</v>
      </c>
      <c r="I4" s="30" t="s">
        <v>76</v>
      </c>
      <c r="J4" s="30" t="n">
        <v>2</v>
      </c>
      <c r="K4" s="30" t="s">
        <v>279</v>
      </c>
      <c r="L4" s="30" t="n">
        <v>2</v>
      </c>
      <c r="M4" s="30" t="n">
        <v>2</v>
      </c>
      <c r="N4" s="30" t="n">
        <v>2</v>
      </c>
      <c r="O4" s="30" t="n">
        <v>0</v>
      </c>
      <c r="P4" s="30" t="n">
        <v>3</v>
      </c>
      <c r="Q4" s="30" t="n">
        <v>3</v>
      </c>
      <c r="R4" s="30" t="n">
        <v>5</v>
      </c>
      <c r="S4" s="30" t="s">
        <v>122</v>
      </c>
      <c r="T4" s="30" t="s">
        <v>280</v>
      </c>
      <c r="U4" s="30" t="n">
        <v>13</v>
      </c>
      <c r="V4" s="30" t="s">
        <v>136</v>
      </c>
      <c r="W4" s="30" t="s">
        <v>281</v>
      </c>
      <c r="X4" s="30" t="s">
        <v>127</v>
      </c>
      <c r="Y4" s="30" t="n">
        <v>3</v>
      </c>
      <c r="Z4" s="30"/>
      <c r="AA4" s="30" t="s">
        <v>158</v>
      </c>
      <c r="AB4" s="30" t="n">
        <v>1</v>
      </c>
      <c r="AC4" s="30" t="n">
        <v>2</v>
      </c>
      <c r="AD4" s="30" t="n">
        <v>2</v>
      </c>
      <c r="AE4" s="30" t="n">
        <v>2</v>
      </c>
      <c r="AF4" s="30" t="n">
        <v>3</v>
      </c>
      <c r="AG4" s="30" t="n">
        <v>18</v>
      </c>
      <c r="AH4" s="30" t="n">
        <v>31</v>
      </c>
      <c r="AI4" s="30" t="s">
        <v>207</v>
      </c>
      <c r="AJ4" s="30" t="s">
        <v>197</v>
      </c>
      <c r="AK4" s="30" t="s">
        <v>282</v>
      </c>
      <c r="AL4" s="30" t="s">
        <v>207</v>
      </c>
      <c r="AM4" s="30" t="n">
        <v>3</v>
      </c>
      <c r="AN4" s="30" t="s">
        <v>216</v>
      </c>
      <c r="AO4" s="30" t="n">
        <v>1</v>
      </c>
      <c r="AP4" s="30" t="n">
        <v>2</v>
      </c>
    </row>
    <row r="5" customFormat="false" ht="15" hidden="false" customHeight="true" outlineLevel="0" collapsed="false">
      <c r="A5" s="29" t="s">
        <v>283</v>
      </c>
      <c r="B5" s="29" t="s">
        <v>284</v>
      </c>
      <c r="C5" s="30" t="s">
        <v>47</v>
      </c>
      <c r="D5" s="30" t="s">
        <v>285</v>
      </c>
      <c r="E5" s="30" t="s">
        <v>286</v>
      </c>
      <c r="F5" s="30" t="s">
        <v>287</v>
      </c>
      <c r="G5" s="30" t="s">
        <v>288</v>
      </c>
      <c r="H5" s="30" t="n">
        <v>2</v>
      </c>
      <c r="I5" s="30" t="s">
        <v>289</v>
      </c>
      <c r="J5" s="30" t="n">
        <v>3</v>
      </c>
      <c r="K5" s="30" t="s">
        <v>87</v>
      </c>
      <c r="L5" s="30" t="n">
        <v>1</v>
      </c>
      <c r="M5" s="30" t="n">
        <v>2</v>
      </c>
      <c r="N5" s="30" t="n">
        <v>2</v>
      </c>
      <c r="O5" s="30" t="n">
        <v>1</v>
      </c>
      <c r="P5" s="30" t="n">
        <v>2</v>
      </c>
      <c r="Q5" s="30" t="n">
        <v>2</v>
      </c>
      <c r="R5" s="30" t="n">
        <v>4</v>
      </c>
      <c r="S5" s="30" t="s">
        <v>290</v>
      </c>
      <c r="T5" s="30" t="s">
        <v>127</v>
      </c>
      <c r="U5" s="30" t="n">
        <v>17</v>
      </c>
      <c r="V5" s="30" t="s">
        <v>136</v>
      </c>
      <c r="W5" s="30" t="s">
        <v>291</v>
      </c>
      <c r="X5" s="30" t="s">
        <v>127</v>
      </c>
      <c r="Y5" s="30" t="n">
        <v>2</v>
      </c>
      <c r="Z5" s="30"/>
      <c r="AA5" s="30" t="s">
        <v>292</v>
      </c>
      <c r="AB5" s="30" t="n">
        <v>2</v>
      </c>
      <c r="AC5" s="30" t="n">
        <v>2</v>
      </c>
      <c r="AD5" s="30" t="n">
        <v>3</v>
      </c>
      <c r="AE5" s="30" t="n">
        <v>3</v>
      </c>
      <c r="AF5" s="30" t="n">
        <v>2</v>
      </c>
      <c r="AG5" s="30" t="n">
        <v>4</v>
      </c>
      <c r="AH5" s="30" t="n">
        <v>22</v>
      </c>
      <c r="AI5" s="30" t="s">
        <v>207</v>
      </c>
      <c r="AJ5" s="30" t="s">
        <v>197</v>
      </c>
      <c r="AK5" s="30" t="s">
        <v>207</v>
      </c>
      <c r="AL5" s="30" t="s">
        <v>207</v>
      </c>
      <c r="AM5" s="30" t="n">
        <v>2</v>
      </c>
      <c r="AN5" s="30" t="s">
        <v>293</v>
      </c>
      <c r="AO5" s="30" t="n">
        <v>2</v>
      </c>
      <c r="AP5" s="30" t="n">
        <v>2</v>
      </c>
    </row>
    <row r="6" customFormat="false" ht="23.25" hidden="false" customHeight="true" outlineLevel="0" collapsed="false">
      <c r="A6" s="29" t="s">
        <v>294</v>
      </c>
      <c r="B6" s="29" t="s">
        <v>295</v>
      </c>
      <c r="C6" s="30" t="s">
        <v>296</v>
      </c>
      <c r="D6" s="30" t="s">
        <v>297</v>
      </c>
      <c r="E6" s="30" t="s">
        <v>57</v>
      </c>
      <c r="F6" s="30" t="s">
        <v>298</v>
      </c>
      <c r="G6" s="30" t="s">
        <v>299</v>
      </c>
      <c r="H6" s="30" t="n">
        <v>0</v>
      </c>
      <c r="I6" s="30"/>
      <c r="J6" s="30" t="n">
        <v>0</v>
      </c>
      <c r="K6" s="30" t="s">
        <v>279</v>
      </c>
      <c r="L6" s="30" t="n">
        <v>3</v>
      </c>
      <c r="M6" s="30" t="n">
        <v>4</v>
      </c>
      <c r="N6" s="30" t="n">
        <v>3</v>
      </c>
      <c r="O6" s="30" t="n">
        <v>0</v>
      </c>
      <c r="P6" s="30" t="n">
        <v>3</v>
      </c>
      <c r="Q6" s="30" t="n">
        <v>2</v>
      </c>
      <c r="R6" s="30" t="n">
        <v>6</v>
      </c>
      <c r="S6" s="30" t="s">
        <v>122</v>
      </c>
      <c r="T6" s="30" t="s">
        <v>127</v>
      </c>
      <c r="U6" s="30" t="n">
        <v>17</v>
      </c>
      <c r="V6" s="30" t="s">
        <v>136</v>
      </c>
      <c r="W6" s="30" t="s">
        <v>274</v>
      </c>
      <c r="X6" s="30" t="s">
        <v>127</v>
      </c>
      <c r="Y6" s="30" t="n">
        <v>3</v>
      </c>
      <c r="Z6" s="30"/>
      <c r="AA6" s="30" t="s">
        <v>292</v>
      </c>
      <c r="AB6" s="30" t="n">
        <v>2</v>
      </c>
      <c r="AC6" s="30" t="n">
        <v>3</v>
      </c>
      <c r="AD6" s="30" t="n">
        <v>3</v>
      </c>
      <c r="AE6" s="30" t="n">
        <v>3</v>
      </c>
      <c r="AF6" s="30" t="n">
        <v>3</v>
      </c>
      <c r="AG6" s="30" t="n">
        <v>35</v>
      </c>
      <c r="AH6" s="30" t="n">
        <v>48</v>
      </c>
      <c r="AI6" s="30" t="s">
        <v>207</v>
      </c>
      <c r="AJ6" s="30" t="s">
        <v>197</v>
      </c>
      <c r="AK6" s="30" t="s">
        <v>282</v>
      </c>
      <c r="AL6" s="30" t="s">
        <v>207</v>
      </c>
      <c r="AM6" s="30" t="n">
        <v>2</v>
      </c>
      <c r="AN6" s="30" t="s">
        <v>293</v>
      </c>
      <c r="AO6" s="30" t="n">
        <v>3</v>
      </c>
      <c r="AP6" s="30" t="n">
        <v>3</v>
      </c>
    </row>
    <row r="7" customFormat="false" ht="23.25" hidden="false" customHeight="true" outlineLevel="0" collapsed="false">
      <c r="A7" s="29" t="s">
        <v>300</v>
      </c>
      <c r="B7" s="29" t="s">
        <v>301</v>
      </c>
      <c r="C7" s="30" t="s">
        <v>302</v>
      </c>
      <c r="D7" s="30" t="s">
        <v>303</v>
      </c>
      <c r="E7" s="30" t="s">
        <v>57</v>
      </c>
      <c r="F7" s="30" t="s">
        <v>304</v>
      </c>
      <c r="G7" s="30" t="s">
        <v>299</v>
      </c>
      <c r="H7" s="30" t="n">
        <v>0</v>
      </c>
      <c r="I7" s="30"/>
      <c r="J7" s="30" t="n">
        <v>1</v>
      </c>
      <c r="K7" s="30" t="s">
        <v>305</v>
      </c>
      <c r="L7" s="30" t="n">
        <v>2</v>
      </c>
      <c r="M7" s="30" t="n">
        <v>3</v>
      </c>
      <c r="N7" s="30" t="n">
        <v>2</v>
      </c>
      <c r="O7" s="30" t="n">
        <v>1</v>
      </c>
      <c r="P7" s="30" t="n">
        <v>3</v>
      </c>
      <c r="Q7" s="30" t="n">
        <v>2</v>
      </c>
      <c r="R7" s="30" t="n">
        <v>3</v>
      </c>
      <c r="S7" s="30" t="s">
        <v>122</v>
      </c>
      <c r="T7" s="30" t="s">
        <v>280</v>
      </c>
      <c r="U7" s="30" t="n">
        <v>11</v>
      </c>
      <c r="V7" s="30" t="s">
        <v>136</v>
      </c>
      <c r="W7" s="30" t="s">
        <v>291</v>
      </c>
      <c r="X7" s="30" t="s">
        <v>127</v>
      </c>
      <c r="Y7" s="30" t="n">
        <v>2</v>
      </c>
      <c r="Z7" s="30"/>
      <c r="AA7" s="30" t="s">
        <v>158</v>
      </c>
      <c r="AB7" s="30" t="n">
        <v>2</v>
      </c>
      <c r="AC7" s="30" t="n">
        <v>2</v>
      </c>
      <c r="AD7" s="30" t="n">
        <v>2</v>
      </c>
      <c r="AE7" s="30" t="n">
        <v>2</v>
      </c>
      <c r="AF7" s="30" t="n">
        <v>3</v>
      </c>
      <c r="AG7" s="30" t="n">
        <v>14</v>
      </c>
      <c r="AH7" s="30" t="n">
        <v>27</v>
      </c>
      <c r="AI7" s="30" t="s">
        <v>207</v>
      </c>
      <c r="AJ7" s="30" t="s">
        <v>197</v>
      </c>
      <c r="AK7" s="30" t="s">
        <v>207</v>
      </c>
      <c r="AL7" s="30" t="s">
        <v>306</v>
      </c>
      <c r="AM7" s="30" t="n">
        <v>2</v>
      </c>
      <c r="AN7" s="30" t="s">
        <v>216</v>
      </c>
      <c r="AO7" s="30" t="n">
        <v>2</v>
      </c>
      <c r="AP7" s="30" t="n">
        <v>2</v>
      </c>
    </row>
    <row r="8" customFormat="false" ht="15" hidden="false" customHeight="true" outlineLevel="0" collapsed="false">
      <c r="A8" s="29" t="s">
        <v>307</v>
      </c>
      <c r="B8" s="29" t="s">
        <v>308</v>
      </c>
      <c r="C8" s="30" t="s">
        <v>309</v>
      </c>
      <c r="D8" s="30" t="s">
        <v>310</v>
      </c>
      <c r="E8" s="30" t="s">
        <v>286</v>
      </c>
      <c r="F8" s="30" t="s">
        <v>311</v>
      </c>
      <c r="G8" s="30" t="s">
        <v>299</v>
      </c>
      <c r="H8" s="30" t="n">
        <v>0</v>
      </c>
      <c r="I8" s="30"/>
      <c r="J8" s="30" t="n">
        <v>1</v>
      </c>
      <c r="K8" s="30" t="s">
        <v>87</v>
      </c>
      <c r="L8" s="30" t="n">
        <v>2</v>
      </c>
      <c r="M8" s="30" t="n">
        <v>2</v>
      </c>
      <c r="N8" s="30" t="n">
        <v>2</v>
      </c>
      <c r="O8" s="30" t="n">
        <v>1</v>
      </c>
      <c r="P8" s="30" t="n">
        <v>3</v>
      </c>
      <c r="Q8" s="30" t="n">
        <v>3</v>
      </c>
      <c r="R8" s="30" t="n">
        <v>4</v>
      </c>
      <c r="S8" s="30" t="s">
        <v>122</v>
      </c>
      <c r="T8" s="30" t="s">
        <v>280</v>
      </c>
      <c r="U8" s="30" t="n">
        <v>12</v>
      </c>
      <c r="V8" s="30" t="s">
        <v>136</v>
      </c>
      <c r="W8" s="30" t="s">
        <v>142</v>
      </c>
      <c r="X8" s="30" t="s">
        <v>127</v>
      </c>
      <c r="Y8" s="30" t="n">
        <v>3</v>
      </c>
      <c r="Z8" s="30"/>
      <c r="AA8" s="30" t="s">
        <v>158</v>
      </c>
      <c r="AB8" s="30" t="n">
        <v>2</v>
      </c>
      <c r="AC8" s="30" t="n">
        <v>2</v>
      </c>
      <c r="AD8" s="30" t="n">
        <v>2</v>
      </c>
      <c r="AE8" s="30" t="n">
        <v>2</v>
      </c>
      <c r="AF8" s="30" t="n">
        <v>3</v>
      </c>
      <c r="AG8" s="30" t="n">
        <v>16</v>
      </c>
      <c r="AH8" s="30" t="n">
        <v>33</v>
      </c>
      <c r="AI8" s="30" t="s">
        <v>207</v>
      </c>
      <c r="AJ8" s="30" t="s">
        <v>312</v>
      </c>
      <c r="AK8" s="30" t="s">
        <v>282</v>
      </c>
      <c r="AL8" s="30" t="s">
        <v>207</v>
      </c>
      <c r="AM8" s="30" t="n">
        <v>3</v>
      </c>
      <c r="AN8" s="30" t="s">
        <v>216</v>
      </c>
      <c r="AO8" s="30" t="n">
        <v>2</v>
      </c>
      <c r="AP8" s="30" t="n">
        <v>2</v>
      </c>
    </row>
    <row r="9" customFormat="false" ht="23.25" hidden="false" customHeight="true" outlineLevel="0" collapsed="false">
      <c r="A9" s="29" t="s">
        <v>313</v>
      </c>
      <c r="B9" s="29" t="s">
        <v>314</v>
      </c>
      <c r="C9" s="30" t="s">
        <v>315</v>
      </c>
      <c r="D9" s="30" t="s">
        <v>316</v>
      </c>
      <c r="E9" s="30" t="s">
        <v>317</v>
      </c>
      <c r="F9" s="30" t="s">
        <v>318</v>
      </c>
      <c r="G9" s="30" t="s">
        <v>319</v>
      </c>
      <c r="H9" s="30" t="n">
        <v>0</v>
      </c>
      <c r="I9" s="30"/>
      <c r="J9" s="30" t="n">
        <v>0</v>
      </c>
      <c r="K9" s="30" t="s">
        <v>320</v>
      </c>
      <c r="L9" s="30" t="n">
        <v>2</v>
      </c>
      <c r="M9" s="30" t="n">
        <v>3</v>
      </c>
      <c r="N9" s="30" t="n">
        <v>2</v>
      </c>
      <c r="O9" s="30" t="n">
        <v>2</v>
      </c>
      <c r="P9" s="30" t="n">
        <v>1</v>
      </c>
      <c r="Q9" s="30" t="n">
        <v>2</v>
      </c>
      <c r="R9" s="30" t="n">
        <v>5</v>
      </c>
      <c r="S9" s="30" t="s">
        <v>122</v>
      </c>
      <c r="T9" s="30" t="s">
        <v>127</v>
      </c>
      <c r="U9" s="30" t="n">
        <v>15</v>
      </c>
      <c r="V9" s="30" t="s">
        <v>136</v>
      </c>
      <c r="W9" s="30" t="s">
        <v>291</v>
      </c>
      <c r="X9" s="30" t="s">
        <v>127</v>
      </c>
      <c r="Y9" s="30" t="n">
        <v>2</v>
      </c>
      <c r="Z9" s="30" t="s">
        <v>153</v>
      </c>
      <c r="AA9" s="30" t="s">
        <v>158</v>
      </c>
      <c r="AB9" s="30" t="n">
        <v>3</v>
      </c>
      <c r="AC9" s="30" t="n">
        <v>2</v>
      </c>
      <c r="AD9" s="30" t="n">
        <v>1</v>
      </c>
      <c r="AE9" s="30" t="n">
        <v>2</v>
      </c>
      <c r="AF9" s="30" t="n">
        <v>2</v>
      </c>
      <c r="AG9" s="30" t="n">
        <v>47</v>
      </c>
      <c r="AH9" s="30" t="n">
        <v>26</v>
      </c>
      <c r="AI9" s="30" t="s">
        <v>321</v>
      </c>
      <c r="AJ9" s="30" t="s">
        <v>197</v>
      </c>
      <c r="AK9" s="30" t="s">
        <v>282</v>
      </c>
      <c r="AL9" s="30" t="s">
        <v>207</v>
      </c>
      <c r="AM9" s="30" t="n">
        <v>2</v>
      </c>
      <c r="AN9" s="30" t="s">
        <v>216</v>
      </c>
      <c r="AO9" s="30" t="n">
        <v>3</v>
      </c>
      <c r="AP9" s="30" t="n">
        <v>2</v>
      </c>
    </row>
    <row r="10" customFormat="false" ht="23.25" hidden="false" customHeight="true" outlineLevel="0" collapsed="false">
      <c r="A10" s="29" t="s">
        <v>322</v>
      </c>
      <c r="B10" s="29" t="s">
        <v>323</v>
      </c>
      <c r="C10" s="30" t="s">
        <v>315</v>
      </c>
      <c r="D10" s="30" t="s">
        <v>324</v>
      </c>
      <c r="E10" s="30" t="s">
        <v>317</v>
      </c>
      <c r="F10" s="30" t="s">
        <v>325</v>
      </c>
      <c r="G10" s="30" t="s">
        <v>326</v>
      </c>
      <c r="H10" s="30" t="n">
        <v>0</v>
      </c>
      <c r="I10" s="30"/>
      <c r="J10" s="30" t="n">
        <v>0</v>
      </c>
      <c r="K10" s="30" t="s">
        <v>87</v>
      </c>
      <c r="L10" s="30" t="n">
        <v>1</v>
      </c>
      <c r="M10" s="30" t="n">
        <v>2</v>
      </c>
      <c r="N10" s="30" t="n">
        <v>1</v>
      </c>
      <c r="O10" s="30" t="n">
        <v>2</v>
      </c>
      <c r="P10" s="30" t="n">
        <v>0</v>
      </c>
      <c r="Q10" s="30" t="n">
        <v>2</v>
      </c>
      <c r="R10" s="30" t="n">
        <v>3</v>
      </c>
      <c r="S10" s="30" t="s">
        <v>321</v>
      </c>
      <c r="T10" s="30" t="s">
        <v>127</v>
      </c>
      <c r="U10" s="30" t="n">
        <v>19</v>
      </c>
      <c r="V10" s="30" t="s">
        <v>136</v>
      </c>
      <c r="W10" s="30" t="s">
        <v>327</v>
      </c>
      <c r="X10" s="30" t="s">
        <v>280</v>
      </c>
      <c r="Y10" s="30" t="n">
        <v>1</v>
      </c>
      <c r="Z10" s="30" t="s">
        <v>328</v>
      </c>
      <c r="AA10" s="30" t="s">
        <v>292</v>
      </c>
      <c r="AB10" s="30" t="n">
        <v>3</v>
      </c>
      <c r="AC10" s="30" t="n">
        <v>1</v>
      </c>
      <c r="AD10" s="30" t="n">
        <v>1</v>
      </c>
      <c r="AE10" s="30" t="n">
        <v>1</v>
      </c>
      <c r="AF10" s="30" t="n">
        <v>1</v>
      </c>
      <c r="AG10" s="30" t="n">
        <v>8</v>
      </c>
      <c r="AH10" s="30" t="n">
        <v>19</v>
      </c>
      <c r="AI10" s="30" t="s">
        <v>207</v>
      </c>
      <c r="AJ10" s="30" t="s">
        <v>197</v>
      </c>
      <c r="AK10" s="30" t="s">
        <v>207</v>
      </c>
      <c r="AL10" s="30" t="s">
        <v>207</v>
      </c>
      <c r="AM10" s="30" t="n">
        <v>1</v>
      </c>
      <c r="AN10" s="30" t="s">
        <v>329</v>
      </c>
      <c r="AO10" s="30" t="n">
        <v>3</v>
      </c>
      <c r="AP10" s="30" t="n">
        <v>1</v>
      </c>
    </row>
    <row r="11" customFormat="false" ht="15" hidden="false" customHeight="true" outlineLevel="0" collapsed="false">
      <c r="A11" s="29" t="s">
        <v>330</v>
      </c>
      <c r="B11" s="29" t="s">
        <v>331</v>
      </c>
      <c r="C11" s="30" t="s">
        <v>332</v>
      </c>
      <c r="D11" s="30" t="s">
        <v>333</v>
      </c>
      <c r="E11" s="30" t="s">
        <v>334</v>
      </c>
      <c r="F11" s="30" t="s">
        <v>335</v>
      </c>
      <c r="G11" s="30" t="s">
        <v>66</v>
      </c>
      <c r="H11" s="30" t="n">
        <v>0</v>
      </c>
      <c r="I11" s="30"/>
      <c r="J11" s="30" t="n">
        <v>1</v>
      </c>
      <c r="K11" s="30" t="s">
        <v>305</v>
      </c>
      <c r="L11" s="30" t="n">
        <v>2</v>
      </c>
      <c r="M11" s="30" t="n">
        <v>2</v>
      </c>
      <c r="N11" s="30" t="n">
        <v>2</v>
      </c>
      <c r="O11" s="30" t="n">
        <v>2</v>
      </c>
      <c r="P11" s="30" t="n">
        <v>1</v>
      </c>
      <c r="Q11" s="30" t="n">
        <v>2</v>
      </c>
      <c r="R11" s="30" t="n">
        <v>4</v>
      </c>
      <c r="S11" s="30" t="s">
        <v>122</v>
      </c>
      <c r="T11" s="30" t="s">
        <v>280</v>
      </c>
      <c r="U11" s="30" t="n">
        <v>10</v>
      </c>
      <c r="V11" s="30" t="s">
        <v>136</v>
      </c>
      <c r="W11" s="30" t="s">
        <v>336</v>
      </c>
      <c r="X11" s="30" t="s">
        <v>127</v>
      </c>
      <c r="Y11" s="30" t="n">
        <v>2</v>
      </c>
      <c r="Z11" s="30" t="s">
        <v>337</v>
      </c>
      <c r="AA11" s="30" t="s">
        <v>158</v>
      </c>
      <c r="AB11" s="30" t="n">
        <v>3</v>
      </c>
      <c r="AC11" s="30" t="n">
        <v>2</v>
      </c>
      <c r="AD11" s="30" t="n">
        <v>2</v>
      </c>
      <c r="AE11" s="30" t="n">
        <v>2</v>
      </c>
      <c r="AF11" s="30" t="n">
        <v>2</v>
      </c>
      <c r="AG11" s="30" t="n">
        <v>22</v>
      </c>
      <c r="AH11" s="30" t="n">
        <v>34</v>
      </c>
      <c r="AI11" s="30" t="s">
        <v>207</v>
      </c>
      <c r="AJ11" s="30" t="s">
        <v>197</v>
      </c>
      <c r="AK11" s="30" t="s">
        <v>282</v>
      </c>
      <c r="AL11" s="30" t="s">
        <v>207</v>
      </c>
      <c r="AM11" s="30" t="n">
        <v>2</v>
      </c>
      <c r="AN11" s="30" t="s">
        <v>293</v>
      </c>
      <c r="AO11" s="30" t="n">
        <v>2</v>
      </c>
      <c r="AP11" s="30" t="n">
        <v>2</v>
      </c>
    </row>
    <row r="12" customFormat="false" ht="15" hidden="false" customHeight="true" outlineLevel="0" collapsed="false">
      <c r="A12" s="29" t="s">
        <v>338</v>
      </c>
      <c r="B12" s="29" t="s">
        <v>339</v>
      </c>
      <c r="C12" s="30" t="s">
        <v>340</v>
      </c>
      <c r="D12" s="30" t="s">
        <v>341</v>
      </c>
      <c r="E12" s="30" t="s">
        <v>286</v>
      </c>
      <c r="F12" s="30" t="s">
        <v>342</v>
      </c>
      <c r="G12" s="30" t="s">
        <v>343</v>
      </c>
      <c r="H12" s="30" t="n">
        <v>2</v>
      </c>
      <c r="I12" s="30" t="s">
        <v>344</v>
      </c>
      <c r="J12" s="30" t="n">
        <v>3</v>
      </c>
      <c r="K12" s="30" t="s">
        <v>87</v>
      </c>
      <c r="L12" s="30" t="n">
        <v>1</v>
      </c>
      <c r="M12" s="30" t="n">
        <v>2</v>
      </c>
      <c r="N12" s="30" t="n">
        <v>2</v>
      </c>
      <c r="O12" s="30" t="n">
        <v>3</v>
      </c>
      <c r="P12" s="30" t="n">
        <v>3</v>
      </c>
      <c r="Q12" s="30" t="n">
        <v>3</v>
      </c>
      <c r="R12" s="30" t="n">
        <v>5</v>
      </c>
      <c r="S12" s="30" t="s">
        <v>122</v>
      </c>
      <c r="T12" s="30" t="s">
        <v>280</v>
      </c>
      <c r="U12" s="30" t="n">
        <v>9</v>
      </c>
      <c r="V12" s="30" t="s">
        <v>136</v>
      </c>
      <c r="W12" s="30" t="s">
        <v>274</v>
      </c>
      <c r="X12" s="30" t="s">
        <v>127</v>
      </c>
      <c r="Y12" s="30" t="n">
        <v>3</v>
      </c>
      <c r="Z12" s="30"/>
      <c r="AA12" s="30" t="s">
        <v>158</v>
      </c>
      <c r="AB12" s="30" t="n">
        <v>3</v>
      </c>
      <c r="AC12" s="30" t="n">
        <v>2</v>
      </c>
      <c r="AD12" s="30" t="n">
        <v>3</v>
      </c>
      <c r="AE12" s="30" t="n">
        <v>2</v>
      </c>
      <c r="AF12" s="30" t="n">
        <v>3</v>
      </c>
      <c r="AG12" s="30" t="n">
        <v>25</v>
      </c>
      <c r="AH12" s="30" t="n">
        <v>39</v>
      </c>
      <c r="AI12" s="30" t="s">
        <v>192</v>
      </c>
      <c r="AJ12" s="30" t="s">
        <v>197</v>
      </c>
      <c r="AK12" s="30" t="s">
        <v>202</v>
      </c>
      <c r="AL12" s="30" t="s">
        <v>207</v>
      </c>
      <c r="AM12" s="30" t="n">
        <v>3</v>
      </c>
      <c r="AN12" s="30" t="s">
        <v>216</v>
      </c>
      <c r="AO12" s="30" t="n">
        <v>2</v>
      </c>
      <c r="AP12" s="30" t="n">
        <v>2</v>
      </c>
    </row>
    <row r="13" customFormat="false" ht="23.25" hidden="false" customHeight="true" outlineLevel="0" collapsed="false">
      <c r="A13" s="29" t="s">
        <v>345</v>
      </c>
      <c r="B13" s="29" t="s">
        <v>346</v>
      </c>
      <c r="C13" s="30" t="s">
        <v>347</v>
      </c>
      <c r="D13" s="30" t="s">
        <v>348</v>
      </c>
      <c r="E13" s="30" t="s">
        <v>57</v>
      </c>
      <c r="F13" s="30" t="s">
        <v>349</v>
      </c>
      <c r="G13" s="30" t="s">
        <v>350</v>
      </c>
      <c r="H13" s="30" t="n">
        <v>0</v>
      </c>
      <c r="I13" s="30"/>
      <c r="J13" s="30" t="n">
        <v>1</v>
      </c>
      <c r="K13" s="30" t="s">
        <v>87</v>
      </c>
      <c r="L13" s="30" t="n">
        <v>2</v>
      </c>
      <c r="M13" s="30" t="n">
        <v>3</v>
      </c>
      <c r="N13" s="30" t="n">
        <v>3</v>
      </c>
      <c r="O13" s="30" t="n">
        <v>0</v>
      </c>
      <c r="P13" s="30" t="n">
        <v>1</v>
      </c>
      <c r="Q13" s="30" t="n">
        <v>1</v>
      </c>
      <c r="R13" s="30" t="n">
        <v>6</v>
      </c>
      <c r="S13" s="30" t="s">
        <v>122</v>
      </c>
      <c r="T13" s="30" t="s">
        <v>127</v>
      </c>
      <c r="U13" s="30" t="n">
        <v>13</v>
      </c>
      <c r="V13" s="30" t="s">
        <v>136</v>
      </c>
      <c r="W13" s="30" t="s">
        <v>351</v>
      </c>
      <c r="X13" s="30" t="s">
        <v>127</v>
      </c>
      <c r="Y13" s="30" t="n">
        <v>3</v>
      </c>
      <c r="Z13" s="30"/>
      <c r="AA13" s="30" t="s">
        <v>158</v>
      </c>
      <c r="AB13" s="30" t="n">
        <v>1</v>
      </c>
      <c r="AC13" s="30" t="n">
        <v>3</v>
      </c>
      <c r="AD13" s="30" t="n">
        <v>2</v>
      </c>
      <c r="AE13" s="30" t="n">
        <v>3</v>
      </c>
      <c r="AF13" s="30" t="n">
        <v>3</v>
      </c>
      <c r="AG13" s="30" t="n">
        <v>19</v>
      </c>
      <c r="AH13" s="30" t="n">
        <v>41</v>
      </c>
      <c r="AI13" s="30" t="s">
        <v>207</v>
      </c>
      <c r="AJ13" s="30" t="s">
        <v>197</v>
      </c>
      <c r="AK13" s="30" t="s">
        <v>207</v>
      </c>
      <c r="AL13" s="30" t="s">
        <v>207</v>
      </c>
      <c r="AM13" s="30" t="n">
        <v>1</v>
      </c>
      <c r="AN13" s="30" t="s">
        <v>216</v>
      </c>
      <c r="AO13" s="30" t="n">
        <v>1</v>
      </c>
      <c r="AP13" s="30" t="n">
        <v>3</v>
      </c>
    </row>
    <row r="14" customFormat="false" ht="23.25" hidden="false" customHeight="true" outlineLevel="0" collapsed="false">
      <c r="A14" s="29" t="s">
        <v>352</v>
      </c>
      <c r="B14" s="29" t="s">
        <v>353</v>
      </c>
      <c r="C14" s="30" t="s">
        <v>354</v>
      </c>
      <c r="D14" s="30" t="s">
        <v>355</v>
      </c>
      <c r="E14" s="30" t="s">
        <v>356</v>
      </c>
      <c r="F14" s="30" t="s">
        <v>357</v>
      </c>
      <c r="G14" s="30" t="s">
        <v>358</v>
      </c>
      <c r="H14" s="30" t="n">
        <v>0</v>
      </c>
      <c r="I14" s="30"/>
      <c r="J14" s="30" t="n">
        <v>1</v>
      </c>
      <c r="K14" s="30" t="s">
        <v>320</v>
      </c>
      <c r="L14" s="30" t="n">
        <v>1</v>
      </c>
      <c r="M14" s="30" t="n">
        <v>2</v>
      </c>
      <c r="N14" s="30" t="n">
        <v>1</v>
      </c>
      <c r="O14" s="30" t="n">
        <v>2</v>
      </c>
      <c r="P14" s="30" t="n">
        <v>0</v>
      </c>
      <c r="Q14" s="30" t="n">
        <v>1</v>
      </c>
      <c r="R14" s="30" t="n">
        <v>2</v>
      </c>
      <c r="S14" s="30" t="s">
        <v>122</v>
      </c>
      <c r="T14" s="30" t="s">
        <v>280</v>
      </c>
      <c r="U14" s="30" t="n">
        <v>8</v>
      </c>
      <c r="V14" s="30" t="s">
        <v>136</v>
      </c>
      <c r="W14" s="30" t="s">
        <v>327</v>
      </c>
      <c r="X14" s="30" t="s">
        <v>280</v>
      </c>
      <c r="Y14" s="30" t="n">
        <v>1</v>
      </c>
      <c r="Z14" s="30" t="s">
        <v>359</v>
      </c>
      <c r="AA14" s="30" t="s">
        <v>158</v>
      </c>
      <c r="AB14" s="30" t="n">
        <v>3</v>
      </c>
      <c r="AC14" s="30" t="n">
        <v>1</v>
      </c>
      <c r="AD14" s="30" t="n">
        <v>1</v>
      </c>
      <c r="AE14" s="30" t="n">
        <v>2</v>
      </c>
      <c r="AF14" s="30" t="n">
        <v>1</v>
      </c>
      <c r="AG14" s="30" t="n">
        <v>5</v>
      </c>
      <c r="AH14" s="30" t="n">
        <v>12</v>
      </c>
      <c r="AI14" s="30" t="s">
        <v>207</v>
      </c>
      <c r="AJ14" s="30" t="s">
        <v>312</v>
      </c>
      <c r="AK14" s="30" t="s">
        <v>207</v>
      </c>
      <c r="AL14" s="30" t="s">
        <v>207</v>
      </c>
      <c r="AM14" s="30" t="n">
        <v>1</v>
      </c>
      <c r="AN14" s="30" t="s">
        <v>329</v>
      </c>
      <c r="AO14" s="30" t="n">
        <v>2</v>
      </c>
      <c r="AP14" s="30" t="n">
        <v>1</v>
      </c>
    </row>
    <row r="15" customFormat="false" ht="15" hidden="false" customHeight="true" outlineLevel="0" collapsed="false">
      <c r="A15" s="29"/>
      <c r="B15" s="29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</row>
    <row r="16" customFormat="false" ht="15" hidden="false" customHeight="true" outlineLevel="0" collapsed="false">
      <c r="A16" s="29"/>
      <c r="B16" s="29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</row>
    <row r="17" customFormat="false" ht="15" hidden="false" customHeight="true" outlineLevel="0" collapsed="false">
      <c r="A17" s="29"/>
      <c r="B17" s="29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</row>
    <row r="18" customFormat="false" ht="15" hidden="false" customHeight="true" outlineLevel="0" collapsed="false">
      <c r="A18" s="29"/>
      <c r="B18" s="29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</row>
    <row r="19" customFormat="false" ht="15" hidden="false" customHeight="true" outlineLevel="0" collapsed="false">
      <c r="A19" s="29"/>
      <c r="B19" s="29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</row>
    <row r="20" customFormat="false" ht="15" hidden="false" customHeight="true" outlineLevel="0" collapsed="false">
      <c r="A20" s="29"/>
      <c r="B20" s="29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</row>
    <row r="21" customFormat="false" ht="15" hidden="false" customHeight="true" outlineLevel="0" collapsed="false">
      <c r="A21" s="29"/>
      <c r="B21" s="29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</row>
    <row r="22" customFormat="false" ht="15" hidden="false" customHeight="true" outlineLevel="0" collapsed="false">
      <c r="A22" s="29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</row>
  </sheetData>
  <mergeCells count="10">
    <mergeCell ref="A1:B1"/>
    <mergeCell ref="C1:G1"/>
    <mergeCell ref="H1:J1"/>
    <mergeCell ref="K1:N1"/>
    <mergeCell ref="O1:Q1"/>
    <mergeCell ref="R1:V1"/>
    <mergeCell ref="W1:Y1"/>
    <mergeCell ref="Z1:AB1"/>
    <mergeCell ref="AC1:AL1"/>
    <mergeCell ref="AM1:AP1"/>
  </mergeCells>
  <dataValidations count="12">
    <dataValidation allowBlank="true" error="Enter an integer between 0 and 3" errorStyle="stop" operator="between" showDropDown="false" showErrorMessage="false" showInputMessage="false" sqref="H3:H22 J3:J22 L3:L22 N3:Q22 Y3:Y22 AB3:AF22 AM3:AM22 AO3:AP22" type="whole">
      <formula1>0</formula1>
      <formula2>3</formula2>
    </dataValidation>
    <dataValidation allowBlank="true" errorStyle="stop" operator="between" showDropDown="false" showErrorMessage="false" showInputMessage="false" sqref="E3:E22" type="list">
      <formula1>"Hardware,Firmware,OS,Middleware,App,Cloud,UI"</formula1>
      <formula2>0</formula2>
    </dataValidation>
    <dataValidation allowBlank="true" errorStyle="stop" operator="between" showDropDown="false" showErrorMessage="false" showInputMessage="false" sqref="K3:K22" type="list">
      <formula1>"Apparatus,Method,System,CRM,Design"</formula1>
      <formula2>0</formula2>
    </dataValidation>
    <dataValidation allowBlank="true" errorStyle="stop" operator="between" showDropDown="false" showErrorMessage="false" showInputMessage="false" sqref="S3:S22" type="list">
      <formula1>"Pending,Granted,Mixed"</formula1>
      <formula2>0</formula2>
    </dataValidation>
    <dataValidation allowBlank="true" errorStyle="stop" operator="between" showDropDown="false" showErrorMessage="false" showInputMessage="false" sqref="T3:T22 X3:X22" type="list">
      <formula1>"Yes,No"</formula1>
      <formula2>0</formula2>
    </dataValidation>
    <dataValidation allowBlank="true" errorStyle="stop" operator="between" showDropDown="false" showErrorMessage="false" showInputMessage="false" sqref="V3:V22" type="list">
      <formula1>"Active,Lapsed,At-risk"</formula1>
      <formula2>0</formula2>
    </dataValidation>
    <dataValidation allowBlank="true" errorStyle="stop" operator="between" showDropDown="false" showErrorMessage="false" showInputMessage="false" sqref="AA3:AA22" type="list">
      <formula1>"Legacy,Current,Next-gen"</formula1>
      <formula2>0</formula2>
    </dataValidation>
    <dataValidation allowBlank="true" errorStyle="stop" operator="between" showDropDown="false" showErrorMessage="false" showInputMessage="false" sqref="AI3:AI22" type="list">
      <formula1>"None,Survived,Pending,Lost-claims"</formula1>
      <formula2>0</formula2>
    </dataValidation>
    <dataValidation allowBlank="true" errorStyle="stop" operator="between" showDropDown="false" showErrorMessage="false" showInputMessage="false" sqref="AJ3:AJ22" type="list">
      <formula1>"Clean,Minor gaps,Encumbered"</formula1>
      <formula2>0</formula2>
    </dataValidation>
    <dataValidation allowBlank="true" errorStyle="stop" operator="between" showDropDown="false" showErrorMessage="false" showInputMessage="false" sqref="AK3:AK22" type="list">
      <formula1>"None,Partial,Full"</formula1>
      <formula2>0</formula2>
    </dataValidation>
    <dataValidation allowBlank="true" errorStyle="stop" operator="between" showDropDown="false" showErrorMessage="false" showInputMessage="false" sqref="AL3:AL22" type="list">
      <formula1>"None,Non-exclusive licensed,Exclusive licensed,Encumbered"</formula1>
      <formula2>0</formula2>
    </dataValidation>
    <dataValidation allowBlank="true" errorStyle="stop" operator="between" showDropDown="false" showErrorMessage="false" showInputMessage="false" sqref="AN3:AN22" type="list">
      <formula1>"Idea-only,Prototyped,Productized"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50"/>
    <col collapsed="false" customWidth="true" hidden="false" outlineLevel="0" max="4" min="4" style="1" width="55"/>
    <col collapsed="false" customWidth="true" hidden="false" outlineLevel="0" max="5" min="5" style="1" width="22"/>
  </cols>
  <sheetData>
    <row r="1" customFormat="false" ht="27.75" hidden="false" customHeight="true" outlineLevel="0" collapsed="false">
      <c r="A1" s="7" t="s">
        <v>360</v>
      </c>
      <c r="B1" s="7" t="s">
        <v>361</v>
      </c>
      <c r="C1" s="7" t="s">
        <v>362</v>
      </c>
      <c r="D1" s="7" t="s">
        <v>363</v>
      </c>
      <c r="E1" s="7" t="s">
        <v>364</v>
      </c>
    </row>
    <row r="2" customFormat="false" ht="23.25" hidden="false" customHeight="true" outlineLevel="0" collapsed="false">
      <c r="A2" s="31" t="n">
        <v>1</v>
      </c>
      <c r="B2" s="9" t="s">
        <v>365</v>
      </c>
      <c r="C2" s="9" t="s">
        <v>366</v>
      </c>
      <c r="D2" s="9" t="s">
        <v>367</v>
      </c>
      <c r="E2" s="9" t="s">
        <v>43</v>
      </c>
    </row>
    <row r="3" customFormat="false" ht="23.25" hidden="false" customHeight="true" outlineLevel="0" collapsed="false">
      <c r="A3" s="31" t="n">
        <v>2</v>
      </c>
      <c r="B3" s="9" t="s">
        <v>368</v>
      </c>
      <c r="C3" s="9" t="s">
        <v>369</v>
      </c>
      <c r="D3" s="9" t="s">
        <v>370</v>
      </c>
      <c r="E3" s="9" t="s">
        <v>371</v>
      </c>
    </row>
    <row r="4" customFormat="false" ht="23.25" hidden="false" customHeight="true" outlineLevel="0" collapsed="false">
      <c r="A4" s="31" t="n">
        <v>3</v>
      </c>
      <c r="B4" s="9" t="s">
        <v>372</v>
      </c>
      <c r="C4" s="9" t="s">
        <v>373</v>
      </c>
      <c r="D4" s="9" t="s">
        <v>374</v>
      </c>
      <c r="E4" s="9" t="s">
        <v>58</v>
      </c>
    </row>
    <row r="5" customFormat="false" ht="23.25" hidden="false" customHeight="true" outlineLevel="0" collapsed="false">
      <c r="A5" s="31" t="n">
        <v>4</v>
      </c>
      <c r="B5" s="9" t="s">
        <v>375</v>
      </c>
      <c r="C5" s="9" t="s">
        <v>376</v>
      </c>
      <c r="D5" s="9" t="s">
        <v>377</v>
      </c>
      <c r="E5" s="9" t="s">
        <v>53</v>
      </c>
    </row>
    <row r="6" customFormat="false" ht="23.25" hidden="false" customHeight="true" outlineLevel="0" collapsed="false">
      <c r="A6" s="31" t="n">
        <v>5</v>
      </c>
      <c r="B6" s="9" t="s">
        <v>378</v>
      </c>
      <c r="C6" s="9" t="s">
        <v>379</v>
      </c>
      <c r="D6" s="9" t="s">
        <v>380</v>
      </c>
      <c r="E6" s="9" t="s">
        <v>63</v>
      </c>
    </row>
    <row r="7" customFormat="false" ht="23.25" hidden="false" customHeight="true" outlineLevel="0" collapsed="false">
      <c r="A7" s="31" t="n">
        <v>6</v>
      </c>
      <c r="B7" s="9" t="s">
        <v>381</v>
      </c>
      <c r="C7" s="9" t="s">
        <v>382</v>
      </c>
      <c r="D7" s="9" t="s">
        <v>383</v>
      </c>
      <c r="E7" s="9" t="s">
        <v>384</v>
      </c>
    </row>
    <row r="8" customFormat="false" ht="23.25" hidden="false" customHeight="true" outlineLevel="0" collapsed="false">
      <c r="A8" s="31" t="n">
        <v>7</v>
      </c>
      <c r="B8" s="9" t="s">
        <v>385</v>
      </c>
      <c r="C8" s="9" t="s">
        <v>386</v>
      </c>
      <c r="D8" s="9" t="s">
        <v>387</v>
      </c>
      <c r="E8" s="9" t="s">
        <v>384</v>
      </c>
    </row>
    <row r="9" customFormat="false" ht="23.25" hidden="false" customHeight="true" outlineLevel="0" collapsed="false">
      <c r="A9" s="31" t="n">
        <v>8</v>
      </c>
      <c r="B9" s="9" t="s">
        <v>388</v>
      </c>
      <c r="C9" s="9" t="s">
        <v>389</v>
      </c>
      <c r="D9" s="9" t="s">
        <v>390</v>
      </c>
      <c r="E9" s="9" t="s">
        <v>391</v>
      </c>
    </row>
    <row r="10" customFormat="false" ht="23.25" hidden="false" customHeight="true" outlineLevel="0" collapsed="false">
      <c r="A10" s="31" t="n">
        <v>9</v>
      </c>
      <c r="B10" s="9" t="s">
        <v>392</v>
      </c>
      <c r="C10" s="9" t="s">
        <v>393</v>
      </c>
      <c r="D10" s="9" t="s">
        <v>394</v>
      </c>
      <c r="E10" s="9" t="s">
        <v>77</v>
      </c>
    </row>
    <row r="11" customFormat="false" ht="23.25" hidden="false" customHeight="true" outlineLevel="0" collapsed="false">
      <c r="A11" s="31" t="n">
        <v>10</v>
      </c>
      <c r="B11" s="9" t="s">
        <v>395</v>
      </c>
      <c r="C11" s="9" t="s">
        <v>396</v>
      </c>
      <c r="D11" s="9" t="s">
        <v>397</v>
      </c>
      <c r="E11" s="9" t="s">
        <v>154</v>
      </c>
    </row>
    <row r="12" customFormat="false" ht="23.25" hidden="false" customHeight="true" outlineLevel="0" collapsed="false">
      <c r="A12" s="31" t="n">
        <v>11</v>
      </c>
      <c r="B12" s="9" t="s">
        <v>398</v>
      </c>
      <c r="C12" s="9" t="s">
        <v>399</v>
      </c>
      <c r="D12" s="9" t="s">
        <v>400</v>
      </c>
      <c r="E12" s="9" t="s">
        <v>83</v>
      </c>
    </row>
    <row r="13" customFormat="false" ht="15" hidden="false" customHeight="true" outlineLevel="0" collapsed="false">
      <c r="A13" s="31" t="n">
        <v>12</v>
      </c>
      <c r="B13" s="9" t="s">
        <v>401</v>
      </c>
      <c r="C13" s="9" t="s">
        <v>402</v>
      </c>
      <c r="D13" s="9" t="s">
        <v>403</v>
      </c>
      <c r="E13" s="9" t="s">
        <v>404</v>
      </c>
    </row>
    <row r="14" customFormat="false" ht="23.25" hidden="false" customHeight="true" outlineLevel="0" collapsed="false">
      <c r="A14" s="31" t="n">
        <v>13</v>
      </c>
      <c r="B14" s="9" t="s">
        <v>405</v>
      </c>
      <c r="C14" s="9" t="s">
        <v>406</v>
      </c>
      <c r="D14" s="9" t="s">
        <v>407</v>
      </c>
      <c r="E14" s="9" t="s">
        <v>408</v>
      </c>
    </row>
    <row r="15" customFormat="false" ht="23.25" hidden="false" customHeight="true" outlineLevel="0" collapsed="false">
      <c r="A15" s="31" t="n">
        <v>14</v>
      </c>
      <c r="B15" s="9" t="s">
        <v>409</v>
      </c>
      <c r="C15" s="9" t="s">
        <v>410</v>
      </c>
      <c r="D15" s="9" t="s">
        <v>411</v>
      </c>
      <c r="E15" s="9" t="s">
        <v>114</v>
      </c>
    </row>
    <row r="16" customFormat="false" ht="15" hidden="false" customHeight="true" outlineLevel="0" collapsed="false">
      <c r="A16" s="31" t="n">
        <v>15</v>
      </c>
      <c r="B16" s="9" t="s">
        <v>412</v>
      </c>
      <c r="C16" s="9" t="s">
        <v>413</v>
      </c>
      <c r="D16" s="9" t="s">
        <v>414</v>
      </c>
      <c r="E16" s="9" t="s">
        <v>128</v>
      </c>
    </row>
    <row r="17" customFormat="false" ht="23.25" hidden="false" customHeight="true" outlineLevel="0" collapsed="false">
      <c r="A17" s="31" t="n">
        <v>16</v>
      </c>
      <c r="B17" s="9" t="s">
        <v>415</v>
      </c>
      <c r="C17" s="9" t="s">
        <v>416</v>
      </c>
      <c r="D17" s="9" t="s">
        <v>417</v>
      </c>
      <c r="E17" s="9" t="s">
        <v>418</v>
      </c>
    </row>
    <row r="18" customFormat="false" ht="23.25" hidden="false" customHeight="true" outlineLevel="0" collapsed="false">
      <c r="A18" s="31" t="n">
        <v>17</v>
      </c>
      <c r="B18" s="9" t="s">
        <v>419</v>
      </c>
      <c r="C18" s="9" t="s">
        <v>420</v>
      </c>
      <c r="D18" s="9" t="s">
        <v>421</v>
      </c>
      <c r="E18" s="9" t="s">
        <v>159</v>
      </c>
    </row>
    <row r="19" customFormat="false" ht="23.25" hidden="false" customHeight="true" outlineLevel="0" collapsed="false">
      <c r="A19" s="31" t="n">
        <v>18</v>
      </c>
      <c r="B19" s="9" t="s">
        <v>422</v>
      </c>
      <c r="C19" s="9" t="s">
        <v>423</v>
      </c>
      <c r="D19" s="9" t="s">
        <v>424</v>
      </c>
      <c r="E19" s="9" t="s">
        <v>150</v>
      </c>
    </row>
    <row r="20" customFormat="false" ht="23.25" hidden="false" customHeight="true" outlineLevel="0" collapsed="false">
      <c r="A20" s="31" t="n">
        <v>19</v>
      </c>
      <c r="B20" s="9" t="s">
        <v>425</v>
      </c>
      <c r="C20" s="9" t="s">
        <v>426</v>
      </c>
      <c r="D20" s="9" t="s">
        <v>427</v>
      </c>
      <c r="E20" s="9" t="s">
        <v>109</v>
      </c>
    </row>
    <row r="21" customFormat="false" ht="15" hidden="false" customHeight="true" outlineLevel="0" collapsed="false">
      <c r="A21" s="31" t="n">
        <v>20</v>
      </c>
      <c r="B21" s="9" t="s">
        <v>428</v>
      </c>
      <c r="C21" s="9" t="s">
        <v>429</v>
      </c>
      <c r="D21" s="9" t="s">
        <v>430</v>
      </c>
      <c r="E21" s="9" t="s">
        <v>431</v>
      </c>
    </row>
    <row r="22" customFormat="false" ht="23.25" hidden="false" customHeight="true" outlineLevel="0" collapsed="false">
      <c r="A22" s="31" t="n">
        <v>21</v>
      </c>
      <c r="B22" s="9" t="s">
        <v>432</v>
      </c>
      <c r="C22" s="9" t="s">
        <v>433</v>
      </c>
      <c r="D22" s="9" t="s">
        <v>434</v>
      </c>
      <c r="E22" s="9" t="s">
        <v>435</v>
      </c>
    </row>
    <row r="23" customFormat="false" ht="35.05" hidden="false" customHeight="false" outlineLevel="0" collapsed="false">
      <c r="A23" s="31" t="n">
        <v>22</v>
      </c>
      <c r="B23" s="9" t="s">
        <v>436</v>
      </c>
      <c r="C23" s="9" t="s">
        <v>437</v>
      </c>
      <c r="D23" s="9" t="s">
        <v>438</v>
      </c>
      <c r="E23" s="9" t="s">
        <v>439</v>
      </c>
    </row>
    <row r="24" customFormat="false" ht="35.05" hidden="false" customHeight="false" outlineLevel="0" collapsed="false">
      <c r="A24" s="31" t="n">
        <v>23</v>
      </c>
      <c r="B24" s="9" t="s">
        <v>440</v>
      </c>
      <c r="C24" s="9" t="s">
        <v>441</v>
      </c>
      <c r="D24" s="9" t="s">
        <v>442</v>
      </c>
      <c r="E24" s="9" t="s">
        <v>443</v>
      </c>
    </row>
    <row r="25" customFormat="false" ht="35.05" hidden="false" customHeight="false" outlineLevel="0" collapsed="false">
      <c r="A25" s="31" t="n">
        <v>24</v>
      </c>
      <c r="B25" s="9" t="s">
        <v>444</v>
      </c>
      <c r="C25" s="9" t="s">
        <v>445</v>
      </c>
      <c r="D25" s="9" t="s">
        <v>446</v>
      </c>
      <c r="E25" s="9" t="s">
        <v>447</v>
      </c>
    </row>
    <row r="26" customFormat="false" ht="35.05" hidden="false" customHeight="false" outlineLevel="0" collapsed="false">
      <c r="A26" s="31" t="n">
        <v>25</v>
      </c>
      <c r="B26" s="9" t="s">
        <v>448</v>
      </c>
      <c r="C26" s="9" t="s">
        <v>449</v>
      </c>
      <c r="D26" s="9" t="s">
        <v>450</v>
      </c>
      <c r="E26" s="9" t="s">
        <v>123</v>
      </c>
    </row>
    <row r="27" customFormat="false" ht="35.05" hidden="false" customHeight="false" outlineLevel="0" collapsed="false">
      <c r="A27" s="31" t="n">
        <v>26</v>
      </c>
      <c r="B27" s="9" t="s">
        <v>451</v>
      </c>
      <c r="C27" s="9" t="s">
        <v>452</v>
      </c>
      <c r="D27" s="9" t="s">
        <v>453</v>
      </c>
      <c r="E27" s="9" t="s">
        <v>198</v>
      </c>
    </row>
    <row r="28" customFormat="false" ht="23.85" hidden="false" customHeight="false" outlineLevel="0" collapsed="false">
      <c r="A28" s="31" t="n">
        <v>27</v>
      </c>
      <c r="B28" s="9" t="s">
        <v>454</v>
      </c>
      <c r="C28" s="9" t="s">
        <v>455</v>
      </c>
      <c r="D28" s="9" t="s">
        <v>456</v>
      </c>
      <c r="E28" s="9" t="s">
        <v>188</v>
      </c>
    </row>
    <row r="29" customFormat="false" ht="23.85" hidden="false" customHeight="false" outlineLevel="0" collapsed="false">
      <c r="A29" s="31" t="n">
        <v>28</v>
      </c>
      <c r="B29" s="9" t="s">
        <v>457</v>
      </c>
      <c r="C29" s="9" t="s">
        <v>458</v>
      </c>
      <c r="D29" s="9" t="s">
        <v>459</v>
      </c>
      <c r="E29" s="9" t="s">
        <v>460</v>
      </c>
    </row>
    <row r="30" customFormat="false" ht="35.05" hidden="false" customHeight="false" outlineLevel="0" collapsed="false">
      <c r="A30" s="31" t="n">
        <v>29</v>
      </c>
      <c r="B30" s="9" t="s">
        <v>461</v>
      </c>
      <c r="C30" s="9" t="s">
        <v>462</v>
      </c>
      <c r="D30" s="9" t="s">
        <v>463</v>
      </c>
      <c r="E30" s="9" t="s">
        <v>180</v>
      </c>
    </row>
    <row r="31" customFormat="false" ht="35.05" hidden="false" customHeight="false" outlineLevel="0" collapsed="false">
      <c r="A31" s="31" t="n">
        <v>30</v>
      </c>
      <c r="B31" s="9" t="s">
        <v>464</v>
      </c>
      <c r="C31" s="9" t="s">
        <v>465</v>
      </c>
      <c r="D31" s="9" t="s">
        <v>466</v>
      </c>
      <c r="E31" s="9" t="s">
        <v>467</v>
      </c>
    </row>
    <row r="32" customFormat="false" ht="35.05" hidden="false" customHeight="false" outlineLevel="0" collapsed="false">
      <c r="A32" s="31" t="n">
        <v>31</v>
      </c>
      <c r="B32" s="9" t="s">
        <v>468</v>
      </c>
      <c r="C32" s="9" t="s">
        <v>469</v>
      </c>
      <c r="D32" s="9" t="s">
        <v>470</v>
      </c>
      <c r="E32" s="9" t="s">
        <v>471</v>
      </c>
    </row>
    <row r="33" customFormat="false" ht="35.05" hidden="false" customHeight="false" outlineLevel="0" collapsed="false">
      <c r="A33" s="31" t="n">
        <v>32</v>
      </c>
      <c r="B33" s="9" t="s">
        <v>472</v>
      </c>
      <c r="C33" s="9" t="s">
        <v>473</v>
      </c>
      <c r="D33" s="9" t="s">
        <v>474</v>
      </c>
      <c r="E33" s="9" t="s">
        <v>128</v>
      </c>
    </row>
    <row r="34" customFormat="false" ht="35.05" hidden="false" customHeight="false" outlineLevel="0" collapsed="false">
      <c r="A34" s="31" t="n">
        <v>33</v>
      </c>
      <c r="B34" s="9" t="s">
        <v>475</v>
      </c>
      <c r="C34" s="9" t="s">
        <v>476</v>
      </c>
      <c r="D34" s="9" t="s">
        <v>477</v>
      </c>
      <c r="E34" s="9" t="s">
        <v>478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6"/>
    <col collapsed="false" customWidth="true" hidden="false" outlineLevel="0" max="23" min="3" style="1" width="14"/>
    <col collapsed="false" customWidth="true" hidden="false" outlineLevel="0" max="24" min="24" style="1" width="16"/>
    <col collapsed="false" customWidth="true" hidden="false" outlineLevel="0" max="35" min="25" style="0" width="16"/>
    <col collapsed="false" customWidth="true" hidden="false" outlineLevel="0" max="36" min="36" style="0" width="12"/>
  </cols>
  <sheetData>
    <row r="1" customFormat="false" ht="21.75" hidden="false" customHeight="true" outlineLevel="0" collapsed="false">
      <c r="A1" s="18" t="s">
        <v>479</v>
      </c>
      <c r="B1" s="18"/>
      <c r="C1" s="19" t="s">
        <v>480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7" t="s">
        <v>481</v>
      </c>
    </row>
    <row r="2" customFormat="false" ht="42" hidden="false" customHeight="true" outlineLevel="0" collapsed="false">
      <c r="A2" s="28" t="s">
        <v>227</v>
      </c>
      <c r="B2" s="28" t="s">
        <v>228</v>
      </c>
      <c r="C2" s="28" t="s">
        <v>482</v>
      </c>
      <c r="D2" s="28" t="s">
        <v>483</v>
      </c>
      <c r="E2" s="28" t="s">
        <v>484</v>
      </c>
      <c r="F2" s="28" t="s">
        <v>485</v>
      </c>
      <c r="G2" s="28" t="s">
        <v>486</v>
      </c>
      <c r="H2" s="28" t="s">
        <v>487</v>
      </c>
      <c r="I2" s="28" t="s">
        <v>488</v>
      </c>
      <c r="J2" s="28" t="s">
        <v>489</v>
      </c>
      <c r="K2" s="28" t="s">
        <v>490</v>
      </c>
      <c r="L2" s="28" t="s">
        <v>491</v>
      </c>
      <c r="M2" s="28" t="s">
        <v>492</v>
      </c>
      <c r="N2" s="28" t="s">
        <v>493</v>
      </c>
      <c r="O2" s="28" t="s">
        <v>494</v>
      </c>
      <c r="P2" s="28" t="s">
        <v>495</v>
      </c>
      <c r="Q2" s="28" t="s">
        <v>496</v>
      </c>
      <c r="R2" s="28" t="s">
        <v>497</v>
      </c>
      <c r="S2" s="28" t="s">
        <v>498</v>
      </c>
      <c r="T2" s="28" t="s">
        <v>499</v>
      </c>
      <c r="U2" s="28" t="s">
        <v>500</v>
      </c>
      <c r="V2" s="28" t="s">
        <v>501</v>
      </c>
      <c r="W2" s="28" t="s">
        <v>502</v>
      </c>
      <c r="X2" s="28" t="s">
        <v>503</v>
      </c>
      <c r="Y2" s="28" t="s">
        <v>504</v>
      </c>
      <c r="Z2" s="28" t="s">
        <v>505</v>
      </c>
      <c r="AA2" s="28" t="s">
        <v>506</v>
      </c>
      <c r="AB2" s="28" t="s">
        <v>507</v>
      </c>
      <c r="AC2" s="28" t="s">
        <v>508</v>
      </c>
      <c r="AD2" s="28" t="s">
        <v>509</v>
      </c>
      <c r="AE2" s="28" t="s">
        <v>510</v>
      </c>
      <c r="AF2" s="28" t="s">
        <v>511</v>
      </c>
      <c r="AG2" s="28" t="s">
        <v>512</v>
      </c>
      <c r="AH2" s="28" t="s">
        <v>513</v>
      </c>
      <c r="AI2" s="28" t="s">
        <v>514</v>
      </c>
      <c r="AJ2" s="28" t="s">
        <v>515</v>
      </c>
    </row>
    <row r="3" customFormat="false" ht="15" hidden="false" customHeight="true" outlineLevel="0" collapsed="false">
      <c r="A3" s="32" t="str">
        <f aca="false">'Patent Portfolio'!A3</f>
        <v>P-001</v>
      </c>
      <c r="B3" s="33" t="str">
        <f aca="false">'Patent Portfolio'!B3</f>
        <v>Beamforming pilot signaling for 5G NR</v>
      </c>
      <c r="C3" s="34" t="b">
        <f aca="false">IFERROR(IF('Patent Portfolio'!C3&lt;&gt;"",TRUE(),FALSE()),FALSE())</f>
        <v>1</v>
      </c>
      <c r="D3" s="34" t="b">
        <f aca="false">IFERROR(IF(AND(N('Patent Portfolio'!H3)&gt;=2,'Patent Portfolio'!I3&lt;&gt;""),TRUE(),FALSE()),FALSE())</f>
        <v>1</v>
      </c>
      <c r="E3" s="34" t="b">
        <f aca="false">IFERROR(IF('Patent Portfolio'!F3&lt;&gt;"",TRUE(),FALSE()),FALSE())</f>
        <v>1</v>
      </c>
      <c r="F3" s="34" t="b">
        <f aca="false">IFERROR(IF('Patent Portfolio'!E3&lt;&gt;"",TRUE(),FALSE()),FALSE())</f>
        <v>1</v>
      </c>
      <c r="G3" s="34" t="b">
        <f aca="false">IFERROR(IF('Patent Portfolio'!G3&lt;&gt;"",TRUE(),FALSE()),FALSE())</f>
        <v>1</v>
      </c>
      <c r="H3" s="34" t="b">
        <f aca="false">IFERROR(IF(AND(OR(ISNUMBER(SEARCH("process",'Patent Portfolio'!C3)),ISNUMBER(SEARCH("fab",'Patent Portfolio'!C3)),ISNUMBER(SEARCH("manufac",'Patent Portfolio'!C3))),'Patent Portfolio'!K3="Method"),TRUE(),FALSE()),FALSE())</f>
        <v>0</v>
      </c>
      <c r="I3" s="34" t="b">
        <f aca="false">IFERROR(IF(AND(OR(ISNUMBER(SEARCH("material",'Patent Portfolio'!C3)),ISNUMBER(SEARCH("chem",'Patent Portfolio'!C3)),ISNUMBER(SEARCH("battery",'Patent Portfolio'!C3)),ISNUMBER(SEARCH("electrolyte",'Patent Portfolio'!C3)),ISNUMBER(SEARCH("polymer",'Patent Portfolio'!C3))),OR('Patent Portfolio'!K3="Apparatus",'Patent Portfolio'!K3="Method")),TRUE(),FALSE()),FALSE())</f>
        <v>0</v>
      </c>
      <c r="J3" s="34" t="b">
        <f aca="false">IFERROR(IF(AND(OR('Patent Portfolio'!E3="App",'Patent Portfolio'!E3="Middleware",'Patent Portfolio'!E3="Cloud"),OR('Patent Portfolio'!K3="Method",'Patent Portfolio'!K3="CRM")),TRUE(),FALSE()),FALSE())</f>
        <v>0</v>
      </c>
      <c r="K3" s="34" t="b">
        <f aca="false">IFERROR(IF(N('Patent Portfolio'!J3)&gt;=2,TRUE(),FALSE()),FALSE())</f>
        <v>1</v>
      </c>
      <c r="L3" s="34" t="b">
        <f aca="false">IFERROR(IF('Patent Portfolio'!AA3&lt;&gt;"",TRUE(),FALSE()),FALSE())</f>
        <v>1</v>
      </c>
      <c r="M3" s="34" t="b">
        <f aca="false">IFERROR(IF('Patent Portfolio'!K3&lt;&gt;"",TRUE(),FALSE()),FALSE())</f>
        <v>1</v>
      </c>
      <c r="N3" s="34" t="b">
        <f aca="false">IFERROR(IF(OR(N('Patent Portfolio'!O3)&gt;=2,N('Patent Portfolio'!P3)&gt;=2),TRUE(),FALSE()),FALSE())</f>
        <v>1</v>
      </c>
      <c r="O3" s="34" t="b">
        <f aca="false">IFERROR(IF('Patent Portfolio'!X3="Yes",TRUE(),FALSE()),FALSE())</f>
        <v>1</v>
      </c>
      <c r="P3" s="34" t="b">
        <f aca="false">IFERROR(IF(N('Patent Portfolio'!R3)&gt;=2,TRUE(),FALSE()),FALSE())</f>
        <v>1</v>
      </c>
      <c r="Q3" s="34" t="b">
        <f aca="false">IFERROR(IF(N('Patent Portfolio'!U3)&gt;0,TRUE(),FALSE()),FALSE())</f>
        <v>1</v>
      </c>
      <c r="R3" s="34" t="b">
        <f aca="false">IFERROR(IF(OR(N('Patent Portfolio'!L3)=3,N('Patent Portfolio'!L3)&lt;=1),TRUE(),FALSE()),FALSE())</f>
        <v>0</v>
      </c>
      <c r="S3" s="34" t="b">
        <f aca="false">IFERROR(IF(N('Patent Portfolio'!AB3)&gt;=2,TRUE(),FALSE()),FALSE())</f>
        <v>0</v>
      </c>
      <c r="T3" s="34" t="b">
        <f aca="false">IFERROR(IF('Patent Portfolio'!Z3&lt;&gt;"",TRUE(),FALSE()),FALSE())</f>
        <v>0</v>
      </c>
      <c r="U3" s="34" t="b">
        <f aca="false">IFERROR(IF(N('Patent Portfolio'!Q3)&gt;=2,TRUE(),FALSE()),FALSE())</f>
        <v>1</v>
      </c>
      <c r="V3" s="34" t="b">
        <f aca="false">IFERROR(IF(AND(N('Patent Portfolio'!N3)&gt;=2,'Patent Portfolio'!C3&lt;&gt;""),TRUE(),FALSE()),FALSE())</f>
        <v>1</v>
      </c>
      <c r="W3" s="34" t="b">
        <f aca="false">IFERROR(IF(OR('Patent Portfolio'!S3="Pending",'Patent Portfolio'!T3="Yes"),TRUE(),FALSE()),FALSE())</f>
        <v>1</v>
      </c>
      <c r="X3" s="34" t="b">
        <f aca="false">IFERROR(IF(AND(N('Patent Portfolio'!AC3)&gt;=2,N('Patent Portfolio'!L3)&gt;=1),TRUE(),FALSE()),FALSE())</f>
        <v>1</v>
      </c>
      <c r="Y3" s="34" t="b">
        <f aca="false">IFERROR(IF(AND(N('Patent Portfolio'!N3)&gt;=1,OR('Patent Portfolio'!C3&lt;&gt;"",'Patent Portfolio'!I3&lt;&gt;"")),TRUE(),FALSE()),FALSE())</f>
        <v>1</v>
      </c>
      <c r="Z3" s="34" t="b">
        <f aca="false">IFERROR(IF('Patent Portfolio'!C3&lt;&gt;"",TRUE(),FALSE()),FALSE())</f>
        <v>1</v>
      </c>
      <c r="AA3" s="34" t="b">
        <f aca="false">IFERROR(IF('Patent Portfolio'!T3="Yes",TRUE(),FALSE()),FALSE())</f>
        <v>1</v>
      </c>
      <c r="AB3" s="34" t="b">
        <f aca="false">IFERROR(IF(OR('Patent Portfolio'!AK3="Partial",'Patent Portfolio'!AK3="Full"),TRUE(),FALSE()),FALSE())</f>
        <v>1</v>
      </c>
      <c r="AC3" s="34" t="b">
        <f aca="false">IFERROR(IF('Patent Portfolio'!AI3="Survived",TRUE(),FALSE()),FALSE())</f>
        <v>1</v>
      </c>
      <c r="AD3" s="34" t="b">
        <f aca="false">IFERROR(IF(AND('Patent Portfolio'!AJ3="Clean",'Patent Portfolio'!AL3="None"),TRUE(),FALSE()),FALSE())</f>
        <v>1</v>
      </c>
      <c r="AE3" s="34" t="b">
        <f aca="false">IFERROR(IF(N('Patent Portfolio'!AG3)&gt;=15,TRUE(),FALSE()),FALSE())</f>
        <v>1</v>
      </c>
      <c r="AF3" s="34" t="b">
        <f aca="false">IFERROR(IF(AND(N('Patent Portfolio'!AO3)&gt;=2,N('Patent Portfolio'!AB3)&gt;=2),TRUE(),FALSE()),FALSE())</f>
        <v>0</v>
      </c>
      <c r="AG3" s="34" t="b">
        <f aca="false">IFERROR(IF(OR(N('Patent Portfolio'!AC3)&lt;=1,N('Patent Portfolio'!U3)&lt;5,N('Patent Portfolio'!AD3)&lt;=1),TRUE(),FALSE()),FALSE())</f>
        <v>0</v>
      </c>
      <c r="AH3" s="34" t="b">
        <f aca="false">IFERROR(IF(AND(N('Patent Portfolio'!U3)&gt;=1,N('Patent Portfolio'!U3)&lt;=4),TRUE(),FALSE()),FALSE())</f>
        <v>0</v>
      </c>
      <c r="AI3" s="34" t="b">
        <f aca="false">IFERROR(IF(AND('Patent Portfolio'!C3&lt;&gt;"",'Patent Portfolio'!F3&lt;&gt;""),TRUE(),FALSE()),FALSE())</f>
        <v>1</v>
      </c>
      <c r="AJ3" s="31" t="n">
        <f aca="false">COUNTIF(C3:AI3,TRUE())</f>
        <v>24</v>
      </c>
    </row>
    <row r="4" customFormat="false" ht="15" hidden="false" customHeight="true" outlineLevel="0" collapsed="false">
      <c r="A4" s="32" t="str">
        <f aca="false">'Patent Portfolio'!A4</f>
        <v>P-002</v>
      </c>
      <c r="B4" s="33" t="str">
        <f aca="false">'Patent Portfolio'!B4</f>
        <v>Polar code decoder architecture</v>
      </c>
      <c r="C4" s="34" t="b">
        <f aca="false">IFERROR(IF('Patent Portfolio'!C4&lt;&gt;"",TRUE(),FALSE()),FALSE())</f>
        <v>1</v>
      </c>
      <c r="D4" s="34" t="b">
        <f aca="false">IFERROR(IF(AND(N('Patent Portfolio'!H4)&gt;=2,'Patent Portfolio'!I4&lt;&gt;""),TRUE(),FALSE()),FALSE())</f>
        <v>1</v>
      </c>
      <c r="E4" s="34" t="b">
        <f aca="false">IFERROR(IF('Patent Portfolio'!F4&lt;&gt;"",TRUE(),FALSE()),FALSE())</f>
        <v>1</v>
      </c>
      <c r="F4" s="34" t="b">
        <f aca="false">IFERROR(IF('Patent Portfolio'!E4&lt;&gt;"",TRUE(),FALSE()),FALSE())</f>
        <v>1</v>
      </c>
      <c r="G4" s="34" t="b">
        <f aca="false">IFERROR(IF('Patent Portfolio'!G4&lt;&gt;"",TRUE(),FALSE()),FALSE())</f>
        <v>1</v>
      </c>
      <c r="H4" s="34" t="b">
        <f aca="false">IFERROR(IF(AND(OR(ISNUMBER(SEARCH("process",'Patent Portfolio'!C4)),ISNUMBER(SEARCH("fab",'Patent Portfolio'!C4)),ISNUMBER(SEARCH("manufac",'Patent Portfolio'!C4))),'Patent Portfolio'!K4="Method"),TRUE(),FALSE()),FALSE())</f>
        <v>0</v>
      </c>
      <c r="I4" s="34" t="b">
        <f aca="false">IFERROR(IF(AND(OR(ISNUMBER(SEARCH("material",'Patent Portfolio'!C4)),ISNUMBER(SEARCH("chem",'Patent Portfolio'!C4)),ISNUMBER(SEARCH("battery",'Patent Portfolio'!C4)),ISNUMBER(SEARCH("electrolyte",'Patent Portfolio'!C4)),ISNUMBER(SEARCH("polymer",'Patent Portfolio'!C4))),OR('Patent Portfolio'!K4="Apparatus",'Patent Portfolio'!K4="Method")),TRUE(),FALSE()),FALSE())</f>
        <v>0</v>
      </c>
      <c r="J4" s="34" t="b">
        <f aca="false">IFERROR(IF(AND(OR('Patent Portfolio'!E4="App",'Patent Portfolio'!E4="Middleware",'Patent Portfolio'!E4="Cloud"),OR('Patent Portfolio'!K4="Method",'Patent Portfolio'!K4="CRM")),TRUE(),FALSE()),FALSE())</f>
        <v>0</v>
      </c>
      <c r="K4" s="34" t="b">
        <f aca="false">IFERROR(IF(N('Patent Portfolio'!J4)&gt;=2,TRUE(),FALSE()),FALSE())</f>
        <v>1</v>
      </c>
      <c r="L4" s="34" t="b">
        <f aca="false">IFERROR(IF('Patent Portfolio'!AA4&lt;&gt;"",TRUE(),FALSE()),FALSE())</f>
        <v>1</v>
      </c>
      <c r="M4" s="34" t="b">
        <f aca="false">IFERROR(IF('Patent Portfolio'!K4&lt;&gt;"",TRUE(),FALSE()),FALSE())</f>
        <v>1</v>
      </c>
      <c r="N4" s="34" t="b">
        <f aca="false">IFERROR(IF(OR(N('Patent Portfolio'!O4)&gt;=2,N('Patent Portfolio'!P4)&gt;=2),TRUE(),FALSE()),FALSE())</f>
        <v>1</v>
      </c>
      <c r="O4" s="34" t="b">
        <f aca="false">IFERROR(IF('Patent Portfolio'!X4="Yes",TRUE(),FALSE()),FALSE())</f>
        <v>1</v>
      </c>
      <c r="P4" s="34" t="b">
        <f aca="false">IFERROR(IF(N('Patent Portfolio'!R4)&gt;=2,TRUE(),FALSE()),FALSE())</f>
        <v>1</v>
      </c>
      <c r="Q4" s="34" t="b">
        <f aca="false">IFERROR(IF(N('Patent Portfolio'!U4)&gt;0,TRUE(),FALSE()),FALSE())</f>
        <v>1</v>
      </c>
      <c r="R4" s="34" t="b">
        <f aca="false">IFERROR(IF(OR(N('Patent Portfolio'!L4)=3,N('Patent Portfolio'!L4)&lt;=1),TRUE(),FALSE()),FALSE())</f>
        <v>0</v>
      </c>
      <c r="S4" s="34" t="b">
        <f aca="false">IFERROR(IF(N('Patent Portfolio'!AB4)&gt;=2,TRUE(),FALSE()),FALSE())</f>
        <v>0</v>
      </c>
      <c r="T4" s="34" t="b">
        <f aca="false">IFERROR(IF('Patent Portfolio'!Z4&lt;&gt;"",TRUE(),FALSE()),FALSE())</f>
        <v>0</v>
      </c>
      <c r="U4" s="34" t="b">
        <f aca="false">IFERROR(IF(N('Patent Portfolio'!Q4)&gt;=2,TRUE(),FALSE()),FALSE())</f>
        <v>1</v>
      </c>
      <c r="V4" s="34" t="b">
        <f aca="false">IFERROR(IF(AND(N('Patent Portfolio'!N4)&gt;=2,'Patent Portfolio'!C4&lt;&gt;""),TRUE(),FALSE()),FALSE())</f>
        <v>1</v>
      </c>
      <c r="W4" s="34" t="b">
        <f aca="false">IFERROR(IF(OR('Patent Portfolio'!S4="Pending",'Patent Portfolio'!T4="Yes"),TRUE(),FALSE()),FALSE())</f>
        <v>0</v>
      </c>
      <c r="X4" s="34" t="b">
        <f aca="false">IFERROR(IF(AND(N('Patent Portfolio'!AC4)&gt;=2,N('Patent Portfolio'!L4)&gt;=1),TRUE(),FALSE()),FALSE())</f>
        <v>1</v>
      </c>
      <c r="Y4" s="34" t="b">
        <f aca="false">IFERROR(IF(AND(N('Patent Portfolio'!N4)&gt;=1,OR('Patent Portfolio'!C4&lt;&gt;"",'Patent Portfolio'!I4&lt;&gt;"")),TRUE(),FALSE()),FALSE())</f>
        <v>1</v>
      </c>
      <c r="Z4" s="34" t="b">
        <f aca="false">IFERROR(IF('Patent Portfolio'!C4&lt;&gt;"",TRUE(),FALSE()),FALSE())</f>
        <v>1</v>
      </c>
      <c r="AA4" s="34" t="b">
        <f aca="false">IFERROR(IF('Patent Portfolio'!T4="Yes",TRUE(),FALSE()),FALSE())</f>
        <v>0</v>
      </c>
      <c r="AB4" s="34" t="b">
        <f aca="false">IFERROR(IF(OR('Patent Portfolio'!AK4="Partial",'Patent Portfolio'!AK4="Full"),TRUE(),FALSE()),FALSE())</f>
        <v>1</v>
      </c>
      <c r="AC4" s="34" t="b">
        <f aca="false">IFERROR(IF('Patent Portfolio'!AI4="Survived",TRUE(),FALSE()),FALSE())</f>
        <v>0</v>
      </c>
      <c r="AD4" s="34" t="b">
        <f aca="false">IFERROR(IF(AND('Patent Portfolio'!AJ4="Clean",'Patent Portfolio'!AL4="None"),TRUE(),FALSE()),FALSE())</f>
        <v>1</v>
      </c>
      <c r="AE4" s="34" t="b">
        <f aca="false">IFERROR(IF(N('Patent Portfolio'!AG4)&gt;=15,TRUE(),FALSE()),FALSE())</f>
        <v>1</v>
      </c>
      <c r="AF4" s="34" t="b">
        <f aca="false">IFERROR(IF(AND(N('Patent Portfolio'!AO4)&gt;=2,N('Patent Portfolio'!AB4)&gt;=2),TRUE(),FALSE()),FALSE())</f>
        <v>0</v>
      </c>
      <c r="AG4" s="34" t="b">
        <f aca="false">IFERROR(IF(OR(N('Patent Portfolio'!AC4)&lt;=1,N('Patent Portfolio'!U4)&lt;5,N('Patent Portfolio'!AD4)&lt;=1),TRUE(),FALSE()),FALSE())</f>
        <v>0</v>
      </c>
      <c r="AH4" s="34" t="b">
        <f aca="false">IFERROR(IF(AND(N('Patent Portfolio'!U4)&gt;=1,N('Patent Portfolio'!U4)&lt;=4),TRUE(),FALSE()),FALSE())</f>
        <v>0</v>
      </c>
      <c r="AI4" s="34" t="b">
        <f aca="false">IFERROR(IF(AND('Patent Portfolio'!C4&lt;&gt;"",'Patent Portfolio'!F4&lt;&gt;""),TRUE(),FALSE()),FALSE())</f>
        <v>1</v>
      </c>
      <c r="AJ4" s="31" t="n">
        <f aca="false">COUNTIF(C4:AI4,TRUE())</f>
        <v>21</v>
      </c>
    </row>
    <row r="5" customFormat="false" ht="15" hidden="false" customHeight="true" outlineLevel="0" collapsed="false">
      <c r="A5" s="32" t="str">
        <f aca="false">'Patent Portfolio'!A5</f>
        <v>P-003</v>
      </c>
      <c r="B5" s="33" t="str">
        <f aca="false">'Patent Portfolio'!B5</f>
        <v>Adaptive Wi-Fi 7 channel sounding</v>
      </c>
      <c r="C5" s="34" t="b">
        <f aca="false">IFERROR(IF('Patent Portfolio'!C5&lt;&gt;"",TRUE(),FALSE()),FALSE())</f>
        <v>1</v>
      </c>
      <c r="D5" s="34" t="b">
        <f aca="false">IFERROR(IF(AND(N('Patent Portfolio'!H5)&gt;=2,'Patent Portfolio'!I5&lt;&gt;""),TRUE(),FALSE()),FALSE())</f>
        <v>1</v>
      </c>
      <c r="E5" s="34" t="b">
        <f aca="false">IFERROR(IF('Patent Portfolio'!F5&lt;&gt;"",TRUE(),FALSE()),FALSE())</f>
        <v>1</v>
      </c>
      <c r="F5" s="34" t="b">
        <f aca="false">IFERROR(IF('Patent Portfolio'!E5&lt;&gt;"",TRUE(),FALSE()),FALSE())</f>
        <v>1</v>
      </c>
      <c r="G5" s="34" t="b">
        <f aca="false">IFERROR(IF('Patent Portfolio'!G5&lt;&gt;"",TRUE(),FALSE()),FALSE())</f>
        <v>1</v>
      </c>
      <c r="H5" s="34" t="b">
        <f aca="false">IFERROR(IF(AND(OR(ISNUMBER(SEARCH("process",'Patent Portfolio'!C5)),ISNUMBER(SEARCH("fab",'Patent Portfolio'!C5)),ISNUMBER(SEARCH("manufac",'Patent Portfolio'!C5))),'Patent Portfolio'!K5="Method"),TRUE(),FALSE()),FALSE())</f>
        <v>0</v>
      </c>
      <c r="I5" s="34" t="b">
        <f aca="false">IFERROR(IF(AND(OR(ISNUMBER(SEARCH("material",'Patent Portfolio'!C5)),ISNUMBER(SEARCH("chem",'Patent Portfolio'!C5)),ISNUMBER(SEARCH("battery",'Patent Portfolio'!C5)),ISNUMBER(SEARCH("electrolyte",'Patent Portfolio'!C5)),ISNUMBER(SEARCH("polymer",'Patent Portfolio'!C5))),OR('Patent Portfolio'!K5="Apparatus",'Patent Portfolio'!K5="Method")),TRUE(),FALSE()),FALSE())</f>
        <v>0</v>
      </c>
      <c r="J5" s="34" t="b">
        <f aca="false">IFERROR(IF(AND(OR('Patent Portfolio'!E5="App",'Patent Portfolio'!E5="Middleware",'Patent Portfolio'!E5="Cloud"),OR('Patent Portfolio'!K5="Method",'Patent Portfolio'!K5="CRM")),TRUE(),FALSE()),FALSE())</f>
        <v>0</v>
      </c>
      <c r="K5" s="34" t="b">
        <f aca="false">IFERROR(IF(N('Patent Portfolio'!J5)&gt;=2,TRUE(),FALSE()),FALSE())</f>
        <v>1</v>
      </c>
      <c r="L5" s="34" t="b">
        <f aca="false">IFERROR(IF('Patent Portfolio'!AA5&lt;&gt;"",TRUE(),FALSE()),FALSE())</f>
        <v>1</v>
      </c>
      <c r="M5" s="34" t="b">
        <f aca="false">IFERROR(IF('Patent Portfolio'!K5&lt;&gt;"",TRUE(),FALSE()),FALSE())</f>
        <v>1</v>
      </c>
      <c r="N5" s="34" t="b">
        <f aca="false">IFERROR(IF(OR(N('Patent Portfolio'!O5)&gt;=2,N('Patent Portfolio'!P5)&gt;=2),TRUE(),FALSE()),FALSE())</f>
        <v>1</v>
      </c>
      <c r="O5" s="34" t="b">
        <f aca="false">IFERROR(IF('Patent Portfolio'!X5="Yes",TRUE(),FALSE()),FALSE())</f>
        <v>1</v>
      </c>
      <c r="P5" s="34" t="b">
        <f aca="false">IFERROR(IF(N('Patent Portfolio'!R5)&gt;=2,TRUE(),FALSE()),FALSE())</f>
        <v>1</v>
      </c>
      <c r="Q5" s="34" t="b">
        <f aca="false">IFERROR(IF(N('Patent Portfolio'!U5)&gt;0,TRUE(),FALSE()),FALSE())</f>
        <v>1</v>
      </c>
      <c r="R5" s="34" t="b">
        <f aca="false">IFERROR(IF(OR(N('Patent Portfolio'!L5)=3,N('Patent Portfolio'!L5)&lt;=1),TRUE(),FALSE()),FALSE())</f>
        <v>1</v>
      </c>
      <c r="S5" s="34" t="b">
        <f aca="false">IFERROR(IF(N('Patent Portfolio'!AB5)&gt;=2,TRUE(),FALSE()),FALSE())</f>
        <v>1</v>
      </c>
      <c r="T5" s="34" t="b">
        <f aca="false">IFERROR(IF('Patent Portfolio'!Z5&lt;&gt;"",TRUE(),FALSE()),FALSE())</f>
        <v>0</v>
      </c>
      <c r="U5" s="34" t="b">
        <f aca="false">IFERROR(IF(N('Patent Portfolio'!Q5)&gt;=2,TRUE(),FALSE()),FALSE())</f>
        <v>1</v>
      </c>
      <c r="V5" s="34" t="b">
        <f aca="false">IFERROR(IF(AND(N('Patent Portfolio'!N5)&gt;=2,'Patent Portfolio'!C5&lt;&gt;""),TRUE(),FALSE()),FALSE())</f>
        <v>1</v>
      </c>
      <c r="W5" s="34" t="b">
        <f aca="false">IFERROR(IF(OR('Patent Portfolio'!S5="Pending",'Patent Portfolio'!T5="Yes"),TRUE(),FALSE()),FALSE())</f>
        <v>1</v>
      </c>
      <c r="X5" s="34" t="b">
        <f aca="false">IFERROR(IF(AND(N('Patent Portfolio'!AC5)&gt;=2,N('Patent Portfolio'!L5)&gt;=1),TRUE(),FALSE()),FALSE())</f>
        <v>1</v>
      </c>
      <c r="Y5" s="34" t="b">
        <f aca="false">IFERROR(IF(AND(N('Patent Portfolio'!N5)&gt;=1,OR('Patent Portfolio'!C5&lt;&gt;"",'Patent Portfolio'!I5&lt;&gt;"")),TRUE(),FALSE()),FALSE())</f>
        <v>1</v>
      </c>
      <c r="Z5" s="34" t="b">
        <f aca="false">IFERROR(IF('Patent Portfolio'!C5&lt;&gt;"",TRUE(),FALSE()),FALSE())</f>
        <v>1</v>
      </c>
      <c r="AA5" s="34" t="b">
        <f aca="false">IFERROR(IF('Patent Portfolio'!T5="Yes",TRUE(),FALSE()),FALSE())</f>
        <v>1</v>
      </c>
      <c r="AB5" s="34" t="b">
        <f aca="false">IFERROR(IF(OR('Patent Portfolio'!AK5="Partial",'Patent Portfolio'!AK5="Full"),TRUE(),FALSE()),FALSE())</f>
        <v>0</v>
      </c>
      <c r="AC5" s="34" t="b">
        <f aca="false">IFERROR(IF('Patent Portfolio'!AI5="Survived",TRUE(),FALSE()),FALSE())</f>
        <v>0</v>
      </c>
      <c r="AD5" s="34" t="b">
        <f aca="false">IFERROR(IF(AND('Patent Portfolio'!AJ5="Clean",'Patent Portfolio'!AL5="None"),TRUE(),FALSE()),FALSE())</f>
        <v>1</v>
      </c>
      <c r="AE5" s="34" t="b">
        <f aca="false">IFERROR(IF(N('Patent Portfolio'!AG5)&gt;=15,TRUE(),FALSE()),FALSE())</f>
        <v>0</v>
      </c>
      <c r="AF5" s="34" t="b">
        <f aca="false">IFERROR(IF(AND(N('Patent Portfolio'!AO5)&gt;=2,N('Patent Portfolio'!AB5)&gt;=2),TRUE(),FALSE()),FALSE())</f>
        <v>1</v>
      </c>
      <c r="AG5" s="34" t="b">
        <f aca="false">IFERROR(IF(OR(N('Patent Portfolio'!AC5)&lt;=1,N('Patent Portfolio'!U5)&lt;5,N('Patent Portfolio'!AD5)&lt;=1),TRUE(),FALSE()),FALSE())</f>
        <v>0</v>
      </c>
      <c r="AH5" s="34" t="b">
        <f aca="false">IFERROR(IF(AND(N('Patent Portfolio'!U5)&gt;=1,N('Patent Portfolio'!U5)&lt;=4),TRUE(),FALSE()),FALSE())</f>
        <v>0</v>
      </c>
      <c r="AI5" s="34" t="b">
        <f aca="false">IFERROR(IF(AND('Patent Portfolio'!C5&lt;&gt;"",'Patent Portfolio'!F5&lt;&gt;""),TRUE(),FALSE()),FALSE())</f>
        <v>1</v>
      </c>
      <c r="AJ5" s="31" t="n">
        <f aca="false">COUNTIF(C5:AI5,TRUE())</f>
        <v>24</v>
      </c>
    </row>
    <row r="6" customFormat="false" ht="23.25" hidden="false" customHeight="true" outlineLevel="0" collapsed="false">
      <c r="A6" s="32" t="str">
        <f aca="false">'Patent Portfolio'!A6</f>
        <v>P-004</v>
      </c>
      <c r="B6" s="33" t="str">
        <f aca="false">'Patent Portfolio'!B6</f>
        <v>Solid-state electrolyte composition for EV batteries</v>
      </c>
      <c r="C6" s="34" t="b">
        <f aca="false">IFERROR(IF('Patent Portfolio'!C6&lt;&gt;"",TRUE(),FALSE()),FALSE())</f>
        <v>1</v>
      </c>
      <c r="D6" s="34" t="b">
        <f aca="false">IFERROR(IF(AND(N('Patent Portfolio'!H6)&gt;=2,'Patent Portfolio'!I6&lt;&gt;""),TRUE(),FALSE()),FALSE())</f>
        <v>0</v>
      </c>
      <c r="E6" s="34" t="b">
        <f aca="false">IFERROR(IF('Patent Portfolio'!F6&lt;&gt;"",TRUE(),FALSE()),FALSE())</f>
        <v>1</v>
      </c>
      <c r="F6" s="34" t="b">
        <f aca="false">IFERROR(IF('Patent Portfolio'!E6&lt;&gt;"",TRUE(),FALSE()),FALSE())</f>
        <v>1</v>
      </c>
      <c r="G6" s="34" t="b">
        <f aca="false">IFERROR(IF('Patent Portfolio'!G6&lt;&gt;"",TRUE(),FALSE()),FALSE())</f>
        <v>1</v>
      </c>
      <c r="H6" s="34" t="b">
        <f aca="false">IFERROR(IF(AND(OR(ISNUMBER(SEARCH("process",'Patent Portfolio'!C6)),ISNUMBER(SEARCH("fab",'Patent Portfolio'!C6)),ISNUMBER(SEARCH("manufac",'Patent Portfolio'!C6))),'Patent Portfolio'!K6="Method"),TRUE(),FALSE()),FALSE())</f>
        <v>0</v>
      </c>
      <c r="I6" s="34" t="b">
        <f aca="false">IFERROR(IF(AND(OR(ISNUMBER(SEARCH("material",'Patent Portfolio'!C6)),ISNUMBER(SEARCH("chem",'Patent Portfolio'!C6)),ISNUMBER(SEARCH("battery",'Patent Portfolio'!C6)),ISNUMBER(SEARCH("electrolyte",'Patent Portfolio'!C6)),ISNUMBER(SEARCH("polymer",'Patent Portfolio'!C6))),OR('Patent Portfolio'!K6="Apparatus",'Patent Portfolio'!K6="Method")),TRUE(),FALSE()),FALSE())</f>
        <v>1</v>
      </c>
      <c r="J6" s="34" t="b">
        <f aca="false">IFERROR(IF(AND(OR('Patent Portfolio'!E6="App",'Patent Portfolio'!E6="Middleware",'Patent Portfolio'!E6="Cloud"),OR('Patent Portfolio'!K6="Method",'Patent Portfolio'!K6="CRM")),TRUE(),FALSE()),FALSE())</f>
        <v>0</v>
      </c>
      <c r="K6" s="34" t="b">
        <f aca="false">IFERROR(IF(N('Patent Portfolio'!J6)&gt;=2,TRUE(),FALSE()),FALSE())</f>
        <v>0</v>
      </c>
      <c r="L6" s="34" t="b">
        <f aca="false">IFERROR(IF('Patent Portfolio'!AA6&lt;&gt;"",TRUE(),FALSE()),FALSE())</f>
        <v>1</v>
      </c>
      <c r="M6" s="34" t="b">
        <f aca="false">IFERROR(IF('Patent Portfolio'!K6&lt;&gt;"",TRUE(),FALSE()),FALSE())</f>
        <v>1</v>
      </c>
      <c r="N6" s="34" t="b">
        <f aca="false">IFERROR(IF(OR(N('Patent Portfolio'!O6)&gt;=2,N('Patent Portfolio'!P6)&gt;=2),TRUE(),FALSE()),FALSE())</f>
        <v>1</v>
      </c>
      <c r="O6" s="34" t="b">
        <f aca="false">IFERROR(IF('Patent Portfolio'!X6="Yes",TRUE(),FALSE()),FALSE())</f>
        <v>1</v>
      </c>
      <c r="P6" s="34" t="b">
        <f aca="false">IFERROR(IF(N('Patent Portfolio'!R6)&gt;=2,TRUE(),FALSE()),FALSE())</f>
        <v>1</v>
      </c>
      <c r="Q6" s="34" t="b">
        <f aca="false">IFERROR(IF(N('Patent Portfolio'!U6)&gt;0,TRUE(),FALSE()),FALSE())</f>
        <v>1</v>
      </c>
      <c r="R6" s="34" t="b">
        <f aca="false">IFERROR(IF(OR(N('Patent Portfolio'!L6)=3,N('Patent Portfolio'!L6)&lt;=1),TRUE(),FALSE()),FALSE())</f>
        <v>1</v>
      </c>
      <c r="S6" s="34" t="b">
        <f aca="false">IFERROR(IF(N('Patent Portfolio'!AB6)&gt;=2,TRUE(),FALSE()),FALSE())</f>
        <v>1</v>
      </c>
      <c r="T6" s="34" t="b">
        <f aca="false">IFERROR(IF('Patent Portfolio'!Z6&lt;&gt;"",TRUE(),FALSE()),FALSE())</f>
        <v>0</v>
      </c>
      <c r="U6" s="34" t="b">
        <f aca="false">IFERROR(IF(N('Patent Portfolio'!Q6)&gt;=2,TRUE(),FALSE()),FALSE())</f>
        <v>1</v>
      </c>
      <c r="V6" s="34" t="b">
        <f aca="false">IFERROR(IF(AND(N('Patent Portfolio'!N6)&gt;=2,'Patent Portfolio'!C6&lt;&gt;""),TRUE(),FALSE()),FALSE())</f>
        <v>1</v>
      </c>
      <c r="W6" s="34" t="b">
        <f aca="false">IFERROR(IF(OR('Patent Portfolio'!S6="Pending",'Patent Portfolio'!T6="Yes"),TRUE(),FALSE()),FALSE())</f>
        <v>1</v>
      </c>
      <c r="X6" s="34" t="b">
        <f aca="false">IFERROR(IF(AND(N('Patent Portfolio'!AC6)&gt;=2,N('Patent Portfolio'!L6)&gt;=1),TRUE(),FALSE()),FALSE())</f>
        <v>1</v>
      </c>
      <c r="Y6" s="34" t="b">
        <f aca="false">IFERROR(IF(AND(N('Patent Portfolio'!N6)&gt;=1,OR('Patent Portfolio'!C6&lt;&gt;"",'Patent Portfolio'!I6&lt;&gt;"")),TRUE(),FALSE()),FALSE())</f>
        <v>1</v>
      </c>
      <c r="Z6" s="34" t="b">
        <f aca="false">IFERROR(IF('Patent Portfolio'!C6&lt;&gt;"",TRUE(),FALSE()),FALSE())</f>
        <v>1</v>
      </c>
      <c r="AA6" s="34" t="b">
        <f aca="false">IFERROR(IF('Patent Portfolio'!T6="Yes",TRUE(),FALSE()),FALSE())</f>
        <v>1</v>
      </c>
      <c r="AB6" s="34" t="b">
        <f aca="false">IFERROR(IF(OR('Patent Portfolio'!AK6="Partial",'Patent Portfolio'!AK6="Full"),TRUE(),FALSE()),FALSE())</f>
        <v>1</v>
      </c>
      <c r="AC6" s="34" t="b">
        <f aca="false">IFERROR(IF('Patent Portfolio'!AI6="Survived",TRUE(),FALSE()),FALSE())</f>
        <v>0</v>
      </c>
      <c r="AD6" s="34" t="b">
        <f aca="false">IFERROR(IF(AND('Patent Portfolio'!AJ6="Clean",'Patent Portfolio'!AL6="None"),TRUE(),FALSE()),FALSE())</f>
        <v>1</v>
      </c>
      <c r="AE6" s="34" t="b">
        <f aca="false">IFERROR(IF(N('Patent Portfolio'!AG6)&gt;=15,TRUE(),FALSE()),FALSE())</f>
        <v>1</v>
      </c>
      <c r="AF6" s="34" t="b">
        <f aca="false">IFERROR(IF(AND(N('Patent Portfolio'!AO6)&gt;=2,N('Patent Portfolio'!AB6)&gt;=2),TRUE(),FALSE()),FALSE())</f>
        <v>1</v>
      </c>
      <c r="AG6" s="34" t="b">
        <f aca="false">IFERROR(IF(OR(N('Patent Portfolio'!AC6)&lt;=1,N('Patent Portfolio'!U6)&lt;5,N('Patent Portfolio'!AD6)&lt;=1),TRUE(),FALSE()),FALSE())</f>
        <v>0</v>
      </c>
      <c r="AH6" s="34" t="b">
        <f aca="false">IFERROR(IF(AND(N('Patent Portfolio'!U6)&gt;=1,N('Patent Portfolio'!U6)&lt;=4),TRUE(),FALSE()),FALSE())</f>
        <v>0</v>
      </c>
      <c r="AI6" s="34" t="b">
        <f aca="false">IFERROR(IF(AND('Patent Portfolio'!C6&lt;&gt;"",'Patent Portfolio'!F6&lt;&gt;""),TRUE(),FALSE()),FALSE())</f>
        <v>1</v>
      </c>
      <c r="AJ6" s="31" t="n">
        <f aca="false">COUNTIF(C6:AI6,TRUE())</f>
        <v>25</v>
      </c>
    </row>
    <row r="7" customFormat="false" ht="23.25" hidden="false" customHeight="true" outlineLevel="0" collapsed="false">
      <c r="A7" s="32" t="str">
        <f aca="false">'Patent Portfolio'!A7</f>
        <v>P-005</v>
      </c>
      <c r="B7" s="33" t="str">
        <f aca="false">'Patent Portfolio'!B7</f>
        <v>Battery thermal management with phase-change material</v>
      </c>
      <c r="C7" s="34" t="b">
        <f aca="false">IFERROR(IF('Patent Portfolio'!C7&lt;&gt;"",TRUE(),FALSE()),FALSE())</f>
        <v>1</v>
      </c>
      <c r="D7" s="34" t="b">
        <f aca="false">IFERROR(IF(AND(N('Patent Portfolio'!H7)&gt;=2,'Patent Portfolio'!I7&lt;&gt;""),TRUE(),FALSE()),FALSE())</f>
        <v>0</v>
      </c>
      <c r="E7" s="34" t="b">
        <f aca="false">IFERROR(IF('Patent Portfolio'!F7&lt;&gt;"",TRUE(),FALSE()),FALSE())</f>
        <v>1</v>
      </c>
      <c r="F7" s="34" t="b">
        <f aca="false">IFERROR(IF('Patent Portfolio'!E7&lt;&gt;"",TRUE(),FALSE()),FALSE())</f>
        <v>1</v>
      </c>
      <c r="G7" s="34" t="b">
        <f aca="false">IFERROR(IF('Patent Portfolio'!G7&lt;&gt;"",TRUE(),FALSE()),FALSE())</f>
        <v>1</v>
      </c>
      <c r="H7" s="34" t="b">
        <f aca="false">IFERROR(IF(AND(OR(ISNUMBER(SEARCH("process",'Patent Portfolio'!C7)),ISNUMBER(SEARCH("fab",'Patent Portfolio'!C7)),ISNUMBER(SEARCH("manufac",'Patent Portfolio'!C7))),'Patent Portfolio'!K7="Method"),TRUE(),FALSE()),FALSE())</f>
        <v>0</v>
      </c>
      <c r="I7" s="34" t="b">
        <f aca="false">IFERROR(IF(AND(OR(ISNUMBER(SEARCH("material",'Patent Portfolio'!C7)),ISNUMBER(SEARCH("chem",'Patent Portfolio'!C7)),ISNUMBER(SEARCH("battery",'Patent Portfolio'!C7)),ISNUMBER(SEARCH("electrolyte",'Patent Portfolio'!C7)),ISNUMBER(SEARCH("polymer",'Patent Portfolio'!C7))),OR('Patent Portfolio'!K7="Apparatus",'Patent Portfolio'!K7="Method")),TRUE(),FALSE()),FALSE())</f>
        <v>0</v>
      </c>
      <c r="J7" s="34" t="b">
        <f aca="false">IFERROR(IF(AND(OR('Patent Portfolio'!E7="App",'Patent Portfolio'!E7="Middleware",'Patent Portfolio'!E7="Cloud"),OR('Patent Portfolio'!K7="Method",'Patent Portfolio'!K7="CRM")),TRUE(),FALSE()),FALSE())</f>
        <v>0</v>
      </c>
      <c r="K7" s="34" t="b">
        <f aca="false">IFERROR(IF(N('Patent Portfolio'!J7)&gt;=2,TRUE(),FALSE()),FALSE())</f>
        <v>0</v>
      </c>
      <c r="L7" s="34" t="b">
        <f aca="false">IFERROR(IF('Patent Portfolio'!AA7&lt;&gt;"",TRUE(),FALSE()),FALSE())</f>
        <v>1</v>
      </c>
      <c r="M7" s="34" t="b">
        <f aca="false">IFERROR(IF('Patent Portfolio'!K7&lt;&gt;"",TRUE(),FALSE()),FALSE())</f>
        <v>1</v>
      </c>
      <c r="N7" s="34" t="b">
        <f aca="false">IFERROR(IF(OR(N('Patent Portfolio'!O7)&gt;=2,N('Patent Portfolio'!P7)&gt;=2),TRUE(),FALSE()),FALSE())</f>
        <v>1</v>
      </c>
      <c r="O7" s="34" t="b">
        <f aca="false">IFERROR(IF('Patent Portfolio'!X7="Yes",TRUE(),FALSE()),FALSE())</f>
        <v>1</v>
      </c>
      <c r="P7" s="34" t="b">
        <f aca="false">IFERROR(IF(N('Patent Portfolio'!R7)&gt;=2,TRUE(),FALSE()),FALSE())</f>
        <v>1</v>
      </c>
      <c r="Q7" s="34" t="b">
        <f aca="false">IFERROR(IF(N('Patent Portfolio'!U7)&gt;0,TRUE(),FALSE()),FALSE())</f>
        <v>1</v>
      </c>
      <c r="R7" s="34" t="b">
        <f aca="false">IFERROR(IF(OR(N('Patent Portfolio'!L7)=3,N('Patent Portfolio'!L7)&lt;=1),TRUE(),FALSE()),FALSE())</f>
        <v>0</v>
      </c>
      <c r="S7" s="34" t="b">
        <f aca="false">IFERROR(IF(N('Patent Portfolio'!AB7)&gt;=2,TRUE(),FALSE()),FALSE())</f>
        <v>1</v>
      </c>
      <c r="T7" s="34" t="b">
        <f aca="false">IFERROR(IF('Patent Portfolio'!Z7&lt;&gt;"",TRUE(),FALSE()),FALSE())</f>
        <v>0</v>
      </c>
      <c r="U7" s="34" t="b">
        <f aca="false">IFERROR(IF(N('Patent Portfolio'!Q7)&gt;=2,TRUE(),FALSE()),FALSE())</f>
        <v>1</v>
      </c>
      <c r="V7" s="34" t="b">
        <f aca="false">IFERROR(IF(AND(N('Patent Portfolio'!N7)&gt;=2,'Patent Portfolio'!C7&lt;&gt;""),TRUE(),FALSE()),FALSE())</f>
        <v>1</v>
      </c>
      <c r="W7" s="34" t="b">
        <f aca="false">IFERROR(IF(OR('Patent Portfolio'!S7="Pending",'Patent Portfolio'!T7="Yes"),TRUE(),FALSE()),FALSE())</f>
        <v>0</v>
      </c>
      <c r="X7" s="34" t="b">
        <f aca="false">IFERROR(IF(AND(N('Patent Portfolio'!AC7)&gt;=2,N('Patent Portfolio'!L7)&gt;=1),TRUE(),FALSE()),FALSE())</f>
        <v>1</v>
      </c>
      <c r="Y7" s="34" t="b">
        <f aca="false">IFERROR(IF(AND(N('Patent Portfolio'!N7)&gt;=1,OR('Patent Portfolio'!C7&lt;&gt;"",'Patent Portfolio'!I7&lt;&gt;"")),TRUE(),FALSE()),FALSE())</f>
        <v>1</v>
      </c>
      <c r="Z7" s="34" t="b">
        <f aca="false">IFERROR(IF('Patent Portfolio'!C7&lt;&gt;"",TRUE(),FALSE()),FALSE())</f>
        <v>1</v>
      </c>
      <c r="AA7" s="34" t="b">
        <f aca="false">IFERROR(IF('Patent Portfolio'!T7="Yes",TRUE(),FALSE()),FALSE())</f>
        <v>0</v>
      </c>
      <c r="AB7" s="34" t="b">
        <f aca="false">IFERROR(IF(OR('Patent Portfolio'!AK7="Partial",'Patent Portfolio'!AK7="Full"),TRUE(),FALSE()),FALSE())</f>
        <v>0</v>
      </c>
      <c r="AC7" s="34" t="b">
        <f aca="false">IFERROR(IF('Patent Portfolio'!AI7="Survived",TRUE(),FALSE()),FALSE())</f>
        <v>0</v>
      </c>
      <c r="AD7" s="34" t="b">
        <f aca="false">IFERROR(IF(AND('Patent Portfolio'!AJ7="Clean",'Patent Portfolio'!AL7="None"),TRUE(),FALSE()),FALSE())</f>
        <v>0</v>
      </c>
      <c r="AE7" s="34" t="b">
        <f aca="false">IFERROR(IF(N('Patent Portfolio'!AG7)&gt;=15,TRUE(),FALSE()),FALSE())</f>
        <v>0</v>
      </c>
      <c r="AF7" s="34" t="b">
        <f aca="false">IFERROR(IF(AND(N('Patent Portfolio'!AO7)&gt;=2,N('Patent Portfolio'!AB7)&gt;=2),TRUE(),FALSE()),FALSE())</f>
        <v>1</v>
      </c>
      <c r="AG7" s="34" t="b">
        <f aca="false">IFERROR(IF(OR(N('Patent Portfolio'!AC7)&lt;=1,N('Patent Portfolio'!U7)&lt;5,N('Patent Portfolio'!AD7)&lt;=1),TRUE(),FALSE()),FALSE())</f>
        <v>0</v>
      </c>
      <c r="AH7" s="34" t="b">
        <f aca="false">IFERROR(IF(AND(N('Patent Portfolio'!U7)&gt;=1,N('Patent Portfolio'!U7)&lt;=4),TRUE(),FALSE()),FALSE())</f>
        <v>0</v>
      </c>
      <c r="AI7" s="34" t="b">
        <f aca="false">IFERROR(IF(AND('Patent Portfolio'!C7&lt;&gt;"",'Patent Portfolio'!F7&lt;&gt;""),TRUE(),FALSE()),FALSE())</f>
        <v>1</v>
      </c>
      <c r="AJ7" s="31" t="n">
        <f aca="false">COUNTIF(C7:AI7,TRUE())</f>
        <v>18</v>
      </c>
    </row>
    <row r="8" customFormat="false" ht="15" hidden="false" customHeight="true" outlineLevel="0" collapsed="false">
      <c r="A8" s="32" t="str">
        <f aca="false">'Patent Portfolio'!A8</f>
        <v>P-006</v>
      </c>
      <c r="B8" s="33" t="str">
        <f aca="false">'Patent Portfolio'!B8</f>
        <v>SiC MOSFET inverter control method</v>
      </c>
      <c r="C8" s="34" t="b">
        <f aca="false">IFERROR(IF('Patent Portfolio'!C8&lt;&gt;"",TRUE(),FALSE()),FALSE())</f>
        <v>1</v>
      </c>
      <c r="D8" s="34" t="b">
        <f aca="false">IFERROR(IF(AND(N('Patent Portfolio'!H8)&gt;=2,'Patent Portfolio'!I8&lt;&gt;""),TRUE(),FALSE()),FALSE())</f>
        <v>0</v>
      </c>
      <c r="E8" s="34" t="b">
        <f aca="false">IFERROR(IF('Patent Portfolio'!F8&lt;&gt;"",TRUE(),FALSE()),FALSE())</f>
        <v>1</v>
      </c>
      <c r="F8" s="34" t="b">
        <f aca="false">IFERROR(IF('Patent Portfolio'!E8&lt;&gt;"",TRUE(),FALSE()),FALSE())</f>
        <v>1</v>
      </c>
      <c r="G8" s="34" t="b">
        <f aca="false">IFERROR(IF('Patent Portfolio'!G8&lt;&gt;"",TRUE(),FALSE()),FALSE())</f>
        <v>1</v>
      </c>
      <c r="H8" s="34" t="b">
        <f aca="false">IFERROR(IF(AND(OR(ISNUMBER(SEARCH("process",'Patent Portfolio'!C8)),ISNUMBER(SEARCH("fab",'Patent Portfolio'!C8)),ISNUMBER(SEARCH("manufac",'Patent Portfolio'!C8))),'Patent Portfolio'!K8="Method"),TRUE(),FALSE()),FALSE())</f>
        <v>0</v>
      </c>
      <c r="I8" s="34" t="b">
        <f aca="false">IFERROR(IF(AND(OR(ISNUMBER(SEARCH("material",'Patent Portfolio'!C8)),ISNUMBER(SEARCH("chem",'Patent Portfolio'!C8)),ISNUMBER(SEARCH("battery",'Patent Portfolio'!C8)),ISNUMBER(SEARCH("electrolyte",'Patent Portfolio'!C8)),ISNUMBER(SEARCH("polymer",'Patent Portfolio'!C8))),OR('Patent Portfolio'!K8="Apparatus",'Patent Portfolio'!K8="Method")),TRUE(),FALSE()),FALSE())</f>
        <v>0</v>
      </c>
      <c r="J8" s="34" t="b">
        <f aca="false">IFERROR(IF(AND(OR('Patent Portfolio'!E8="App",'Patent Portfolio'!E8="Middleware",'Patent Portfolio'!E8="Cloud"),OR('Patent Portfolio'!K8="Method",'Patent Portfolio'!K8="CRM")),TRUE(),FALSE()),FALSE())</f>
        <v>0</v>
      </c>
      <c r="K8" s="34" t="b">
        <f aca="false">IFERROR(IF(N('Patent Portfolio'!J8)&gt;=2,TRUE(),FALSE()),FALSE())</f>
        <v>0</v>
      </c>
      <c r="L8" s="34" t="b">
        <f aca="false">IFERROR(IF('Patent Portfolio'!AA8&lt;&gt;"",TRUE(),FALSE()),FALSE())</f>
        <v>1</v>
      </c>
      <c r="M8" s="34" t="b">
        <f aca="false">IFERROR(IF('Patent Portfolio'!K8&lt;&gt;"",TRUE(),FALSE()),FALSE())</f>
        <v>1</v>
      </c>
      <c r="N8" s="34" t="b">
        <f aca="false">IFERROR(IF(OR(N('Patent Portfolio'!O8)&gt;=2,N('Patent Portfolio'!P8)&gt;=2),TRUE(),FALSE()),FALSE())</f>
        <v>1</v>
      </c>
      <c r="O8" s="34" t="b">
        <f aca="false">IFERROR(IF('Patent Portfolio'!X8="Yes",TRUE(),FALSE()),FALSE())</f>
        <v>1</v>
      </c>
      <c r="P8" s="34" t="b">
        <f aca="false">IFERROR(IF(N('Patent Portfolio'!R8)&gt;=2,TRUE(),FALSE()),FALSE())</f>
        <v>1</v>
      </c>
      <c r="Q8" s="34" t="b">
        <f aca="false">IFERROR(IF(N('Patent Portfolio'!U8)&gt;0,TRUE(),FALSE()),FALSE())</f>
        <v>1</v>
      </c>
      <c r="R8" s="34" t="b">
        <f aca="false">IFERROR(IF(OR(N('Patent Portfolio'!L8)=3,N('Patent Portfolio'!L8)&lt;=1),TRUE(),FALSE()),FALSE())</f>
        <v>0</v>
      </c>
      <c r="S8" s="34" t="b">
        <f aca="false">IFERROR(IF(N('Patent Portfolio'!AB8)&gt;=2,TRUE(),FALSE()),FALSE())</f>
        <v>1</v>
      </c>
      <c r="T8" s="34" t="b">
        <f aca="false">IFERROR(IF('Patent Portfolio'!Z8&lt;&gt;"",TRUE(),FALSE()),FALSE())</f>
        <v>0</v>
      </c>
      <c r="U8" s="34" t="b">
        <f aca="false">IFERROR(IF(N('Patent Portfolio'!Q8)&gt;=2,TRUE(),FALSE()),FALSE())</f>
        <v>1</v>
      </c>
      <c r="V8" s="34" t="b">
        <f aca="false">IFERROR(IF(AND(N('Patent Portfolio'!N8)&gt;=2,'Patent Portfolio'!C8&lt;&gt;""),TRUE(),FALSE()),FALSE())</f>
        <v>1</v>
      </c>
      <c r="W8" s="34" t="b">
        <f aca="false">IFERROR(IF(OR('Patent Portfolio'!S8="Pending",'Patent Portfolio'!T8="Yes"),TRUE(),FALSE()),FALSE())</f>
        <v>0</v>
      </c>
      <c r="X8" s="34" t="b">
        <f aca="false">IFERROR(IF(AND(N('Patent Portfolio'!AC8)&gt;=2,N('Patent Portfolio'!L8)&gt;=1),TRUE(),FALSE()),FALSE())</f>
        <v>1</v>
      </c>
      <c r="Y8" s="34" t="b">
        <f aca="false">IFERROR(IF(AND(N('Patent Portfolio'!N8)&gt;=1,OR('Patent Portfolio'!C8&lt;&gt;"",'Patent Portfolio'!I8&lt;&gt;"")),TRUE(),FALSE()),FALSE())</f>
        <v>1</v>
      </c>
      <c r="Z8" s="34" t="b">
        <f aca="false">IFERROR(IF('Patent Portfolio'!C8&lt;&gt;"",TRUE(),FALSE()),FALSE())</f>
        <v>1</v>
      </c>
      <c r="AA8" s="34" t="b">
        <f aca="false">IFERROR(IF('Patent Portfolio'!T8="Yes",TRUE(),FALSE()),FALSE())</f>
        <v>0</v>
      </c>
      <c r="AB8" s="34" t="b">
        <f aca="false">IFERROR(IF(OR('Patent Portfolio'!AK8="Partial",'Patent Portfolio'!AK8="Full"),TRUE(),FALSE()),FALSE())</f>
        <v>1</v>
      </c>
      <c r="AC8" s="34" t="b">
        <f aca="false">IFERROR(IF('Patent Portfolio'!AI8="Survived",TRUE(),FALSE()),FALSE())</f>
        <v>0</v>
      </c>
      <c r="AD8" s="34" t="b">
        <f aca="false">IFERROR(IF(AND('Patent Portfolio'!AJ8="Clean",'Patent Portfolio'!AL8="None"),TRUE(),FALSE()),FALSE())</f>
        <v>0</v>
      </c>
      <c r="AE8" s="34" t="b">
        <f aca="false">IFERROR(IF(N('Patent Portfolio'!AG8)&gt;=15,TRUE(),FALSE()),FALSE())</f>
        <v>1</v>
      </c>
      <c r="AF8" s="34" t="b">
        <f aca="false">IFERROR(IF(AND(N('Patent Portfolio'!AO8)&gt;=2,N('Patent Portfolio'!AB8)&gt;=2),TRUE(),FALSE()),FALSE())</f>
        <v>1</v>
      </c>
      <c r="AG8" s="34" t="b">
        <f aca="false">IFERROR(IF(OR(N('Patent Portfolio'!AC8)&lt;=1,N('Patent Portfolio'!U8)&lt;5,N('Patent Portfolio'!AD8)&lt;=1),TRUE(),FALSE()),FALSE())</f>
        <v>0</v>
      </c>
      <c r="AH8" s="34" t="b">
        <f aca="false">IFERROR(IF(AND(N('Patent Portfolio'!U8)&gt;=1,N('Patent Portfolio'!U8)&lt;=4),TRUE(),FALSE()),FALSE())</f>
        <v>0</v>
      </c>
      <c r="AI8" s="34" t="b">
        <f aca="false">IFERROR(IF(AND('Patent Portfolio'!C8&lt;&gt;"",'Patent Portfolio'!F8&lt;&gt;""),TRUE(),FALSE()),FALSE())</f>
        <v>1</v>
      </c>
      <c r="AJ8" s="31" t="n">
        <f aca="false">COUNTIF(C8:AI8,TRUE())</f>
        <v>20</v>
      </c>
    </row>
    <row r="9" customFormat="false" ht="23.25" hidden="false" customHeight="true" outlineLevel="0" collapsed="false">
      <c r="A9" s="32" t="str">
        <f aca="false">'Patent Portfolio'!A9</f>
        <v>P-007</v>
      </c>
      <c r="B9" s="33" t="str">
        <f aca="false">'Patent Portfolio'!B9</f>
        <v>On-device CNN quantization for low-power inference</v>
      </c>
      <c r="C9" s="34" t="b">
        <f aca="false">IFERROR(IF('Patent Portfolio'!C9&lt;&gt;"",TRUE(),FALSE()),FALSE())</f>
        <v>1</v>
      </c>
      <c r="D9" s="34" t="b">
        <f aca="false">IFERROR(IF(AND(N('Patent Portfolio'!H9)&gt;=2,'Patent Portfolio'!I9&lt;&gt;""),TRUE(),FALSE()),FALSE())</f>
        <v>0</v>
      </c>
      <c r="E9" s="34" t="b">
        <f aca="false">IFERROR(IF('Patent Portfolio'!F9&lt;&gt;"",TRUE(),FALSE()),FALSE())</f>
        <v>1</v>
      </c>
      <c r="F9" s="34" t="b">
        <f aca="false">IFERROR(IF('Patent Portfolio'!E9&lt;&gt;"",TRUE(),FALSE()),FALSE())</f>
        <v>1</v>
      </c>
      <c r="G9" s="34" t="b">
        <f aca="false">IFERROR(IF('Patent Portfolio'!G9&lt;&gt;"",TRUE(),FALSE()),FALSE())</f>
        <v>1</v>
      </c>
      <c r="H9" s="34" t="b">
        <f aca="false">IFERROR(IF(AND(OR(ISNUMBER(SEARCH("process",'Patent Portfolio'!C9)),ISNUMBER(SEARCH("fab",'Patent Portfolio'!C9)),ISNUMBER(SEARCH("manufac",'Patent Portfolio'!C9))),'Patent Portfolio'!K9="Method"),TRUE(),FALSE()),FALSE())</f>
        <v>0</v>
      </c>
      <c r="I9" s="34" t="b">
        <f aca="false">IFERROR(IF(AND(OR(ISNUMBER(SEARCH("material",'Patent Portfolio'!C9)),ISNUMBER(SEARCH("chem",'Patent Portfolio'!C9)),ISNUMBER(SEARCH("battery",'Patent Portfolio'!C9)),ISNUMBER(SEARCH("electrolyte",'Patent Portfolio'!C9)),ISNUMBER(SEARCH("polymer",'Patent Portfolio'!C9))),OR('Patent Portfolio'!K9="Apparatus",'Patent Portfolio'!K9="Method")),TRUE(),FALSE()),FALSE())</f>
        <v>0</v>
      </c>
      <c r="J9" s="34" t="b">
        <f aca="false">IFERROR(IF(AND(OR('Patent Portfolio'!E9="App",'Patent Portfolio'!E9="Middleware",'Patent Portfolio'!E9="Cloud"),OR('Patent Portfolio'!K9="Method",'Patent Portfolio'!K9="CRM")),TRUE(),FALSE()),FALSE())</f>
        <v>1</v>
      </c>
      <c r="K9" s="34" t="b">
        <f aca="false">IFERROR(IF(N('Patent Portfolio'!J9)&gt;=2,TRUE(),FALSE()),FALSE())</f>
        <v>0</v>
      </c>
      <c r="L9" s="34" t="b">
        <f aca="false">IFERROR(IF('Patent Portfolio'!AA9&lt;&gt;"",TRUE(),FALSE()),FALSE())</f>
        <v>1</v>
      </c>
      <c r="M9" s="34" t="b">
        <f aca="false">IFERROR(IF('Patent Portfolio'!K9&lt;&gt;"",TRUE(),FALSE()),FALSE())</f>
        <v>1</v>
      </c>
      <c r="N9" s="34" t="b">
        <f aca="false">IFERROR(IF(OR(N('Patent Portfolio'!O9)&gt;=2,N('Patent Portfolio'!P9)&gt;=2),TRUE(),FALSE()),FALSE())</f>
        <v>1</v>
      </c>
      <c r="O9" s="34" t="b">
        <f aca="false">IFERROR(IF('Patent Portfolio'!X9="Yes",TRUE(),FALSE()),FALSE())</f>
        <v>1</v>
      </c>
      <c r="P9" s="34" t="b">
        <f aca="false">IFERROR(IF(N('Patent Portfolio'!R9)&gt;=2,TRUE(),FALSE()),FALSE())</f>
        <v>1</v>
      </c>
      <c r="Q9" s="34" t="b">
        <f aca="false">IFERROR(IF(N('Patent Portfolio'!U9)&gt;0,TRUE(),FALSE()),FALSE())</f>
        <v>1</v>
      </c>
      <c r="R9" s="34" t="b">
        <f aca="false">IFERROR(IF(OR(N('Patent Portfolio'!L9)=3,N('Patent Portfolio'!L9)&lt;=1),TRUE(),FALSE()),FALSE())</f>
        <v>0</v>
      </c>
      <c r="S9" s="34" t="b">
        <f aca="false">IFERROR(IF(N('Patent Portfolio'!AB9)&gt;=2,TRUE(),FALSE()),FALSE())</f>
        <v>1</v>
      </c>
      <c r="T9" s="34" t="b">
        <f aca="false">IFERROR(IF('Patent Portfolio'!Z9&lt;&gt;"",TRUE(),FALSE()),FALSE())</f>
        <v>1</v>
      </c>
      <c r="U9" s="34" t="b">
        <f aca="false">IFERROR(IF(N('Patent Portfolio'!Q9)&gt;=2,TRUE(),FALSE()),FALSE())</f>
        <v>1</v>
      </c>
      <c r="V9" s="34" t="b">
        <f aca="false">IFERROR(IF(AND(N('Patent Portfolio'!N9)&gt;=2,'Patent Portfolio'!C9&lt;&gt;""),TRUE(),FALSE()),FALSE())</f>
        <v>1</v>
      </c>
      <c r="W9" s="34" t="b">
        <f aca="false">IFERROR(IF(OR('Patent Portfolio'!S9="Pending",'Patent Portfolio'!T9="Yes"),TRUE(),FALSE()),FALSE())</f>
        <v>1</v>
      </c>
      <c r="X9" s="34" t="b">
        <f aca="false">IFERROR(IF(AND(N('Patent Portfolio'!AC9)&gt;=2,N('Patent Portfolio'!L9)&gt;=1),TRUE(),FALSE()),FALSE())</f>
        <v>1</v>
      </c>
      <c r="Y9" s="34" t="b">
        <f aca="false">IFERROR(IF(AND(N('Patent Portfolio'!N9)&gt;=1,OR('Patent Portfolio'!C9&lt;&gt;"",'Patent Portfolio'!I9&lt;&gt;"")),TRUE(),FALSE()),FALSE())</f>
        <v>1</v>
      </c>
      <c r="Z9" s="34" t="b">
        <f aca="false">IFERROR(IF('Patent Portfolio'!C9&lt;&gt;"",TRUE(),FALSE()),FALSE())</f>
        <v>1</v>
      </c>
      <c r="AA9" s="34" t="b">
        <f aca="false">IFERROR(IF('Patent Portfolio'!T9="Yes",TRUE(),FALSE()),FALSE())</f>
        <v>1</v>
      </c>
      <c r="AB9" s="34" t="b">
        <f aca="false">IFERROR(IF(OR('Patent Portfolio'!AK9="Partial",'Patent Portfolio'!AK9="Full"),TRUE(),FALSE()),FALSE())</f>
        <v>1</v>
      </c>
      <c r="AC9" s="34" t="b">
        <f aca="false">IFERROR(IF('Patent Portfolio'!AI9="Survived",TRUE(),FALSE()),FALSE())</f>
        <v>0</v>
      </c>
      <c r="AD9" s="34" t="b">
        <f aca="false">IFERROR(IF(AND('Patent Portfolio'!AJ9="Clean",'Patent Portfolio'!AL9="None"),TRUE(),FALSE()),FALSE())</f>
        <v>1</v>
      </c>
      <c r="AE9" s="34" t="b">
        <f aca="false">IFERROR(IF(N('Patent Portfolio'!AG9)&gt;=15,TRUE(),FALSE()),FALSE())</f>
        <v>1</v>
      </c>
      <c r="AF9" s="34" t="b">
        <f aca="false">IFERROR(IF(AND(N('Patent Portfolio'!AO9)&gt;=2,N('Patent Portfolio'!AB9)&gt;=2),TRUE(),FALSE()),FALSE())</f>
        <v>1</v>
      </c>
      <c r="AG9" s="34" t="b">
        <f aca="false">IFERROR(IF(OR(N('Patent Portfolio'!AC9)&lt;=1,N('Patent Portfolio'!U9)&lt;5,N('Patent Portfolio'!AD9)&lt;=1),TRUE(),FALSE()),FALSE())</f>
        <v>1</v>
      </c>
      <c r="AH9" s="34" t="b">
        <f aca="false">IFERROR(IF(AND(N('Patent Portfolio'!U9)&gt;=1,N('Patent Portfolio'!U9)&lt;=4),TRUE(),FALSE()),FALSE())</f>
        <v>0</v>
      </c>
      <c r="AI9" s="34" t="b">
        <f aca="false">IFERROR(IF(AND('Patent Portfolio'!C9&lt;&gt;"",'Patent Portfolio'!F9&lt;&gt;""),TRUE(),FALSE()),FALSE())</f>
        <v>1</v>
      </c>
      <c r="AJ9" s="31" t="n">
        <f aca="false">COUNTIF(C9:AI9,TRUE())</f>
        <v>26</v>
      </c>
    </row>
    <row r="10" customFormat="false" ht="23.25" hidden="false" customHeight="true" outlineLevel="0" collapsed="false">
      <c r="A10" s="32" t="str">
        <f aca="false">'Patent Portfolio'!A10</f>
        <v>P-008</v>
      </c>
      <c r="B10" s="33" t="str">
        <f aca="false">'Patent Portfolio'!B10</f>
        <v>Transformer attention pruning for vision models</v>
      </c>
      <c r="C10" s="34" t="b">
        <f aca="false">IFERROR(IF('Patent Portfolio'!C10&lt;&gt;"",TRUE(),FALSE()),FALSE())</f>
        <v>1</v>
      </c>
      <c r="D10" s="34" t="b">
        <f aca="false">IFERROR(IF(AND(N('Patent Portfolio'!H10)&gt;=2,'Patent Portfolio'!I10&lt;&gt;""),TRUE(),FALSE()),FALSE())</f>
        <v>0</v>
      </c>
      <c r="E10" s="34" t="b">
        <f aca="false">IFERROR(IF('Patent Portfolio'!F10&lt;&gt;"",TRUE(),FALSE()),FALSE())</f>
        <v>1</v>
      </c>
      <c r="F10" s="34" t="b">
        <f aca="false">IFERROR(IF('Patent Portfolio'!E10&lt;&gt;"",TRUE(),FALSE()),FALSE())</f>
        <v>1</v>
      </c>
      <c r="G10" s="34" t="b">
        <f aca="false">IFERROR(IF('Patent Portfolio'!G10&lt;&gt;"",TRUE(),FALSE()),FALSE())</f>
        <v>1</v>
      </c>
      <c r="H10" s="34" t="b">
        <f aca="false">IFERROR(IF(AND(OR(ISNUMBER(SEARCH("process",'Patent Portfolio'!C10)),ISNUMBER(SEARCH("fab",'Patent Portfolio'!C10)),ISNUMBER(SEARCH("manufac",'Patent Portfolio'!C10))),'Patent Portfolio'!K10="Method"),TRUE(),FALSE()),FALSE())</f>
        <v>0</v>
      </c>
      <c r="I10" s="34" t="b">
        <f aca="false">IFERROR(IF(AND(OR(ISNUMBER(SEARCH("material",'Patent Portfolio'!C10)),ISNUMBER(SEARCH("chem",'Patent Portfolio'!C10)),ISNUMBER(SEARCH("battery",'Patent Portfolio'!C10)),ISNUMBER(SEARCH("electrolyte",'Patent Portfolio'!C10)),ISNUMBER(SEARCH("polymer",'Patent Portfolio'!C10))),OR('Patent Portfolio'!K10="Apparatus",'Patent Portfolio'!K10="Method")),TRUE(),FALSE()),FALSE())</f>
        <v>0</v>
      </c>
      <c r="J10" s="34" t="b">
        <f aca="false">IFERROR(IF(AND(OR('Patent Portfolio'!E10="App",'Patent Portfolio'!E10="Middleware",'Patent Portfolio'!E10="Cloud"),OR('Patent Portfolio'!K10="Method",'Patent Portfolio'!K10="CRM")),TRUE(),FALSE()),FALSE())</f>
        <v>1</v>
      </c>
      <c r="K10" s="34" t="b">
        <f aca="false">IFERROR(IF(N('Patent Portfolio'!J10)&gt;=2,TRUE(),FALSE()),FALSE())</f>
        <v>0</v>
      </c>
      <c r="L10" s="34" t="b">
        <f aca="false">IFERROR(IF('Patent Portfolio'!AA10&lt;&gt;"",TRUE(),FALSE()),FALSE())</f>
        <v>1</v>
      </c>
      <c r="M10" s="34" t="b">
        <f aca="false">IFERROR(IF('Patent Portfolio'!K10&lt;&gt;"",TRUE(),FALSE()),FALSE())</f>
        <v>1</v>
      </c>
      <c r="N10" s="34" t="b">
        <f aca="false">IFERROR(IF(OR(N('Patent Portfolio'!O10)&gt;=2,N('Patent Portfolio'!P10)&gt;=2),TRUE(),FALSE()),FALSE())</f>
        <v>1</v>
      </c>
      <c r="O10" s="34" t="b">
        <f aca="false">IFERROR(IF('Patent Portfolio'!X10="Yes",TRUE(),FALSE()),FALSE())</f>
        <v>0</v>
      </c>
      <c r="P10" s="34" t="b">
        <f aca="false">IFERROR(IF(N('Patent Portfolio'!R10)&gt;=2,TRUE(),FALSE()),FALSE())</f>
        <v>1</v>
      </c>
      <c r="Q10" s="34" t="b">
        <f aca="false">IFERROR(IF(N('Patent Portfolio'!U10)&gt;0,TRUE(),FALSE()),FALSE())</f>
        <v>1</v>
      </c>
      <c r="R10" s="34" t="b">
        <f aca="false">IFERROR(IF(OR(N('Patent Portfolio'!L10)=3,N('Patent Portfolio'!L10)&lt;=1),TRUE(),FALSE()),FALSE())</f>
        <v>1</v>
      </c>
      <c r="S10" s="34" t="b">
        <f aca="false">IFERROR(IF(N('Patent Portfolio'!AB10)&gt;=2,TRUE(),FALSE()),FALSE())</f>
        <v>1</v>
      </c>
      <c r="T10" s="34" t="b">
        <f aca="false">IFERROR(IF('Patent Portfolio'!Z10&lt;&gt;"",TRUE(),FALSE()),FALSE())</f>
        <v>1</v>
      </c>
      <c r="U10" s="34" t="b">
        <f aca="false">IFERROR(IF(N('Patent Portfolio'!Q10)&gt;=2,TRUE(),FALSE()),FALSE())</f>
        <v>1</v>
      </c>
      <c r="V10" s="34" t="b">
        <f aca="false">IFERROR(IF(AND(N('Patent Portfolio'!N10)&gt;=2,'Patent Portfolio'!C10&lt;&gt;""),TRUE(),FALSE()),FALSE())</f>
        <v>0</v>
      </c>
      <c r="W10" s="34" t="b">
        <f aca="false">IFERROR(IF(OR('Patent Portfolio'!S10="Pending",'Patent Portfolio'!T10="Yes"),TRUE(),FALSE()),FALSE())</f>
        <v>1</v>
      </c>
      <c r="X10" s="34" t="b">
        <f aca="false">IFERROR(IF(AND(N('Patent Portfolio'!AC10)&gt;=2,N('Patent Portfolio'!L10)&gt;=1),TRUE(),FALSE()),FALSE())</f>
        <v>0</v>
      </c>
      <c r="Y10" s="34" t="b">
        <f aca="false">IFERROR(IF(AND(N('Patent Portfolio'!N10)&gt;=1,OR('Patent Portfolio'!C10&lt;&gt;"",'Patent Portfolio'!I10&lt;&gt;"")),TRUE(),FALSE()),FALSE())</f>
        <v>1</v>
      </c>
      <c r="Z10" s="34" t="b">
        <f aca="false">IFERROR(IF('Patent Portfolio'!C10&lt;&gt;"",TRUE(),FALSE()),FALSE())</f>
        <v>1</v>
      </c>
      <c r="AA10" s="34" t="b">
        <f aca="false">IFERROR(IF('Patent Portfolio'!T10="Yes",TRUE(),FALSE()),FALSE())</f>
        <v>1</v>
      </c>
      <c r="AB10" s="34" t="b">
        <f aca="false">IFERROR(IF(OR('Patent Portfolio'!AK10="Partial",'Patent Portfolio'!AK10="Full"),TRUE(),FALSE()),FALSE())</f>
        <v>0</v>
      </c>
      <c r="AC10" s="34" t="b">
        <f aca="false">IFERROR(IF('Patent Portfolio'!AI10="Survived",TRUE(),FALSE()),FALSE())</f>
        <v>0</v>
      </c>
      <c r="AD10" s="34" t="b">
        <f aca="false">IFERROR(IF(AND('Patent Portfolio'!AJ10="Clean",'Patent Portfolio'!AL10="None"),TRUE(),FALSE()),FALSE())</f>
        <v>1</v>
      </c>
      <c r="AE10" s="34" t="b">
        <f aca="false">IFERROR(IF(N('Patent Portfolio'!AG10)&gt;=15,TRUE(),FALSE()),FALSE())</f>
        <v>0</v>
      </c>
      <c r="AF10" s="34" t="b">
        <f aca="false">IFERROR(IF(AND(N('Patent Portfolio'!AO10)&gt;=2,N('Patent Portfolio'!AB10)&gt;=2),TRUE(),FALSE()),FALSE())</f>
        <v>1</v>
      </c>
      <c r="AG10" s="34" t="b">
        <f aca="false">IFERROR(IF(OR(N('Patent Portfolio'!AC10)&lt;=1,N('Patent Portfolio'!U10)&lt;5,N('Patent Portfolio'!AD10)&lt;=1),TRUE(),FALSE()),FALSE())</f>
        <v>1</v>
      </c>
      <c r="AH10" s="34" t="b">
        <f aca="false">IFERROR(IF(AND(N('Patent Portfolio'!U10)&gt;=1,N('Patent Portfolio'!U10)&lt;=4),TRUE(),FALSE()),FALSE())</f>
        <v>0</v>
      </c>
      <c r="AI10" s="34" t="b">
        <f aca="false">IFERROR(IF(AND('Patent Portfolio'!C10&lt;&gt;"",'Patent Portfolio'!F10&lt;&gt;""),TRUE(),FALSE()),FALSE())</f>
        <v>1</v>
      </c>
      <c r="AJ10" s="31" t="n">
        <f aca="false">COUNTIF(C10:AI10,TRUE())</f>
        <v>22</v>
      </c>
    </row>
    <row r="11" customFormat="false" ht="15" hidden="false" customHeight="true" outlineLevel="0" collapsed="false">
      <c r="A11" s="32" t="str">
        <f aca="false">'Patent Portfolio'!A11</f>
        <v>P-009</v>
      </c>
      <c r="B11" s="33" t="str">
        <f aca="false">'Patent Portfolio'!B11</f>
        <v>Visual SLAM for indoor robot navigation</v>
      </c>
      <c r="C11" s="34" t="b">
        <f aca="false">IFERROR(IF('Patent Portfolio'!C11&lt;&gt;"",TRUE(),FALSE()),FALSE())</f>
        <v>1</v>
      </c>
      <c r="D11" s="34" t="b">
        <f aca="false">IFERROR(IF(AND(N('Patent Portfolio'!H11)&gt;=2,'Patent Portfolio'!I11&lt;&gt;""),TRUE(),FALSE()),FALSE())</f>
        <v>0</v>
      </c>
      <c r="E11" s="34" t="b">
        <f aca="false">IFERROR(IF('Patent Portfolio'!F11&lt;&gt;"",TRUE(),FALSE()),FALSE())</f>
        <v>1</v>
      </c>
      <c r="F11" s="34" t="b">
        <f aca="false">IFERROR(IF('Patent Portfolio'!E11&lt;&gt;"",TRUE(),FALSE()),FALSE())</f>
        <v>1</v>
      </c>
      <c r="G11" s="34" t="b">
        <f aca="false">IFERROR(IF('Patent Portfolio'!G11&lt;&gt;"",TRUE(),FALSE()),FALSE())</f>
        <v>1</v>
      </c>
      <c r="H11" s="34" t="b">
        <f aca="false">IFERROR(IF(AND(OR(ISNUMBER(SEARCH("process",'Patent Portfolio'!C11)),ISNUMBER(SEARCH("fab",'Patent Portfolio'!C11)),ISNUMBER(SEARCH("manufac",'Patent Portfolio'!C11))),'Patent Portfolio'!K11="Method"),TRUE(),FALSE()),FALSE())</f>
        <v>0</v>
      </c>
      <c r="I11" s="34" t="b">
        <f aca="false">IFERROR(IF(AND(OR(ISNUMBER(SEARCH("material",'Patent Portfolio'!C11)),ISNUMBER(SEARCH("chem",'Patent Portfolio'!C11)),ISNUMBER(SEARCH("battery",'Patent Portfolio'!C11)),ISNUMBER(SEARCH("electrolyte",'Patent Portfolio'!C11)),ISNUMBER(SEARCH("polymer",'Patent Portfolio'!C11))),OR('Patent Portfolio'!K11="Apparatus",'Patent Portfolio'!K11="Method")),TRUE(),FALSE()),FALSE())</f>
        <v>0</v>
      </c>
      <c r="J11" s="34" t="b">
        <f aca="false">IFERROR(IF(AND(OR('Patent Portfolio'!E11="App",'Patent Portfolio'!E11="Middleware",'Patent Portfolio'!E11="Cloud"),OR('Patent Portfolio'!K11="Method",'Patent Portfolio'!K11="CRM")),TRUE(),FALSE()),FALSE())</f>
        <v>0</v>
      </c>
      <c r="K11" s="34" t="b">
        <f aca="false">IFERROR(IF(N('Patent Portfolio'!J11)&gt;=2,TRUE(),FALSE()),FALSE())</f>
        <v>0</v>
      </c>
      <c r="L11" s="34" t="b">
        <f aca="false">IFERROR(IF('Patent Portfolio'!AA11&lt;&gt;"",TRUE(),FALSE()),FALSE())</f>
        <v>1</v>
      </c>
      <c r="M11" s="34" t="b">
        <f aca="false">IFERROR(IF('Patent Portfolio'!K11&lt;&gt;"",TRUE(),FALSE()),FALSE())</f>
        <v>1</v>
      </c>
      <c r="N11" s="34" t="b">
        <f aca="false">IFERROR(IF(OR(N('Patent Portfolio'!O11)&gt;=2,N('Patent Portfolio'!P11)&gt;=2),TRUE(),FALSE()),FALSE())</f>
        <v>1</v>
      </c>
      <c r="O11" s="34" t="b">
        <f aca="false">IFERROR(IF('Patent Portfolio'!X11="Yes",TRUE(),FALSE()),FALSE())</f>
        <v>1</v>
      </c>
      <c r="P11" s="34" t="b">
        <f aca="false">IFERROR(IF(N('Patent Portfolio'!R11)&gt;=2,TRUE(),FALSE()),FALSE())</f>
        <v>1</v>
      </c>
      <c r="Q11" s="34" t="b">
        <f aca="false">IFERROR(IF(N('Patent Portfolio'!U11)&gt;0,TRUE(),FALSE()),FALSE())</f>
        <v>1</v>
      </c>
      <c r="R11" s="34" t="b">
        <f aca="false">IFERROR(IF(OR(N('Patent Portfolio'!L11)=3,N('Patent Portfolio'!L11)&lt;=1),TRUE(),FALSE()),FALSE())</f>
        <v>0</v>
      </c>
      <c r="S11" s="34" t="b">
        <f aca="false">IFERROR(IF(N('Patent Portfolio'!AB11)&gt;=2,TRUE(),FALSE()),FALSE())</f>
        <v>1</v>
      </c>
      <c r="T11" s="34" t="b">
        <f aca="false">IFERROR(IF('Patent Portfolio'!Z11&lt;&gt;"",TRUE(),FALSE()),FALSE())</f>
        <v>1</v>
      </c>
      <c r="U11" s="34" t="b">
        <f aca="false">IFERROR(IF(N('Patent Portfolio'!Q11)&gt;=2,TRUE(),FALSE()),FALSE())</f>
        <v>1</v>
      </c>
      <c r="V11" s="34" t="b">
        <f aca="false">IFERROR(IF(AND(N('Patent Portfolio'!N11)&gt;=2,'Patent Portfolio'!C11&lt;&gt;""),TRUE(),FALSE()),FALSE())</f>
        <v>1</v>
      </c>
      <c r="W11" s="34" t="b">
        <f aca="false">IFERROR(IF(OR('Patent Portfolio'!S11="Pending",'Patent Portfolio'!T11="Yes"),TRUE(),FALSE()),FALSE())</f>
        <v>0</v>
      </c>
      <c r="X11" s="34" t="b">
        <f aca="false">IFERROR(IF(AND(N('Patent Portfolio'!AC11)&gt;=2,N('Patent Portfolio'!L11)&gt;=1),TRUE(),FALSE()),FALSE())</f>
        <v>1</v>
      </c>
      <c r="Y11" s="34" t="b">
        <f aca="false">IFERROR(IF(AND(N('Patent Portfolio'!N11)&gt;=1,OR('Patent Portfolio'!C11&lt;&gt;"",'Patent Portfolio'!I11&lt;&gt;"")),TRUE(),FALSE()),FALSE())</f>
        <v>1</v>
      </c>
      <c r="Z11" s="34" t="b">
        <f aca="false">IFERROR(IF('Patent Portfolio'!C11&lt;&gt;"",TRUE(),FALSE()),FALSE())</f>
        <v>1</v>
      </c>
      <c r="AA11" s="34" t="b">
        <f aca="false">IFERROR(IF('Patent Portfolio'!T11="Yes",TRUE(),FALSE()),FALSE())</f>
        <v>0</v>
      </c>
      <c r="AB11" s="34" t="b">
        <f aca="false">IFERROR(IF(OR('Patent Portfolio'!AK11="Partial",'Patent Portfolio'!AK11="Full"),TRUE(),FALSE()),FALSE())</f>
        <v>1</v>
      </c>
      <c r="AC11" s="34" t="b">
        <f aca="false">IFERROR(IF('Patent Portfolio'!AI11="Survived",TRUE(),FALSE()),FALSE())</f>
        <v>0</v>
      </c>
      <c r="AD11" s="34" t="b">
        <f aca="false">IFERROR(IF(AND('Patent Portfolio'!AJ11="Clean",'Patent Portfolio'!AL11="None"),TRUE(),FALSE()),FALSE())</f>
        <v>1</v>
      </c>
      <c r="AE11" s="34" t="b">
        <f aca="false">IFERROR(IF(N('Patent Portfolio'!AG11)&gt;=15,TRUE(),FALSE()),FALSE())</f>
        <v>1</v>
      </c>
      <c r="AF11" s="34" t="b">
        <f aca="false">IFERROR(IF(AND(N('Patent Portfolio'!AO11)&gt;=2,N('Patent Portfolio'!AB11)&gt;=2),TRUE(),FALSE()),FALSE())</f>
        <v>1</v>
      </c>
      <c r="AG11" s="34" t="b">
        <f aca="false">IFERROR(IF(OR(N('Patent Portfolio'!AC11)&lt;=1,N('Patent Portfolio'!U11)&lt;5,N('Patent Portfolio'!AD11)&lt;=1),TRUE(),FALSE()),FALSE())</f>
        <v>0</v>
      </c>
      <c r="AH11" s="34" t="b">
        <f aca="false">IFERROR(IF(AND(N('Patent Portfolio'!U11)&gt;=1,N('Patent Portfolio'!U11)&lt;=4),TRUE(),FALSE()),FALSE())</f>
        <v>0</v>
      </c>
      <c r="AI11" s="34" t="b">
        <f aca="false">IFERROR(IF(AND('Patent Portfolio'!C11&lt;&gt;"",'Patent Portfolio'!F11&lt;&gt;""),TRUE(),FALSE()),FALSE())</f>
        <v>1</v>
      </c>
      <c r="AJ11" s="31" t="n">
        <f aca="false">COUNTIF(C11:AI11,TRUE())</f>
        <v>22</v>
      </c>
    </row>
    <row r="12" customFormat="false" ht="15" hidden="false" customHeight="true" outlineLevel="0" collapsed="false">
      <c r="A12" s="32" t="str">
        <f aca="false">'Patent Portfolio'!A12</f>
        <v>P-010</v>
      </c>
      <c r="B12" s="33" t="str">
        <f aca="false">'Patent Portfolio'!B12</f>
        <v>USB-C power delivery handshake extension</v>
      </c>
      <c r="C12" s="34" t="b">
        <f aca="false">IFERROR(IF('Patent Portfolio'!C12&lt;&gt;"",TRUE(),FALSE()),FALSE())</f>
        <v>1</v>
      </c>
      <c r="D12" s="34" t="b">
        <f aca="false">IFERROR(IF(AND(N('Patent Portfolio'!H12)&gt;=2,'Patent Portfolio'!I12&lt;&gt;""),TRUE(),FALSE()),FALSE())</f>
        <v>1</v>
      </c>
      <c r="E12" s="34" t="b">
        <f aca="false">IFERROR(IF('Patent Portfolio'!F12&lt;&gt;"",TRUE(),FALSE()),FALSE())</f>
        <v>1</v>
      </c>
      <c r="F12" s="34" t="b">
        <f aca="false">IFERROR(IF('Patent Portfolio'!E12&lt;&gt;"",TRUE(),FALSE()),FALSE())</f>
        <v>1</v>
      </c>
      <c r="G12" s="34" t="b">
        <f aca="false">IFERROR(IF('Patent Portfolio'!G12&lt;&gt;"",TRUE(),FALSE()),FALSE())</f>
        <v>1</v>
      </c>
      <c r="H12" s="34" t="b">
        <f aca="false">IFERROR(IF(AND(OR(ISNUMBER(SEARCH("process",'Patent Portfolio'!C12)),ISNUMBER(SEARCH("fab",'Patent Portfolio'!C12)),ISNUMBER(SEARCH("manufac",'Patent Portfolio'!C12))),'Patent Portfolio'!K12="Method"),TRUE(),FALSE()),FALSE())</f>
        <v>0</v>
      </c>
      <c r="I12" s="34" t="b">
        <f aca="false">IFERROR(IF(AND(OR(ISNUMBER(SEARCH("material",'Patent Portfolio'!C12)),ISNUMBER(SEARCH("chem",'Patent Portfolio'!C12)),ISNUMBER(SEARCH("battery",'Patent Portfolio'!C12)),ISNUMBER(SEARCH("electrolyte",'Patent Portfolio'!C12)),ISNUMBER(SEARCH("polymer",'Patent Portfolio'!C12))),OR('Patent Portfolio'!K12="Apparatus",'Patent Portfolio'!K12="Method")),TRUE(),FALSE()),FALSE())</f>
        <v>0</v>
      </c>
      <c r="J12" s="34" t="b">
        <f aca="false">IFERROR(IF(AND(OR('Patent Portfolio'!E12="App",'Patent Portfolio'!E12="Middleware",'Patent Portfolio'!E12="Cloud"),OR('Patent Portfolio'!K12="Method",'Patent Portfolio'!K12="CRM")),TRUE(),FALSE()),FALSE())</f>
        <v>0</v>
      </c>
      <c r="K12" s="34" t="b">
        <f aca="false">IFERROR(IF(N('Patent Portfolio'!J12)&gt;=2,TRUE(),FALSE()),FALSE())</f>
        <v>1</v>
      </c>
      <c r="L12" s="34" t="b">
        <f aca="false">IFERROR(IF('Patent Portfolio'!AA12&lt;&gt;"",TRUE(),FALSE()),FALSE())</f>
        <v>1</v>
      </c>
      <c r="M12" s="34" t="b">
        <f aca="false">IFERROR(IF('Patent Portfolio'!K12&lt;&gt;"",TRUE(),FALSE()),FALSE())</f>
        <v>1</v>
      </c>
      <c r="N12" s="34" t="b">
        <f aca="false">IFERROR(IF(OR(N('Patent Portfolio'!O12)&gt;=2,N('Patent Portfolio'!P12)&gt;=2),TRUE(),FALSE()),FALSE())</f>
        <v>1</v>
      </c>
      <c r="O12" s="34" t="b">
        <f aca="false">IFERROR(IF('Patent Portfolio'!X12="Yes",TRUE(),FALSE()),FALSE())</f>
        <v>1</v>
      </c>
      <c r="P12" s="34" t="b">
        <f aca="false">IFERROR(IF(N('Patent Portfolio'!R12)&gt;=2,TRUE(),FALSE()),FALSE())</f>
        <v>1</v>
      </c>
      <c r="Q12" s="34" t="b">
        <f aca="false">IFERROR(IF(N('Patent Portfolio'!U12)&gt;0,TRUE(),FALSE()),FALSE())</f>
        <v>1</v>
      </c>
      <c r="R12" s="34" t="b">
        <f aca="false">IFERROR(IF(OR(N('Patent Portfolio'!L12)=3,N('Patent Portfolio'!L12)&lt;=1),TRUE(),FALSE()),FALSE())</f>
        <v>1</v>
      </c>
      <c r="S12" s="34" t="b">
        <f aca="false">IFERROR(IF(N('Patent Portfolio'!AB12)&gt;=2,TRUE(),FALSE()),FALSE())</f>
        <v>1</v>
      </c>
      <c r="T12" s="34" t="b">
        <f aca="false">IFERROR(IF('Patent Portfolio'!Z12&lt;&gt;"",TRUE(),FALSE()),FALSE())</f>
        <v>0</v>
      </c>
      <c r="U12" s="34" t="b">
        <f aca="false">IFERROR(IF(N('Patent Portfolio'!Q12)&gt;=2,TRUE(),FALSE()),FALSE())</f>
        <v>1</v>
      </c>
      <c r="V12" s="34" t="b">
        <f aca="false">IFERROR(IF(AND(N('Patent Portfolio'!N12)&gt;=2,'Patent Portfolio'!C12&lt;&gt;""),TRUE(),FALSE()),FALSE())</f>
        <v>1</v>
      </c>
      <c r="W12" s="34" t="b">
        <f aca="false">IFERROR(IF(OR('Patent Portfolio'!S12="Pending",'Patent Portfolio'!T12="Yes"),TRUE(),FALSE()),FALSE())</f>
        <v>0</v>
      </c>
      <c r="X12" s="34" t="b">
        <f aca="false">IFERROR(IF(AND(N('Patent Portfolio'!AC12)&gt;=2,N('Patent Portfolio'!L12)&gt;=1),TRUE(),FALSE()),FALSE())</f>
        <v>1</v>
      </c>
      <c r="Y12" s="34" t="b">
        <f aca="false">IFERROR(IF(AND(N('Patent Portfolio'!N12)&gt;=1,OR('Patent Portfolio'!C12&lt;&gt;"",'Patent Portfolio'!I12&lt;&gt;"")),TRUE(),FALSE()),FALSE())</f>
        <v>1</v>
      </c>
      <c r="Z12" s="34" t="b">
        <f aca="false">IFERROR(IF('Patent Portfolio'!C12&lt;&gt;"",TRUE(),FALSE()),FALSE())</f>
        <v>1</v>
      </c>
      <c r="AA12" s="34" t="b">
        <f aca="false">IFERROR(IF('Patent Portfolio'!T12="Yes",TRUE(),FALSE()),FALSE())</f>
        <v>0</v>
      </c>
      <c r="AB12" s="34" t="b">
        <f aca="false">IFERROR(IF(OR('Patent Portfolio'!AK12="Partial",'Patent Portfolio'!AK12="Full"),TRUE(),FALSE()),FALSE())</f>
        <v>1</v>
      </c>
      <c r="AC12" s="34" t="b">
        <f aca="false">IFERROR(IF('Patent Portfolio'!AI12="Survived",TRUE(),FALSE()),FALSE())</f>
        <v>1</v>
      </c>
      <c r="AD12" s="34" t="b">
        <f aca="false">IFERROR(IF(AND('Patent Portfolio'!AJ12="Clean",'Patent Portfolio'!AL12="None"),TRUE(),FALSE()),FALSE())</f>
        <v>1</v>
      </c>
      <c r="AE12" s="34" t="b">
        <f aca="false">IFERROR(IF(N('Patent Portfolio'!AG12)&gt;=15,TRUE(),FALSE()),FALSE())</f>
        <v>1</v>
      </c>
      <c r="AF12" s="34" t="b">
        <f aca="false">IFERROR(IF(AND(N('Patent Portfolio'!AO12)&gt;=2,N('Patent Portfolio'!AB12)&gt;=2),TRUE(),FALSE()),FALSE())</f>
        <v>1</v>
      </c>
      <c r="AG12" s="34" t="b">
        <f aca="false">IFERROR(IF(OR(N('Patent Portfolio'!AC12)&lt;=1,N('Patent Portfolio'!U12)&lt;5,N('Patent Portfolio'!AD12)&lt;=1),TRUE(),FALSE()),FALSE())</f>
        <v>0</v>
      </c>
      <c r="AH12" s="34" t="b">
        <f aca="false">IFERROR(IF(AND(N('Patent Portfolio'!U12)&gt;=1,N('Patent Portfolio'!U12)&lt;=4),TRUE(),FALSE()),FALSE())</f>
        <v>0</v>
      </c>
      <c r="AI12" s="34" t="b">
        <f aca="false">IFERROR(IF(AND('Patent Portfolio'!C12&lt;&gt;"",'Patent Portfolio'!F12&lt;&gt;""),TRUE(),FALSE()),FALSE())</f>
        <v>1</v>
      </c>
      <c r="AJ12" s="31" t="n">
        <f aca="false">COUNTIF(C12:AI12,TRUE())</f>
        <v>25</v>
      </c>
    </row>
    <row r="13" customFormat="false" ht="23.25" hidden="false" customHeight="true" outlineLevel="0" collapsed="false">
      <c r="A13" s="32" t="str">
        <f aca="false">'Patent Portfolio'!A13</f>
        <v>P-011</v>
      </c>
      <c r="B13" s="33" t="str">
        <f aca="false">'Patent Portfolio'!B13</f>
        <v>Atomic layer deposition recipe for high-k dielectric</v>
      </c>
      <c r="C13" s="34" t="b">
        <f aca="false">IFERROR(IF('Patent Portfolio'!C13&lt;&gt;"",TRUE(),FALSE()),FALSE())</f>
        <v>1</v>
      </c>
      <c r="D13" s="34" t="b">
        <f aca="false">IFERROR(IF(AND(N('Patent Portfolio'!H13)&gt;=2,'Patent Portfolio'!I13&lt;&gt;""),TRUE(),FALSE()),FALSE())</f>
        <v>0</v>
      </c>
      <c r="E13" s="34" t="b">
        <f aca="false">IFERROR(IF('Patent Portfolio'!F13&lt;&gt;"",TRUE(),FALSE()),FALSE())</f>
        <v>1</v>
      </c>
      <c r="F13" s="34" t="b">
        <f aca="false">IFERROR(IF('Patent Portfolio'!E13&lt;&gt;"",TRUE(),FALSE()),FALSE())</f>
        <v>1</v>
      </c>
      <c r="G13" s="34" t="b">
        <f aca="false">IFERROR(IF('Patent Portfolio'!G13&lt;&gt;"",TRUE(),FALSE()),FALSE())</f>
        <v>1</v>
      </c>
      <c r="H13" s="34" t="b">
        <f aca="false">IFERROR(IF(AND(OR(ISNUMBER(SEARCH("process",'Patent Portfolio'!C13)),ISNUMBER(SEARCH("fab",'Patent Portfolio'!C13)),ISNUMBER(SEARCH("manufac",'Patent Portfolio'!C13))),'Patent Portfolio'!K13="Method"),TRUE(),FALSE()),FALSE())</f>
        <v>1</v>
      </c>
      <c r="I13" s="34" t="b">
        <f aca="false">IFERROR(IF(AND(OR(ISNUMBER(SEARCH("material",'Patent Portfolio'!C13)),ISNUMBER(SEARCH("chem",'Patent Portfolio'!C13)),ISNUMBER(SEARCH("battery",'Patent Portfolio'!C13)),ISNUMBER(SEARCH("electrolyte",'Patent Portfolio'!C13)),ISNUMBER(SEARCH("polymer",'Patent Portfolio'!C13))),OR('Patent Portfolio'!K13="Apparatus",'Patent Portfolio'!K13="Method")),TRUE(),FALSE()),FALSE())</f>
        <v>0</v>
      </c>
      <c r="J13" s="34" t="b">
        <f aca="false">IFERROR(IF(AND(OR('Patent Portfolio'!E13="App",'Patent Portfolio'!E13="Middleware",'Patent Portfolio'!E13="Cloud"),OR('Patent Portfolio'!K13="Method",'Patent Portfolio'!K13="CRM")),TRUE(),FALSE()),FALSE())</f>
        <v>0</v>
      </c>
      <c r="K13" s="34" t="b">
        <f aca="false">IFERROR(IF(N('Patent Portfolio'!J13)&gt;=2,TRUE(),FALSE()),FALSE())</f>
        <v>0</v>
      </c>
      <c r="L13" s="34" t="b">
        <f aca="false">IFERROR(IF('Patent Portfolio'!AA13&lt;&gt;"",TRUE(),FALSE()),FALSE())</f>
        <v>1</v>
      </c>
      <c r="M13" s="34" t="b">
        <f aca="false">IFERROR(IF('Patent Portfolio'!K13&lt;&gt;"",TRUE(),FALSE()),FALSE())</f>
        <v>1</v>
      </c>
      <c r="N13" s="34" t="b">
        <f aca="false">IFERROR(IF(OR(N('Patent Portfolio'!O13)&gt;=2,N('Patent Portfolio'!P13)&gt;=2),TRUE(),FALSE()),FALSE())</f>
        <v>0</v>
      </c>
      <c r="O13" s="34" t="b">
        <f aca="false">IFERROR(IF('Patent Portfolio'!X13="Yes",TRUE(),FALSE()),FALSE())</f>
        <v>1</v>
      </c>
      <c r="P13" s="34" t="b">
        <f aca="false">IFERROR(IF(N('Patent Portfolio'!R13)&gt;=2,TRUE(),FALSE()),FALSE())</f>
        <v>1</v>
      </c>
      <c r="Q13" s="34" t="b">
        <f aca="false">IFERROR(IF(N('Patent Portfolio'!U13)&gt;0,TRUE(),FALSE()),FALSE())</f>
        <v>1</v>
      </c>
      <c r="R13" s="34" t="b">
        <f aca="false">IFERROR(IF(OR(N('Patent Portfolio'!L13)=3,N('Patent Portfolio'!L13)&lt;=1),TRUE(),FALSE()),FALSE())</f>
        <v>0</v>
      </c>
      <c r="S13" s="34" t="b">
        <f aca="false">IFERROR(IF(N('Patent Portfolio'!AB13)&gt;=2,TRUE(),FALSE()),FALSE())</f>
        <v>0</v>
      </c>
      <c r="T13" s="34" t="b">
        <f aca="false">IFERROR(IF('Patent Portfolio'!Z13&lt;&gt;"",TRUE(),FALSE()),FALSE())</f>
        <v>0</v>
      </c>
      <c r="U13" s="34" t="b">
        <f aca="false">IFERROR(IF(N('Patent Portfolio'!Q13)&gt;=2,TRUE(),FALSE()),FALSE())</f>
        <v>0</v>
      </c>
      <c r="V13" s="34" t="b">
        <f aca="false">IFERROR(IF(AND(N('Patent Portfolio'!N13)&gt;=2,'Patent Portfolio'!C13&lt;&gt;""),TRUE(),FALSE()),FALSE())</f>
        <v>1</v>
      </c>
      <c r="W13" s="34" t="b">
        <f aca="false">IFERROR(IF(OR('Patent Portfolio'!S13="Pending",'Patent Portfolio'!T13="Yes"),TRUE(),FALSE()),FALSE())</f>
        <v>1</v>
      </c>
      <c r="X13" s="34" t="b">
        <f aca="false">IFERROR(IF(AND(N('Patent Portfolio'!AC13)&gt;=2,N('Patent Portfolio'!L13)&gt;=1),TRUE(),FALSE()),FALSE())</f>
        <v>1</v>
      </c>
      <c r="Y13" s="34" t="b">
        <f aca="false">IFERROR(IF(AND(N('Patent Portfolio'!N13)&gt;=1,OR('Patent Portfolio'!C13&lt;&gt;"",'Patent Portfolio'!I13&lt;&gt;"")),TRUE(),FALSE()),FALSE())</f>
        <v>1</v>
      </c>
      <c r="Z13" s="34" t="b">
        <f aca="false">IFERROR(IF('Patent Portfolio'!C13&lt;&gt;"",TRUE(),FALSE()),FALSE())</f>
        <v>1</v>
      </c>
      <c r="AA13" s="34" t="b">
        <f aca="false">IFERROR(IF('Patent Portfolio'!T13="Yes",TRUE(),FALSE()),FALSE())</f>
        <v>1</v>
      </c>
      <c r="AB13" s="34" t="b">
        <f aca="false">IFERROR(IF(OR('Patent Portfolio'!AK13="Partial",'Patent Portfolio'!AK13="Full"),TRUE(),FALSE()),FALSE())</f>
        <v>0</v>
      </c>
      <c r="AC13" s="34" t="b">
        <f aca="false">IFERROR(IF('Patent Portfolio'!AI13="Survived",TRUE(),FALSE()),FALSE())</f>
        <v>0</v>
      </c>
      <c r="AD13" s="34" t="b">
        <f aca="false">IFERROR(IF(AND('Patent Portfolio'!AJ13="Clean",'Patent Portfolio'!AL13="None"),TRUE(),FALSE()),FALSE())</f>
        <v>1</v>
      </c>
      <c r="AE13" s="34" t="b">
        <f aca="false">IFERROR(IF(N('Patent Portfolio'!AG13)&gt;=15,TRUE(),FALSE()),FALSE())</f>
        <v>1</v>
      </c>
      <c r="AF13" s="34" t="b">
        <f aca="false">IFERROR(IF(AND(N('Patent Portfolio'!AO13)&gt;=2,N('Patent Portfolio'!AB13)&gt;=2),TRUE(),FALSE()),FALSE())</f>
        <v>0</v>
      </c>
      <c r="AG13" s="34" t="b">
        <f aca="false">IFERROR(IF(OR(N('Patent Portfolio'!AC13)&lt;=1,N('Patent Portfolio'!U13)&lt;5,N('Patent Portfolio'!AD13)&lt;=1),TRUE(),FALSE()),FALSE())</f>
        <v>0</v>
      </c>
      <c r="AH13" s="34" t="b">
        <f aca="false">IFERROR(IF(AND(N('Patent Portfolio'!U13)&gt;=1,N('Patent Portfolio'!U13)&lt;=4),TRUE(),FALSE()),FALSE())</f>
        <v>0</v>
      </c>
      <c r="AI13" s="34" t="b">
        <f aca="false">IFERROR(IF(AND('Patent Portfolio'!C13&lt;&gt;"",'Patent Portfolio'!F13&lt;&gt;""),TRUE(),FALSE()),FALSE())</f>
        <v>1</v>
      </c>
      <c r="AJ13" s="31" t="n">
        <f aca="false">COUNTIF(C13:AI13,TRUE())</f>
        <v>19</v>
      </c>
    </row>
    <row r="14" customFormat="false" ht="23.25" hidden="false" customHeight="true" outlineLevel="0" collapsed="false">
      <c r="A14" s="32" t="str">
        <f aca="false">'Patent Portfolio'!A14</f>
        <v>P-012</v>
      </c>
      <c r="B14" s="33" t="str">
        <f aca="false">'Patent Portfolio'!B14</f>
        <v>Predictive maintenance ML for industrial pumps</v>
      </c>
      <c r="C14" s="34" t="b">
        <f aca="false">IFERROR(IF('Patent Portfolio'!C14&lt;&gt;"",TRUE(),FALSE()),FALSE())</f>
        <v>1</v>
      </c>
      <c r="D14" s="34" t="b">
        <f aca="false">IFERROR(IF(AND(N('Patent Portfolio'!H14)&gt;=2,'Patent Portfolio'!I14&lt;&gt;""),TRUE(),FALSE()),FALSE())</f>
        <v>0</v>
      </c>
      <c r="E14" s="34" t="b">
        <f aca="false">IFERROR(IF('Patent Portfolio'!F14&lt;&gt;"",TRUE(),FALSE()),FALSE())</f>
        <v>1</v>
      </c>
      <c r="F14" s="34" t="b">
        <f aca="false">IFERROR(IF('Patent Portfolio'!E14&lt;&gt;"",TRUE(),FALSE()),FALSE())</f>
        <v>1</v>
      </c>
      <c r="G14" s="34" t="b">
        <f aca="false">IFERROR(IF('Patent Portfolio'!G14&lt;&gt;"",TRUE(),FALSE()),FALSE())</f>
        <v>1</v>
      </c>
      <c r="H14" s="34" t="b">
        <f aca="false">IFERROR(IF(AND(OR(ISNUMBER(SEARCH("process",'Patent Portfolio'!C14)),ISNUMBER(SEARCH("fab",'Patent Portfolio'!C14)),ISNUMBER(SEARCH("manufac",'Patent Portfolio'!C14))),'Patent Portfolio'!K14="Method"),TRUE(),FALSE()),FALSE())</f>
        <v>0</v>
      </c>
      <c r="I14" s="34" t="b">
        <f aca="false">IFERROR(IF(AND(OR(ISNUMBER(SEARCH("material",'Patent Portfolio'!C14)),ISNUMBER(SEARCH("chem",'Patent Portfolio'!C14)),ISNUMBER(SEARCH("battery",'Patent Portfolio'!C14)),ISNUMBER(SEARCH("electrolyte",'Patent Portfolio'!C14)),ISNUMBER(SEARCH("polymer",'Patent Portfolio'!C14))),OR('Patent Portfolio'!K14="Apparatus",'Patent Portfolio'!K14="Method")),TRUE(),FALSE()),FALSE())</f>
        <v>0</v>
      </c>
      <c r="J14" s="34" t="b">
        <f aca="false">IFERROR(IF(AND(OR('Patent Portfolio'!E14="App",'Patent Portfolio'!E14="Middleware",'Patent Portfolio'!E14="Cloud"),OR('Patent Portfolio'!K14="Method",'Patent Portfolio'!K14="CRM")),TRUE(),FALSE()),FALSE())</f>
        <v>1</v>
      </c>
      <c r="K14" s="34" t="b">
        <f aca="false">IFERROR(IF(N('Patent Portfolio'!J14)&gt;=2,TRUE(),FALSE()),FALSE())</f>
        <v>0</v>
      </c>
      <c r="L14" s="34" t="b">
        <f aca="false">IFERROR(IF('Patent Portfolio'!AA14&lt;&gt;"",TRUE(),FALSE()),FALSE())</f>
        <v>1</v>
      </c>
      <c r="M14" s="34" t="b">
        <f aca="false">IFERROR(IF('Patent Portfolio'!K14&lt;&gt;"",TRUE(),FALSE()),FALSE())</f>
        <v>1</v>
      </c>
      <c r="N14" s="34" t="b">
        <f aca="false">IFERROR(IF(OR(N('Patent Portfolio'!O14)&gt;=2,N('Patent Portfolio'!P14)&gt;=2),TRUE(),FALSE()),FALSE())</f>
        <v>1</v>
      </c>
      <c r="O14" s="34" t="b">
        <f aca="false">IFERROR(IF('Patent Portfolio'!X14="Yes",TRUE(),FALSE()),FALSE())</f>
        <v>0</v>
      </c>
      <c r="P14" s="34" t="b">
        <f aca="false">IFERROR(IF(N('Patent Portfolio'!R14)&gt;=2,TRUE(),FALSE()),FALSE())</f>
        <v>1</v>
      </c>
      <c r="Q14" s="34" t="b">
        <f aca="false">IFERROR(IF(N('Patent Portfolio'!U14)&gt;0,TRUE(),FALSE()),FALSE())</f>
        <v>1</v>
      </c>
      <c r="R14" s="34" t="b">
        <f aca="false">IFERROR(IF(OR(N('Patent Portfolio'!L14)=3,N('Patent Portfolio'!L14)&lt;=1),TRUE(),FALSE()),FALSE())</f>
        <v>1</v>
      </c>
      <c r="S14" s="34" t="b">
        <f aca="false">IFERROR(IF(N('Patent Portfolio'!AB14)&gt;=2,TRUE(),FALSE()),FALSE())</f>
        <v>1</v>
      </c>
      <c r="T14" s="34" t="b">
        <f aca="false">IFERROR(IF('Patent Portfolio'!Z14&lt;&gt;"",TRUE(),FALSE()),FALSE())</f>
        <v>1</v>
      </c>
      <c r="U14" s="34" t="b">
        <f aca="false">IFERROR(IF(N('Patent Portfolio'!Q14)&gt;=2,TRUE(),FALSE()),FALSE())</f>
        <v>0</v>
      </c>
      <c r="V14" s="34" t="b">
        <f aca="false">IFERROR(IF(AND(N('Patent Portfolio'!N14)&gt;=2,'Patent Portfolio'!C14&lt;&gt;""),TRUE(),FALSE()),FALSE())</f>
        <v>0</v>
      </c>
      <c r="W14" s="34" t="b">
        <f aca="false">IFERROR(IF(OR('Patent Portfolio'!S14="Pending",'Patent Portfolio'!T14="Yes"),TRUE(),FALSE()),FALSE())</f>
        <v>0</v>
      </c>
      <c r="X14" s="34" t="b">
        <f aca="false">IFERROR(IF(AND(N('Patent Portfolio'!AC14)&gt;=2,N('Patent Portfolio'!L14)&gt;=1),TRUE(),FALSE()),FALSE())</f>
        <v>0</v>
      </c>
      <c r="Y14" s="34" t="b">
        <f aca="false">IFERROR(IF(AND(N('Patent Portfolio'!N14)&gt;=1,OR('Patent Portfolio'!C14&lt;&gt;"",'Patent Portfolio'!I14&lt;&gt;"")),TRUE(),FALSE()),FALSE())</f>
        <v>1</v>
      </c>
      <c r="Z14" s="34" t="b">
        <f aca="false">IFERROR(IF('Patent Portfolio'!C14&lt;&gt;"",TRUE(),FALSE()),FALSE())</f>
        <v>1</v>
      </c>
      <c r="AA14" s="34" t="b">
        <f aca="false">IFERROR(IF('Patent Portfolio'!T14="Yes",TRUE(),FALSE()),FALSE())</f>
        <v>0</v>
      </c>
      <c r="AB14" s="34" t="b">
        <f aca="false">IFERROR(IF(OR('Patent Portfolio'!AK14="Partial",'Patent Portfolio'!AK14="Full"),TRUE(),FALSE()),FALSE())</f>
        <v>0</v>
      </c>
      <c r="AC14" s="34" t="b">
        <f aca="false">IFERROR(IF('Patent Portfolio'!AI14="Survived",TRUE(),FALSE()),FALSE())</f>
        <v>0</v>
      </c>
      <c r="AD14" s="34" t="b">
        <f aca="false">IFERROR(IF(AND('Patent Portfolio'!AJ14="Clean",'Patent Portfolio'!AL14="None"),TRUE(),FALSE()),FALSE())</f>
        <v>0</v>
      </c>
      <c r="AE14" s="34" t="b">
        <f aca="false">IFERROR(IF(N('Patent Portfolio'!AG14)&gt;=15,TRUE(),FALSE()),FALSE())</f>
        <v>0</v>
      </c>
      <c r="AF14" s="34" t="b">
        <f aca="false">IFERROR(IF(AND(N('Patent Portfolio'!AO14)&gt;=2,N('Patent Portfolio'!AB14)&gt;=2),TRUE(),FALSE()),FALSE())</f>
        <v>1</v>
      </c>
      <c r="AG14" s="34" t="b">
        <f aca="false">IFERROR(IF(OR(N('Patent Portfolio'!AC14)&lt;=1,N('Patent Portfolio'!U14)&lt;5,N('Patent Portfolio'!AD14)&lt;=1),TRUE(),FALSE()),FALSE())</f>
        <v>1</v>
      </c>
      <c r="AH14" s="34" t="b">
        <f aca="false">IFERROR(IF(AND(N('Patent Portfolio'!U14)&gt;=1,N('Patent Portfolio'!U14)&lt;=4),TRUE(),FALSE()),FALSE())</f>
        <v>0</v>
      </c>
      <c r="AI14" s="34" t="b">
        <f aca="false">IFERROR(IF(AND('Patent Portfolio'!C14&lt;&gt;"",'Patent Portfolio'!F14&lt;&gt;""),TRUE(),FALSE()),FALSE())</f>
        <v>1</v>
      </c>
      <c r="AJ14" s="31" t="n">
        <f aca="false">COUNTIF(C14:AI14,TRUE())</f>
        <v>18</v>
      </c>
    </row>
    <row r="15" customFormat="false" ht="15" hidden="false" customHeight="true" outlineLevel="0" collapsed="false">
      <c r="A15" s="32" t="n">
        <f aca="false">'Patent Portfolio'!A15</f>
        <v>0</v>
      </c>
      <c r="B15" s="33" t="n">
        <f aca="false">'Patent Portfolio'!B15</f>
        <v>0</v>
      </c>
      <c r="C15" s="34" t="b">
        <f aca="false">IFERROR(IF('Patent Portfolio'!C15&lt;&gt;"",TRUE(),FALSE()),FALSE())</f>
        <v>0</v>
      </c>
      <c r="D15" s="34" t="b">
        <f aca="false">IFERROR(IF(AND(N('Patent Portfolio'!H15)&gt;=2,'Patent Portfolio'!I15&lt;&gt;""),TRUE(),FALSE()),FALSE())</f>
        <v>0</v>
      </c>
      <c r="E15" s="34" t="b">
        <f aca="false">IFERROR(IF('Patent Portfolio'!F15&lt;&gt;"",TRUE(),FALSE()),FALSE())</f>
        <v>0</v>
      </c>
      <c r="F15" s="34" t="b">
        <f aca="false">IFERROR(IF('Patent Portfolio'!E15&lt;&gt;"",TRUE(),FALSE()),FALSE())</f>
        <v>0</v>
      </c>
      <c r="G15" s="34" t="b">
        <f aca="false">IFERROR(IF('Patent Portfolio'!G15&lt;&gt;"",TRUE(),FALSE()),FALSE())</f>
        <v>0</v>
      </c>
      <c r="H15" s="34" t="b">
        <f aca="false">IFERROR(IF(AND(OR(ISNUMBER(SEARCH("process",'Patent Portfolio'!C15)),ISNUMBER(SEARCH("fab",'Patent Portfolio'!C15)),ISNUMBER(SEARCH("manufac",'Patent Portfolio'!C15))),'Patent Portfolio'!K15="Method"),TRUE(),FALSE()),FALSE())</f>
        <v>0</v>
      </c>
      <c r="I15" s="34" t="b">
        <f aca="false">IFERROR(IF(AND(OR(ISNUMBER(SEARCH("material",'Patent Portfolio'!C15)),ISNUMBER(SEARCH("chem",'Patent Portfolio'!C15)),ISNUMBER(SEARCH("battery",'Patent Portfolio'!C15)),ISNUMBER(SEARCH("electrolyte",'Patent Portfolio'!C15)),ISNUMBER(SEARCH("polymer",'Patent Portfolio'!C15))),OR('Patent Portfolio'!K15="Apparatus",'Patent Portfolio'!K15="Method")),TRUE(),FALSE()),FALSE())</f>
        <v>0</v>
      </c>
      <c r="J15" s="34" t="b">
        <f aca="false">IFERROR(IF(AND(OR('Patent Portfolio'!E15="App",'Patent Portfolio'!E15="Middleware",'Patent Portfolio'!E15="Cloud"),OR('Patent Portfolio'!K15="Method",'Patent Portfolio'!K15="CRM")),TRUE(),FALSE()),FALSE())</f>
        <v>0</v>
      </c>
      <c r="K15" s="34" t="b">
        <f aca="false">IFERROR(IF(N('Patent Portfolio'!J15)&gt;=2,TRUE(),FALSE()),FALSE())</f>
        <v>0</v>
      </c>
      <c r="L15" s="34" t="b">
        <f aca="false">IFERROR(IF('Patent Portfolio'!AA15&lt;&gt;"",TRUE(),FALSE()),FALSE())</f>
        <v>0</v>
      </c>
      <c r="M15" s="34" t="b">
        <f aca="false">IFERROR(IF('Patent Portfolio'!K15&lt;&gt;"",TRUE(),FALSE()),FALSE())</f>
        <v>0</v>
      </c>
      <c r="N15" s="34" t="b">
        <f aca="false">IFERROR(IF(OR(N('Patent Portfolio'!O15)&gt;=2,N('Patent Portfolio'!P15)&gt;=2),TRUE(),FALSE()),FALSE())</f>
        <v>0</v>
      </c>
      <c r="O15" s="34" t="b">
        <f aca="false">IFERROR(IF('Patent Portfolio'!X15="Yes",TRUE(),FALSE()),FALSE())</f>
        <v>0</v>
      </c>
      <c r="P15" s="34" t="b">
        <f aca="false">IFERROR(IF(N('Patent Portfolio'!R15)&gt;=2,TRUE(),FALSE()),FALSE())</f>
        <v>0</v>
      </c>
      <c r="Q15" s="34" t="b">
        <f aca="false">IFERROR(IF(N('Patent Portfolio'!U15)&gt;0,TRUE(),FALSE()),FALSE())</f>
        <v>0</v>
      </c>
      <c r="R15" s="34" t="b">
        <f aca="false">IFERROR(IF(OR(N('Patent Portfolio'!L15)=3,N('Patent Portfolio'!L15)&lt;=1),TRUE(),FALSE()),FALSE())</f>
        <v>1</v>
      </c>
      <c r="S15" s="34" t="b">
        <f aca="false">IFERROR(IF(N('Patent Portfolio'!AB15)&gt;=2,TRUE(),FALSE()),FALSE())</f>
        <v>0</v>
      </c>
      <c r="T15" s="34" t="b">
        <f aca="false">IFERROR(IF('Patent Portfolio'!Z15&lt;&gt;"",TRUE(),FALSE()),FALSE())</f>
        <v>0</v>
      </c>
      <c r="U15" s="34" t="b">
        <f aca="false">IFERROR(IF(N('Patent Portfolio'!Q15)&gt;=2,TRUE(),FALSE()),FALSE())</f>
        <v>0</v>
      </c>
      <c r="V15" s="34" t="b">
        <f aca="false">IFERROR(IF(AND(N('Patent Portfolio'!N15)&gt;=2,'Patent Portfolio'!C15&lt;&gt;""),TRUE(),FALSE()),FALSE())</f>
        <v>0</v>
      </c>
      <c r="W15" s="34" t="b">
        <f aca="false">IFERROR(IF(OR('Patent Portfolio'!S15="Pending",'Patent Portfolio'!T15="Yes"),TRUE(),FALSE()),FALSE())</f>
        <v>0</v>
      </c>
      <c r="X15" s="34" t="b">
        <f aca="false">IFERROR(IF(AND(N('Patent Portfolio'!AC15)&gt;=2,N('Patent Portfolio'!L15)&gt;=1),TRUE(),FALSE()),FALSE())</f>
        <v>0</v>
      </c>
      <c r="Y15" s="34" t="b">
        <f aca="false">IFERROR(IF(AND(N('Patent Portfolio'!N15)&gt;=1,OR('Patent Portfolio'!C15&lt;&gt;"",'Patent Portfolio'!I15&lt;&gt;"")),TRUE(),FALSE()),FALSE())</f>
        <v>0</v>
      </c>
      <c r="Z15" s="34" t="b">
        <f aca="false">IFERROR(IF('Patent Portfolio'!C15&lt;&gt;"",TRUE(),FALSE()),FALSE())</f>
        <v>0</v>
      </c>
      <c r="AA15" s="34" t="b">
        <f aca="false">IFERROR(IF('Patent Portfolio'!T15="Yes",TRUE(),FALSE()),FALSE())</f>
        <v>0</v>
      </c>
      <c r="AB15" s="34" t="b">
        <f aca="false">IFERROR(IF(OR('Patent Portfolio'!AK15="Partial",'Patent Portfolio'!AK15="Full"),TRUE(),FALSE()),FALSE())</f>
        <v>0</v>
      </c>
      <c r="AC15" s="34" t="b">
        <f aca="false">IFERROR(IF('Patent Portfolio'!AI15="Survived",TRUE(),FALSE()),FALSE())</f>
        <v>0</v>
      </c>
      <c r="AD15" s="34" t="b">
        <f aca="false">IFERROR(IF(AND('Patent Portfolio'!AJ15="Clean",'Patent Portfolio'!AL15="None"),TRUE(),FALSE()),FALSE())</f>
        <v>0</v>
      </c>
      <c r="AE15" s="34" t="b">
        <f aca="false">IFERROR(IF(N('Patent Portfolio'!AG15)&gt;=15,TRUE(),FALSE()),FALSE())</f>
        <v>0</v>
      </c>
      <c r="AF15" s="34" t="b">
        <f aca="false">IFERROR(IF(AND(N('Patent Portfolio'!AO15)&gt;=2,N('Patent Portfolio'!AB15)&gt;=2),TRUE(),FALSE()),FALSE())</f>
        <v>0</v>
      </c>
      <c r="AG15" s="34" t="b">
        <f aca="false">IFERROR(IF(OR(N('Patent Portfolio'!AC15)&lt;=1,N('Patent Portfolio'!U15)&lt;5,N('Patent Portfolio'!AD15)&lt;=1),TRUE(),FALSE()),FALSE())</f>
        <v>1</v>
      </c>
      <c r="AH15" s="34" t="b">
        <f aca="false">IFERROR(IF(AND(N('Patent Portfolio'!U15)&gt;=1,N('Patent Portfolio'!U15)&lt;=4),TRUE(),FALSE()),FALSE())</f>
        <v>0</v>
      </c>
      <c r="AI15" s="34" t="b">
        <f aca="false">IFERROR(IF(AND('Patent Portfolio'!C15&lt;&gt;"",'Patent Portfolio'!F15&lt;&gt;""),TRUE(),FALSE()),FALSE())</f>
        <v>0</v>
      </c>
      <c r="AJ15" s="31" t="n">
        <f aca="false">COUNTIF(C15:AI15,TRUE())</f>
        <v>2</v>
      </c>
    </row>
    <row r="16" customFormat="false" ht="15" hidden="false" customHeight="true" outlineLevel="0" collapsed="false">
      <c r="A16" s="32" t="n">
        <f aca="false">'Patent Portfolio'!A16</f>
        <v>0</v>
      </c>
      <c r="B16" s="33" t="n">
        <f aca="false">'Patent Portfolio'!B16</f>
        <v>0</v>
      </c>
      <c r="C16" s="34" t="b">
        <f aca="false">IFERROR(IF('Patent Portfolio'!C16&lt;&gt;"",TRUE(),FALSE()),FALSE())</f>
        <v>0</v>
      </c>
      <c r="D16" s="34" t="b">
        <f aca="false">IFERROR(IF(AND(N('Patent Portfolio'!H16)&gt;=2,'Patent Portfolio'!I16&lt;&gt;""),TRUE(),FALSE()),FALSE())</f>
        <v>0</v>
      </c>
      <c r="E16" s="34" t="b">
        <f aca="false">IFERROR(IF('Patent Portfolio'!F16&lt;&gt;"",TRUE(),FALSE()),FALSE())</f>
        <v>0</v>
      </c>
      <c r="F16" s="34" t="b">
        <f aca="false">IFERROR(IF('Patent Portfolio'!E16&lt;&gt;"",TRUE(),FALSE()),FALSE())</f>
        <v>0</v>
      </c>
      <c r="G16" s="34" t="b">
        <f aca="false">IFERROR(IF('Patent Portfolio'!G16&lt;&gt;"",TRUE(),FALSE()),FALSE())</f>
        <v>0</v>
      </c>
      <c r="H16" s="34" t="b">
        <f aca="false">IFERROR(IF(AND(OR(ISNUMBER(SEARCH("process",'Patent Portfolio'!C16)),ISNUMBER(SEARCH("fab",'Patent Portfolio'!C16)),ISNUMBER(SEARCH("manufac",'Patent Portfolio'!C16))),'Patent Portfolio'!K16="Method"),TRUE(),FALSE()),FALSE())</f>
        <v>0</v>
      </c>
      <c r="I16" s="34" t="b">
        <f aca="false">IFERROR(IF(AND(OR(ISNUMBER(SEARCH("material",'Patent Portfolio'!C16)),ISNUMBER(SEARCH("chem",'Patent Portfolio'!C16)),ISNUMBER(SEARCH("battery",'Patent Portfolio'!C16)),ISNUMBER(SEARCH("electrolyte",'Patent Portfolio'!C16)),ISNUMBER(SEARCH("polymer",'Patent Portfolio'!C16))),OR('Patent Portfolio'!K16="Apparatus",'Patent Portfolio'!K16="Method")),TRUE(),FALSE()),FALSE())</f>
        <v>0</v>
      </c>
      <c r="J16" s="34" t="b">
        <f aca="false">IFERROR(IF(AND(OR('Patent Portfolio'!E16="App",'Patent Portfolio'!E16="Middleware",'Patent Portfolio'!E16="Cloud"),OR('Patent Portfolio'!K16="Method",'Patent Portfolio'!K16="CRM")),TRUE(),FALSE()),FALSE())</f>
        <v>0</v>
      </c>
      <c r="K16" s="34" t="b">
        <f aca="false">IFERROR(IF(N('Patent Portfolio'!J16)&gt;=2,TRUE(),FALSE()),FALSE())</f>
        <v>0</v>
      </c>
      <c r="L16" s="34" t="b">
        <f aca="false">IFERROR(IF('Patent Portfolio'!AA16&lt;&gt;"",TRUE(),FALSE()),FALSE())</f>
        <v>0</v>
      </c>
      <c r="M16" s="34" t="b">
        <f aca="false">IFERROR(IF('Patent Portfolio'!K16&lt;&gt;"",TRUE(),FALSE()),FALSE())</f>
        <v>0</v>
      </c>
      <c r="N16" s="34" t="b">
        <f aca="false">IFERROR(IF(OR(N('Patent Portfolio'!O16)&gt;=2,N('Patent Portfolio'!P16)&gt;=2),TRUE(),FALSE()),FALSE())</f>
        <v>0</v>
      </c>
      <c r="O16" s="34" t="b">
        <f aca="false">IFERROR(IF('Patent Portfolio'!X16="Yes",TRUE(),FALSE()),FALSE())</f>
        <v>0</v>
      </c>
      <c r="P16" s="34" t="b">
        <f aca="false">IFERROR(IF(N('Patent Portfolio'!R16)&gt;=2,TRUE(),FALSE()),FALSE())</f>
        <v>0</v>
      </c>
      <c r="Q16" s="34" t="b">
        <f aca="false">IFERROR(IF(N('Patent Portfolio'!U16)&gt;0,TRUE(),FALSE()),FALSE())</f>
        <v>0</v>
      </c>
      <c r="R16" s="34" t="b">
        <f aca="false">IFERROR(IF(OR(N('Patent Portfolio'!L16)=3,N('Patent Portfolio'!L16)&lt;=1),TRUE(),FALSE()),FALSE())</f>
        <v>1</v>
      </c>
      <c r="S16" s="34" t="b">
        <f aca="false">IFERROR(IF(N('Patent Portfolio'!AB16)&gt;=2,TRUE(),FALSE()),FALSE())</f>
        <v>0</v>
      </c>
      <c r="T16" s="34" t="b">
        <f aca="false">IFERROR(IF('Patent Portfolio'!Z16&lt;&gt;"",TRUE(),FALSE()),FALSE())</f>
        <v>0</v>
      </c>
      <c r="U16" s="34" t="b">
        <f aca="false">IFERROR(IF(N('Patent Portfolio'!Q16)&gt;=2,TRUE(),FALSE()),FALSE())</f>
        <v>0</v>
      </c>
      <c r="V16" s="34" t="b">
        <f aca="false">IFERROR(IF(AND(N('Patent Portfolio'!N16)&gt;=2,'Patent Portfolio'!C16&lt;&gt;""),TRUE(),FALSE()),FALSE())</f>
        <v>0</v>
      </c>
      <c r="W16" s="34" t="b">
        <f aca="false">IFERROR(IF(OR('Patent Portfolio'!S16="Pending",'Patent Portfolio'!T16="Yes"),TRUE(),FALSE()),FALSE())</f>
        <v>0</v>
      </c>
      <c r="X16" s="34" t="b">
        <f aca="false">IFERROR(IF(AND(N('Patent Portfolio'!AC16)&gt;=2,N('Patent Portfolio'!L16)&gt;=1),TRUE(),FALSE()),FALSE())</f>
        <v>0</v>
      </c>
      <c r="Y16" s="34" t="b">
        <f aca="false">IFERROR(IF(AND(N('Patent Portfolio'!N16)&gt;=1,OR('Patent Portfolio'!C16&lt;&gt;"",'Patent Portfolio'!I16&lt;&gt;"")),TRUE(),FALSE()),FALSE())</f>
        <v>0</v>
      </c>
      <c r="Z16" s="34" t="b">
        <f aca="false">IFERROR(IF('Patent Portfolio'!C16&lt;&gt;"",TRUE(),FALSE()),FALSE())</f>
        <v>0</v>
      </c>
      <c r="AA16" s="34" t="b">
        <f aca="false">IFERROR(IF('Patent Portfolio'!T16="Yes",TRUE(),FALSE()),FALSE())</f>
        <v>0</v>
      </c>
      <c r="AB16" s="34" t="b">
        <f aca="false">IFERROR(IF(OR('Patent Portfolio'!AK16="Partial",'Patent Portfolio'!AK16="Full"),TRUE(),FALSE()),FALSE())</f>
        <v>0</v>
      </c>
      <c r="AC16" s="34" t="b">
        <f aca="false">IFERROR(IF('Patent Portfolio'!AI16="Survived",TRUE(),FALSE()),FALSE())</f>
        <v>0</v>
      </c>
      <c r="AD16" s="34" t="b">
        <f aca="false">IFERROR(IF(AND('Patent Portfolio'!AJ16="Clean",'Patent Portfolio'!AL16="None"),TRUE(),FALSE()),FALSE())</f>
        <v>0</v>
      </c>
      <c r="AE16" s="34" t="b">
        <f aca="false">IFERROR(IF(N('Patent Portfolio'!AG16)&gt;=15,TRUE(),FALSE()),FALSE())</f>
        <v>0</v>
      </c>
      <c r="AF16" s="34" t="b">
        <f aca="false">IFERROR(IF(AND(N('Patent Portfolio'!AO16)&gt;=2,N('Patent Portfolio'!AB16)&gt;=2),TRUE(),FALSE()),FALSE())</f>
        <v>0</v>
      </c>
      <c r="AG16" s="34" t="b">
        <f aca="false">IFERROR(IF(OR(N('Patent Portfolio'!AC16)&lt;=1,N('Patent Portfolio'!U16)&lt;5,N('Patent Portfolio'!AD16)&lt;=1),TRUE(),FALSE()),FALSE())</f>
        <v>1</v>
      </c>
      <c r="AH16" s="34" t="b">
        <f aca="false">IFERROR(IF(AND(N('Patent Portfolio'!U16)&gt;=1,N('Patent Portfolio'!U16)&lt;=4),TRUE(),FALSE()),FALSE())</f>
        <v>0</v>
      </c>
      <c r="AI16" s="34" t="b">
        <f aca="false">IFERROR(IF(AND('Patent Portfolio'!C16&lt;&gt;"",'Patent Portfolio'!F16&lt;&gt;""),TRUE(),FALSE()),FALSE())</f>
        <v>0</v>
      </c>
      <c r="AJ16" s="31" t="n">
        <f aca="false">COUNTIF(C16:AI16,TRUE())</f>
        <v>2</v>
      </c>
    </row>
    <row r="17" customFormat="false" ht="15" hidden="false" customHeight="true" outlineLevel="0" collapsed="false">
      <c r="A17" s="32" t="n">
        <f aca="false">'Patent Portfolio'!A17</f>
        <v>0</v>
      </c>
      <c r="B17" s="33" t="n">
        <f aca="false">'Patent Portfolio'!B17</f>
        <v>0</v>
      </c>
      <c r="C17" s="34" t="b">
        <f aca="false">IFERROR(IF('Patent Portfolio'!C17&lt;&gt;"",TRUE(),FALSE()),FALSE())</f>
        <v>0</v>
      </c>
      <c r="D17" s="34" t="b">
        <f aca="false">IFERROR(IF(AND(N('Patent Portfolio'!H17)&gt;=2,'Patent Portfolio'!I17&lt;&gt;""),TRUE(),FALSE()),FALSE())</f>
        <v>0</v>
      </c>
      <c r="E17" s="34" t="b">
        <f aca="false">IFERROR(IF('Patent Portfolio'!F17&lt;&gt;"",TRUE(),FALSE()),FALSE())</f>
        <v>0</v>
      </c>
      <c r="F17" s="34" t="b">
        <f aca="false">IFERROR(IF('Patent Portfolio'!E17&lt;&gt;"",TRUE(),FALSE()),FALSE())</f>
        <v>0</v>
      </c>
      <c r="G17" s="34" t="b">
        <f aca="false">IFERROR(IF('Patent Portfolio'!G17&lt;&gt;"",TRUE(),FALSE()),FALSE())</f>
        <v>0</v>
      </c>
      <c r="H17" s="34" t="b">
        <f aca="false">IFERROR(IF(AND(OR(ISNUMBER(SEARCH("process",'Patent Portfolio'!C17)),ISNUMBER(SEARCH("fab",'Patent Portfolio'!C17)),ISNUMBER(SEARCH("manufac",'Patent Portfolio'!C17))),'Patent Portfolio'!K17="Method"),TRUE(),FALSE()),FALSE())</f>
        <v>0</v>
      </c>
      <c r="I17" s="34" t="b">
        <f aca="false">IFERROR(IF(AND(OR(ISNUMBER(SEARCH("material",'Patent Portfolio'!C17)),ISNUMBER(SEARCH("chem",'Patent Portfolio'!C17)),ISNUMBER(SEARCH("battery",'Patent Portfolio'!C17)),ISNUMBER(SEARCH("electrolyte",'Patent Portfolio'!C17)),ISNUMBER(SEARCH("polymer",'Patent Portfolio'!C17))),OR('Patent Portfolio'!K17="Apparatus",'Patent Portfolio'!K17="Method")),TRUE(),FALSE()),FALSE())</f>
        <v>0</v>
      </c>
      <c r="J17" s="34" t="b">
        <f aca="false">IFERROR(IF(AND(OR('Patent Portfolio'!E17="App",'Patent Portfolio'!E17="Middleware",'Patent Portfolio'!E17="Cloud"),OR('Patent Portfolio'!K17="Method",'Patent Portfolio'!K17="CRM")),TRUE(),FALSE()),FALSE())</f>
        <v>0</v>
      </c>
      <c r="K17" s="34" t="b">
        <f aca="false">IFERROR(IF(N('Patent Portfolio'!J17)&gt;=2,TRUE(),FALSE()),FALSE())</f>
        <v>0</v>
      </c>
      <c r="L17" s="34" t="b">
        <f aca="false">IFERROR(IF('Patent Portfolio'!AA17&lt;&gt;"",TRUE(),FALSE()),FALSE())</f>
        <v>0</v>
      </c>
      <c r="M17" s="34" t="b">
        <f aca="false">IFERROR(IF('Patent Portfolio'!K17&lt;&gt;"",TRUE(),FALSE()),FALSE())</f>
        <v>0</v>
      </c>
      <c r="N17" s="34" t="b">
        <f aca="false">IFERROR(IF(OR(N('Patent Portfolio'!O17)&gt;=2,N('Patent Portfolio'!P17)&gt;=2),TRUE(),FALSE()),FALSE())</f>
        <v>0</v>
      </c>
      <c r="O17" s="34" t="b">
        <f aca="false">IFERROR(IF('Patent Portfolio'!X17="Yes",TRUE(),FALSE()),FALSE())</f>
        <v>0</v>
      </c>
      <c r="P17" s="34" t="b">
        <f aca="false">IFERROR(IF(N('Patent Portfolio'!R17)&gt;=2,TRUE(),FALSE()),FALSE())</f>
        <v>0</v>
      </c>
      <c r="Q17" s="34" t="b">
        <f aca="false">IFERROR(IF(N('Patent Portfolio'!U17)&gt;0,TRUE(),FALSE()),FALSE())</f>
        <v>0</v>
      </c>
      <c r="R17" s="34" t="b">
        <f aca="false">IFERROR(IF(OR(N('Patent Portfolio'!L17)=3,N('Patent Portfolio'!L17)&lt;=1),TRUE(),FALSE()),FALSE())</f>
        <v>1</v>
      </c>
      <c r="S17" s="34" t="b">
        <f aca="false">IFERROR(IF(N('Patent Portfolio'!AB17)&gt;=2,TRUE(),FALSE()),FALSE())</f>
        <v>0</v>
      </c>
      <c r="T17" s="34" t="b">
        <f aca="false">IFERROR(IF('Patent Portfolio'!Z17&lt;&gt;"",TRUE(),FALSE()),FALSE())</f>
        <v>0</v>
      </c>
      <c r="U17" s="34" t="b">
        <f aca="false">IFERROR(IF(N('Patent Portfolio'!Q17)&gt;=2,TRUE(),FALSE()),FALSE())</f>
        <v>0</v>
      </c>
      <c r="V17" s="34" t="b">
        <f aca="false">IFERROR(IF(AND(N('Patent Portfolio'!N17)&gt;=2,'Patent Portfolio'!C17&lt;&gt;""),TRUE(),FALSE()),FALSE())</f>
        <v>0</v>
      </c>
      <c r="W17" s="34" t="b">
        <f aca="false">IFERROR(IF(OR('Patent Portfolio'!S17="Pending",'Patent Portfolio'!T17="Yes"),TRUE(),FALSE()),FALSE())</f>
        <v>0</v>
      </c>
      <c r="X17" s="34" t="b">
        <f aca="false">IFERROR(IF(AND(N('Patent Portfolio'!AC17)&gt;=2,N('Patent Portfolio'!L17)&gt;=1),TRUE(),FALSE()),FALSE())</f>
        <v>0</v>
      </c>
      <c r="Y17" s="34" t="b">
        <f aca="false">IFERROR(IF(AND(N('Patent Portfolio'!N17)&gt;=1,OR('Patent Portfolio'!C17&lt;&gt;"",'Patent Portfolio'!I17&lt;&gt;"")),TRUE(),FALSE()),FALSE())</f>
        <v>0</v>
      </c>
      <c r="Z17" s="34" t="b">
        <f aca="false">IFERROR(IF('Patent Portfolio'!C17&lt;&gt;"",TRUE(),FALSE()),FALSE())</f>
        <v>0</v>
      </c>
      <c r="AA17" s="34" t="b">
        <f aca="false">IFERROR(IF('Patent Portfolio'!T17="Yes",TRUE(),FALSE()),FALSE())</f>
        <v>0</v>
      </c>
      <c r="AB17" s="34" t="b">
        <f aca="false">IFERROR(IF(OR('Patent Portfolio'!AK17="Partial",'Patent Portfolio'!AK17="Full"),TRUE(),FALSE()),FALSE())</f>
        <v>0</v>
      </c>
      <c r="AC17" s="34" t="b">
        <f aca="false">IFERROR(IF('Patent Portfolio'!AI17="Survived",TRUE(),FALSE()),FALSE())</f>
        <v>0</v>
      </c>
      <c r="AD17" s="34" t="b">
        <f aca="false">IFERROR(IF(AND('Patent Portfolio'!AJ17="Clean",'Patent Portfolio'!AL17="None"),TRUE(),FALSE()),FALSE())</f>
        <v>0</v>
      </c>
      <c r="AE17" s="34" t="b">
        <f aca="false">IFERROR(IF(N('Patent Portfolio'!AG17)&gt;=15,TRUE(),FALSE()),FALSE())</f>
        <v>0</v>
      </c>
      <c r="AF17" s="34" t="b">
        <f aca="false">IFERROR(IF(AND(N('Patent Portfolio'!AO17)&gt;=2,N('Patent Portfolio'!AB17)&gt;=2),TRUE(),FALSE()),FALSE())</f>
        <v>0</v>
      </c>
      <c r="AG17" s="34" t="b">
        <f aca="false">IFERROR(IF(OR(N('Patent Portfolio'!AC17)&lt;=1,N('Patent Portfolio'!U17)&lt;5,N('Patent Portfolio'!AD17)&lt;=1),TRUE(),FALSE()),FALSE())</f>
        <v>1</v>
      </c>
      <c r="AH17" s="34" t="b">
        <f aca="false">IFERROR(IF(AND(N('Patent Portfolio'!U17)&gt;=1,N('Patent Portfolio'!U17)&lt;=4),TRUE(),FALSE()),FALSE())</f>
        <v>0</v>
      </c>
      <c r="AI17" s="34" t="b">
        <f aca="false">IFERROR(IF(AND('Patent Portfolio'!C17&lt;&gt;"",'Patent Portfolio'!F17&lt;&gt;""),TRUE(),FALSE()),FALSE())</f>
        <v>0</v>
      </c>
      <c r="AJ17" s="31" t="n">
        <f aca="false">COUNTIF(C17:AI17,TRUE())</f>
        <v>2</v>
      </c>
    </row>
    <row r="18" customFormat="false" ht="15" hidden="false" customHeight="true" outlineLevel="0" collapsed="false">
      <c r="A18" s="32" t="n">
        <f aca="false">'Patent Portfolio'!A18</f>
        <v>0</v>
      </c>
      <c r="B18" s="33" t="n">
        <f aca="false">'Patent Portfolio'!B18</f>
        <v>0</v>
      </c>
      <c r="C18" s="34" t="b">
        <f aca="false">IFERROR(IF('Patent Portfolio'!C18&lt;&gt;"",TRUE(),FALSE()),FALSE())</f>
        <v>0</v>
      </c>
      <c r="D18" s="34" t="b">
        <f aca="false">IFERROR(IF(AND(N('Patent Portfolio'!H18)&gt;=2,'Patent Portfolio'!I18&lt;&gt;""),TRUE(),FALSE()),FALSE())</f>
        <v>0</v>
      </c>
      <c r="E18" s="34" t="b">
        <f aca="false">IFERROR(IF('Patent Portfolio'!F18&lt;&gt;"",TRUE(),FALSE()),FALSE())</f>
        <v>0</v>
      </c>
      <c r="F18" s="34" t="b">
        <f aca="false">IFERROR(IF('Patent Portfolio'!E18&lt;&gt;"",TRUE(),FALSE()),FALSE())</f>
        <v>0</v>
      </c>
      <c r="G18" s="34" t="b">
        <f aca="false">IFERROR(IF('Patent Portfolio'!G18&lt;&gt;"",TRUE(),FALSE()),FALSE())</f>
        <v>0</v>
      </c>
      <c r="H18" s="34" t="b">
        <f aca="false">IFERROR(IF(AND(OR(ISNUMBER(SEARCH("process",'Patent Portfolio'!C18)),ISNUMBER(SEARCH("fab",'Patent Portfolio'!C18)),ISNUMBER(SEARCH("manufac",'Patent Portfolio'!C18))),'Patent Portfolio'!K18="Method"),TRUE(),FALSE()),FALSE())</f>
        <v>0</v>
      </c>
      <c r="I18" s="34" t="b">
        <f aca="false">IFERROR(IF(AND(OR(ISNUMBER(SEARCH("material",'Patent Portfolio'!C18)),ISNUMBER(SEARCH("chem",'Patent Portfolio'!C18)),ISNUMBER(SEARCH("battery",'Patent Portfolio'!C18)),ISNUMBER(SEARCH("electrolyte",'Patent Portfolio'!C18)),ISNUMBER(SEARCH("polymer",'Patent Portfolio'!C18))),OR('Patent Portfolio'!K18="Apparatus",'Patent Portfolio'!K18="Method")),TRUE(),FALSE()),FALSE())</f>
        <v>0</v>
      </c>
      <c r="J18" s="34" t="b">
        <f aca="false">IFERROR(IF(AND(OR('Patent Portfolio'!E18="App",'Patent Portfolio'!E18="Middleware",'Patent Portfolio'!E18="Cloud"),OR('Patent Portfolio'!K18="Method",'Patent Portfolio'!K18="CRM")),TRUE(),FALSE()),FALSE())</f>
        <v>0</v>
      </c>
      <c r="K18" s="34" t="b">
        <f aca="false">IFERROR(IF(N('Patent Portfolio'!J18)&gt;=2,TRUE(),FALSE()),FALSE())</f>
        <v>0</v>
      </c>
      <c r="L18" s="34" t="b">
        <f aca="false">IFERROR(IF('Patent Portfolio'!AA18&lt;&gt;"",TRUE(),FALSE()),FALSE())</f>
        <v>0</v>
      </c>
      <c r="M18" s="34" t="b">
        <f aca="false">IFERROR(IF('Patent Portfolio'!K18&lt;&gt;"",TRUE(),FALSE()),FALSE())</f>
        <v>0</v>
      </c>
      <c r="N18" s="34" t="b">
        <f aca="false">IFERROR(IF(OR(N('Patent Portfolio'!O18)&gt;=2,N('Patent Portfolio'!P18)&gt;=2),TRUE(),FALSE()),FALSE())</f>
        <v>0</v>
      </c>
      <c r="O18" s="34" t="b">
        <f aca="false">IFERROR(IF('Patent Portfolio'!X18="Yes",TRUE(),FALSE()),FALSE())</f>
        <v>0</v>
      </c>
      <c r="P18" s="34" t="b">
        <f aca="false">IFERROR(IF(N('Patent Portfolio'!R18)&gt;=2,TRUE(),FALSE()),FALSE())</f>
        <v>0</v>
      </c>
      <c r="Q18" s="34" t="b">
        <f aca="false">IFERROR(IF(N('Patent Portfolio'!U18)&gt;0,TRUE(),FALSE()),FALSE())</f>
        <v>0</v>
      </c>
      <c r="R18" s="34" t="b">
        <f aca="false">IFERROR(IF(OR(N('Patent Portfolio'!L18)=3,N('Patent Portfolio'!L18)&lt;=1),TRUE(),FALSE()),FALSE())</f>
        <v>1</v>
      </c>
      <c r="S18" s="34" t="b">
        <f aca="false">IFERROR(IF(N('Patent Portfolio'!AB18)&gt;=2,TRUE(),FALSE()),FALSE())</f>
        <v>0</v>
      </c>
      <c r="T18" s="34" t="b">
        <f aca="false">IFERROR(IF('Patent Portfolio'!Z18&lt;&gt;"",TRUE(),FALSE()),FALSE())</f>
        <v>0</v>
      </c>
      <c r="U18" s="34" t="b">
        <f aca="false">IFERROR(IF(N('Patent Portfolio'!Q18)&gt;=2,TRUE(),FALSE()),FALSE())</f>
        <v>0</v>
      </c>
      <c r="V18" s="34" t="b">
        <f aca="false">IFERROR(IF(AND(N('Patent Portfolio'!N18)&gt;=2,'Patent Portfolio'!C18&lt;&gt;""),TRUE(),FALSE()),FALSE())</f>
        <v>0</v>
      </c>
      <c r="W18" s="34" t="b">
        <f aca="false">IFERROR(IF(OR('Patent Portfolio'!S18="Pending",'Patent Portfolio'!T18="Yes"),TRUE(),FALSE()),FALSE())</f>
        <v>0</v>
      </c>
      <c r="X18" s="34" t="b">
        <f aca="false">IFERROR(IF(AND(N('Patent Portfolio'!AC18)&gt;=2,N('Patent Portfolio'!L18)&gt;=1),TRUE(),FALSE()),FALSE())</f>
        <v>0</v>
      </c>
      <c r="Y18" s="34" t="b">
        <f aca="false">IFERROR(IF(AND(N('Patent Portfolio'!N18)&gt;=1,OR('Patent Portfolio'!C18&lt;&gt;"",'Patent Portfolio'!I18&lt;&gt;"")),TRUE(),FALSE()),FALSE())</f>
        <v>0</v>
      </c>
      <c r="Z18" s="34" t="b">
        <f aca="false">IFERROR(IF('Patent Portfolio'!C18&lt;&gt;"",TRUE(),FALSE()),FALSE())</f>
        <v>0</v>
      </c>
      <c r="AA18" s="34" t="b">
        <f aca="false">IFERROR(IF('Patent Portfolio'!T18="Yes",TRUE(),FALSE()),FALSE())</f>
        <v>0</v>
      </c>
      <c r="AB18" s="34" t="b">
        <f aca="false">IFERROR(IF(OR('Patent Portfolio'!AK18="Partial",'Patent Portfolio'!AK18="Full"),TRUE(),FALSE()),FALSE())</f>
        <v>0</v>
      </c>
      <c r="AC18" s="34" t="b">
        <f aca="false">IFERROR(IF('Patent Portfolio'!AI18="Survived",TRUE(),FALSE()),FALSE())</f>
        <v>0</v>
      </c>
      <c r="AD18" s="34" t="b">
        <f aca="false">IFERROR(IF(AND('Patent Portfolio'!AJ18="Clean",'Patent Portfolio'!AL18="None"),TRUE(),FALSE()),FALSE())</f>
        <v>0</v>
      </c>
      <c r="AE18" s="34" t="b">
        <f aca="false">IFERROR(IF(N('Patent Portfolio'!AG18)&gt;=15,TRUE(),FALSE()),FALSE())</f>
        <v>0</v>
      </c>
      <c r="AF18" s="34" t="b">
        <f aca="false">IFERROR(IF(AND(N('Patent Portfolio'!AO18)&gt;=2,N('Patent Portfolio'!AB18)&gt;=2),TRUE(),FALSE()),FALSE())</f>
        <v>0</v>
      </c>
      <c r="AG18" s="34" t="b">
        <f aca="false">IFERROR(IF(OR(N('Patent Portfolio'!AC18)&lt;=1,N('Patent Portfolio'!U18)&lt;5,N('Patent Portfolio'!AD18)&lt;=1),TRUE(),FALSE()),FALSE())</f>
        <v>1</v>
      </c>
      <c r="AH18" s="34" t="b">
        <f aca="false">IFERROR(IF(AND(N('Patent Portfolio'!U18)&gt;=1,N('Patent Portfolio'!U18)&lt;=4),TRUE(),FALSE()),FALSE())</f>
        <v>0</v>
      </c>
      <c r="AI18" s="34" t="b">
        <f aca="false">IFERROR(IF(AND('Patent Portfolio'!C18&lt;&gt;"",'Patent Portfolio'!F18&lt;&gt;""),TRUE(),FALSE()),FALSE())</f>
        <v>0</v>
      </c>
      <c r="AJ18" s="31" t="n">
        <f aca="false">COUNTIF(C18:AI18,TRUE())</f>
        <v>2</v>
      </c>
    </row>
    <row r="19" customFormat="false" ht="15" hidden="false" customHeight="true" outlineLevel="0" collapsed="false">
      <c r="A19" s="32" t="n">
        <f aca="false">'Patent Portfolio'!A19</f>
        <v>0</v>
      </c>
      <c r="B19" s="33" t="n">
        <f aca="false">'Patent Portfolio'!B19</f>
        <v>0</v>
      </c>
      <c r="C19" s="34" t="b">
        <f aca="false">IFERROR(IF('Patent Portfolio'!C19&lt;&gt;"",TRUE(),FALSE()),FALSE())</f>
        <v>0</v>
      </c>
      <c r="D19" s="34" t="b">
        <f aca="false">IFERROR(IF(AND(N('Patent Portfolio'!H19)&gt;=2,'Patent Portfolio'!I19&lt;&gt;""),TRUE(),FALSE()),FALSE())</f>
        <v>0</v>
      </c>
      <c r="E19" s="34" t="b">
        <f aca="false">IFERROR(IF('Patent Portfolio'!F19&lt;&gt;"",TRUE(),FALSE()),FALSE())</f>
        <v>0</v>
      </c>
      <c r="F19" s="34" t="b">
        <f aca="false">IFERROR(IF('Patent Portfolio'!E19&lt;&gt;"",TRUE(),FALSE()),FALSE())</f>
        <v>0</v>
      </c>
      <c r="G19" s="34" t="b">
        <f aca="false">IFERROR(IF('Patent Portfolio'!G19&lt;&gt;"",TRUE(),FALSE()),FALSE())</f>
        <v>0</v>
      </c>
      <c r="H19" s="34" t="b">
        <f aca="false">IFERROR(IF(AND(OR(ISNUMBER(SEARCH("process",'Patent Portfolio'!C19)),ISNUMBER(SEARCH("fab",'Patent Portfolio'!C19)),ISNUMBER(SEARCH("manufac",'Patent Portfolio'!C19))),'Patent Portfolio'!K19="Method"),TRUE(),FALSE()),FALSE())</f>
        <v>0</v>
      </c>
      <c r="I19" s="34" t="b">
        <f aca="false">IFERROR(IF(AND(OR(ISNUMBER(SEARCH("material",'Patent Portfolio'!C19)),ISNUMBER(SEARCH("chem",'Patent Portfolio'!C19)),ISNUMBER(SEARCH("battery",'Patent Portfolio'!C19)),ISNUMBER(SEARCH("electrolyte",'Patent Portfolio'!C19)),ISNUMBER(SEARCH("polymer",'Patent Portfolio'!C19))),OR('Patent Portfolio'!K19="Apparatus",'Patent Portfolio'!K19="Method")),TRUE(),FALSE()),FALSE())</f>
        <v>0</v>
      </c>
      <c r="J19" s="34" t="b">
        <f aca="false">IFERROR(IF(AND(OR('Patent Portfolio'!E19="App",'Patent Portfolio'!E19="Middleware",'Patent Portfolio'!E19="Cloud"),OR('Patent Portfolio'!K19="Method",'Patent Portfolio'!K19="CRM")),TRUE(),FALSE()),FALSE())</f>
        <v>0</v>
      </c>
      <c r="K19" s="34" t="b">
        <f aca="false">IFERROR(IF(N('Patent Portfolio'!J19)&gt;=2,TRUE(),FALSE()),FALSE())</f>
        <v>0</v>
      </c>
      <c r="L19" s="34" t="b">
        <f aca="false">IFERROR(IF('Patent Portfolio'!AA19&lt;&gt;"",TRUE(),FALSE()),FALSE())</f>
        <v>0</v>
      </c>
      <c r="M19" s="34" t="b">
        <f aca="false">IFERROR(IF('Patent Portfolio'!K19&lt;&gt;"",TRUE(),FALSE()),FALSE())</f>
        <v>0</v>
      </c>
      <c r="N19" s="34" t="b">
        <f aca="false">IFERROR(IF(OR(N('Patent Portfolio'!O19)&gt;=2,N('Patent Portfolio'!P19)&gt;=2),TRUE(),FALSE()),FALSE())</f>
        <v>0</v>
      </c>
      <c r="O19" s="34" t="b">
        <f aca="false">IFERROR(IF('Patent Portfolio'!X19="Yes",TRUE(),FALSE()),FALSE())</f>
        <v>0</v>
      </c>
      <c r="P19" s="34" t="b">
        <f aca="false">IFERROR(IF(N('Patent Portfolio'!R19)&gt;=2,TRUE(),FALSE()),FALSE())</f>
        <v>0</v>
      </c>
      <c r="Q19" s="34" t="b">
        <f aca="false">IFERROR(IF(N('Patent Portfolio'!U19)&gt;0,TRUE(),FALSE()),FALSE())</f>
        <v>0</v>
      </c>
      <c r="R19" s="34" t="b">
        <f aca="false">IFERROR(IF(OR(N('Patent Portfolio'!L19)=3,N('Patent Portfolio'!L19)&lt;=1),TRUE(),FALSE()),FALSE())</f>
        <v>1</v>
      </c>
      <c r="S19" s="34" t="b">
        <f aca="false">IFERROR(IF(N('Patent Portfolio'!AB19)&gt;=2,TRUE(),FALSE()),FALSE())</f>
        <v>0</v>
      </c>
      <c r="T19" s="34" t="b">
        <f aca="false">IFERROR(IF('Patent Portfolio'!Z19&lt;&gt;"",TRUE(),FALSE()),FALSE())</f>
        <v>0</v>
      </c>
      <c r="U19" s="34" t="b">
        <f aca="false">IFERROR(IF(N('Patent Portfolio'!Q19)&gt;=2,TRUE(),FALSE()),FALSE())</f>
        <v>0</v>
      </c>
      <c r="V19" s="34" t="b">
        <f aca="false">IFERROR(IF(AND(N('Patent Portfolio'!N19)&gt;=2,'Patent Portfolio'!C19&lt;&gt;""),TRUE(),FALSE()),FALSE())</f>
        <v>0</v>
      </c>
      <c r="W19" s="34" t="b">
        <f aca="false">IFERROR(IF(OR('Patent Portfolio'!S19="Pending",'Patent Portfolio'!T19="Yes"),TRUE(),FALSE()),FALSE())</f>
        <v>0</v>
      </c>
      <c r="X19" s="34" t="b">
        <f aca="false">IFERROR(IF(AND(N('Patent Portfolio'!AC19)&gt;=2,N('Patent Portfolio'!L19)&gt;=1),TRUE(),FALSE()),FALSE())</f>
        <v>0</v>
      </c>
      <c r="Y19" s="34" t="b">
        <f aca="false">IFERROR(IF(AND(N('Patent Portfolio'!N19)&gt;=1,OR('Patent Portfolio'!C19&lt;&gt;"",'Patent Portfolio'!I19&lt;&gt;"")),TRUE(),FALSE()),FALSE())</f>
        <v>0</v>
      </c>
      <c r="Z19" s="34" t="b">
        <f aca="false">IFERROR(IF('Patent Portfolio'!C19&lt;&gt;"",TRUE(),FALSE()),FALSE())</f>
        <v>0</v>
      </c>
      <c r="AA19" s="34" t="b">
        <f aca="false">IFERROR(IF('Patent Portfolio'!T19="Yes",TRUE(),FALSE()),FALSE())</f>
        <v>0</v>
      </c>
      <c r="AB19" s="34" t="b">
        <f aca="false">IFERROR(IF(OR('Patent Portfolio'!AK19="Partial",'Patent Portfolio'!AK19="Full"),TRUE(),FALSE()),FALSE())</f>
        <v>0</v>
      </c>
      <c r="AC19" s="34" t="b">
        <f aca="false">IFERROR(IF('Patent Portfolio'!AI19="Survived",TRUE(),FALSE()),FALSE())</f>
        <v>0</v>
      </c>
      <c r="AD19" s="34" t="b">
        <f aca="false">IFERROR(IF(AND('Patent Portfolio'!AJ19="Clean",'Patent Portfolio'!AL19="None"),TRUE(),FALSE()),FALSE())</f>
        <v>0</v>
      </c>
      <c r="AE19" s="34" t="b">
        <f aca="false">IFERROR(IF(N('Patent Portfolio'!AG19)&gt;=15,TRUE(),FALSE()),FALSE())</f>
        <v>0</v>
      </c>
      <c r="AF19" s="34" t="b">
        <f aca="false">IFERROR(IF(AND(N('Patent Portfolio'!AO19)&gt;=2,N('Patent Portfolio'!AB19)&gt;=2),TRUE(),FALSE()),FALSE())</f>
        <v>0</v>
      </c>
      <c r="AG19" s="34" t="b">
        <f aca="false">IFERROR(IF(OR(N('Patent Portfolio'!AC19)&lt;=1,N('Patent Portfolio'!U19)&lt;5,N('Patent Portfolio'!AD19)&lt;=1),TRUE(),FALSE()),FALSE())</f>
        <v>1</v>
      </c>
      <c r="AH19" s="34" t="b">
        <f aca="false">IFERROR(IF(AND(N('Patent Portfolio'!U19)&gt;=1,N('Patent Portfolio'!U19)&lt;=4),TRUE(),FALSE()),FALSE())</f>
        <v>0</v>
      </c>
      <c r="AI19" s="34" t="b">
        <f aca="false">IFERROR(IF(AND('Patent Portfolio'!C19&lt;&gt;"",'Patent Portfolio'!F19&lt;&gt;""),TRUE(),FALSE()),FALSE())</f>
        <v>0</v>
      </c>
      <c r="AJ19" s="31" t="n">
        <f aca="false">COUNTIF(C19:AI19,TRUE())</f>
        <v>2</v>
      </c>
    </row>
    <row r="20" customFormat="false" ht="15" hidden="false" customHeight="true" outlineLevel="0" collapsed="false">
      <c r="A20" s="32" t="n">
        <f aca="false">'Patent Portfolio'!A20</f>
        <v>0</v>
      </c>
      <c r="B20" s="33" t="n">
        <f aca="false">'Patent Portfolio'!B20</f>
        <v>0</v>
      </c>
      <c r="C20" s="34" t="b">
        <f aca="false">IFERROR(IF('Patent Portfolio'!C20&lt;&gt;"",TRUE(),FALSE()),FALSE())</f>
        <v>0</v>
      </c>
      <c r="D20" s="34" t="b">
        <f aca="false">IFERROR(IF(AND(N('Patent Portfolio'!H20)&gt;=2,'Patent Portfolio'!I20&lt;&gt;""),TRUE(),FALSE()),FALSE())</f>
        <v>0</v>
      </c>
      <c r="E20" s="34" t="b">
        <f aca="false">IFERROR(IF('Patent Portfolio'!F20&lt;&gt;"",TRUE(),FALSE()),FALSE())</f>
        <v>0</v>
      </c>
      <c r="F20" s="34" t="b">
        <f aca="false">IFERROR(IF('Patent Portfolio'!E20&lt;&gt;"",TRUE(),FALSE()),FALSE())</f>
        <v>0</v>
      </c>
      <c r="G20" s="34" t="b">
        <f aca="false">IFERROR(IF('Patent Portfolio'!G20&lt;&gt;"",TRUE(),FALSE()),FALSE())</f>
        <v>0</v>
      </c>
      <c r="H20" s="34" t="b">
        <f aca="false">IFERROR(IF(AND(OR(ISNUMBER(SEARCH("process",'Patent Portfolio'!C20)),ISNUMBER(SEARCH("fab",'Patent Portfolio'!C20)),ISNUMBER(SEARCH("manufac",'Patent Portfolio'!C20))),'Patent Portfolio'!K20="Method"),TRUE(),FALSE()),FALSE())</f>
        <v>0</v>
      </c>
      <c r="I20" s="34" t="b">
        <f aca="false">IFERROR(IF(AND(OR(ISNUMBER(SEARCH("material",'Patent Portfolio'!C20)),ISNUMBER(SEARCH("chem",'Patent Portfolio'!C20)),ISNUMBER(SEARCH("battery",'Patent Portfolio'!C20)),ISNUMBER(SEARCH("electrolyte",'Patent Portfolio'!C20)),ISNUMBER(SEARCH("polymer",'Patent Portfolio'!C20))),OR('Patent Portfolio'!K20="Apparatus",'Patent Portfolio'!K20="Method")),TRUE(),FALSE()),FALSE())</f>
        <v>0</v>
      </c>
      <c r="J20" s="34" t="b">
        <f aca="false">IFERROR(IF(AND(OR('Patent Portfolio'!E20="App",'Patent Portfolio'!E20="Middleware",'Patent Portfolio'!E20="Cloud"),OR('Patent Portfolio'!K20="Method",'Patent Portfolio'!K20="CRM")),TRUE(),FALSE()),FALSE())</f>
        <v>0</v>
      </c>
      <c r="K20" s="34" t="b">
        <f aca="false">IFERROR(IF(N('Patent Portfolio'!J20)&gt;=2,TRUE(),FALSE()),FALSE())</f>
        <v>0</v>
      </c>
      <c r="L20" s="34" t="b">
        <f aca="false">IFERROR(IF('Patent Portfolio'!AA20&lt;&gt;"",TRUE(),FALSE()),FALSE())</f>
        <v>0</v>
      </c>
      <c r="M20" s="34" t="b">
        <f aca="false">IFERROR(IF('Patent Portfolio'!K20&lt;&gt;"",TRUE(),FALSE()),FALSE())</f>
        <v>0</v>
      </c>
      <c r="N20" s="34" t="b">
        <f aca="false">IFERROR(IF(OR(N('Patent Portfolio'!O20)&gt;=2,N('Patent Portfolio'!P20)&gt;=2),TRUE(),FALSE()),FALSE())</f>
        <v>0</v>
      </c>
      <c r="O20" s="34" t="b">
        <f aca="false">IFERROR(IF('Patent Portfolio'!X20="Yes",TRUE(),FALSE()),FALSE())</f>
        <v>0</v>
      </c>
      <c r="P20" s="34" t="b">
        <f aca="false">IFERROR(IF(N('Patent Portfolio'!R20)&gt;=2,TRUE(),FALSE()),FALSE())</f>
        <v>0</v>
      </c>
      <c r="Q20" s="34" t="b">
        <f aca="false">IFERROR(IF(N('Patent Portfolio'!U20)&gt;0,TRUE(),FALSE()),FALSE())</f>
        <v>0</v>
      </c>
      <c r="R20" s="34" t="b">
        <f aca="false">IFERROR(IF(OR(N('Patent Portfolio'!L20)=3,N('Patent Portfolio'!L20)&lt;=1),TRUE(),FALSE()),FALSE())</f>
        <v>1</v>
      </c>
      <c r="S20" s="34" t="b">
        <f aca="false">IFERROR(IF(N('Patent Portfolio'!AB20)&gt;=2,TRUE(),FALSE()),FALSE())</f>
        <v>0</v>
      </c>
      <c r="T20" s="34" t="b">
        <f aca="false">IFERROR(IF('Patent Portfolio'!Z20&lt;&gt;"",TRUE(),FALSE()),FALSE())</f>
        <v>0</v>
      </c>
      <c r="U20" s="34" t="b">
        <f aca="false">IFERROR(IF(N('Patent Portfolio'!Q20)&gt;=2,TRUE(),FALSE()),FALSE())</f>
        <v>0</v>
      </c>
      <c r="V20" s="34" t="b">
        <f aca="false">IFERROR(IF(AND(N('Patent Portfolio'!N20)&gt;=2,'Patent Portfolio'!C20&lt;&gt;""),TRUE(),FALSE()),FALSE())</f>
        <v>0</v>
      </c>
      <c r="W20" s="34" t="b">
        <f aca="false">IFERROR(IF(OR('Patent Portfolio'!S20="Pending",'Patent Portfolio'!T20="Yes"),TRUE(),FALSE()),FALSE())</f>
        <v>0</v>
      </c>
      <c r="X20" s="34" t="b">
        <f aca="false">IFERROR(IF(AND(N('Patent Portfolio'!AC20)&gt;=2,N('Patent Portfolio'!L20)&gt;=1),TRUE(),FALSE()),FALSE())</f>
        <v>0</v>
      </c>
      <c r="Y20" s="34" t="b">
        <f aca="false">IFERROR(IF(AND(N('Patent Portfolio'!N20)&gt;=1,OR('Patent Portfolio'!C20&lt;&gt;"",'Patent Portfolio'!I20&lt;&gt;"")),TRUE(),FALSE()),FALSE())</f>
        <v>0</v>
      </c>
      <c r="Z20" s="34" t="b">
        <f aca="false">IFERROR(IF('Patent Portfolio'!C20&lt;&gt;"",TRUE(),FALSE()),FALSE())</f>
        <v>0</v>
      </c>
      <c r="AA20" s="34" t="b">
        <f aca="false">IFERROR(IF('Patent Portfolio'!T20="Yes",TRUE(),FALSE()),FALSE())</f>
        <v>0</v>
      </c>
      <c r="AB20" s="34" t="b">
        <f aca="false">IFERROR(IF(OR('Patent Portfolio'!AK20="Partial",'Patent Portfolio'!AK20="Full"),TRUE(),FALSE()),FALSE())</f>
        <v>0</v>
      </c>
      <c r="AC20" s="34" t="b">
        <f aca="false">IFERROR(IF('Patent Portfolio'!AI20="Survived",TRUE(),FALSE()),FALSE())</f>
        <v>0</v>
      </c>
      <c r="AD20" s="34" t="b">
        <f aca="false">IFERROR(IF(AND('Patent Portfolio'!AJ20="Clean",'Patent Portfolio'!AL20="None"),TRUE(),FALSE()),FALSE())</f>
        <v>0</v>
      </c>
      <c r="AE20" s="34" t="b">
        <f aca="false">IFERROR(IF(N('Patent Portfolio'!AG20)&gt;=15,TRUE(),FALSE()),FALSE())</f>
        <v>0</v>
      </c>
      <c r="AF20" s="34" t="b">
        <f aca="false">IFERROR(IF(AND(N('Patent Portfolio'!AO20)&gt;=2,N('Patent Portfolio'!AB20)&gt;=2),TRUE(),FALSE()),FALSE())</f>
        <v>0</v>
      </c>
      <c r="AG20" s="34" t="b">
        <f aca="false">IFERROR(IF(OR(N('Patent Portfolio'!AC20)&lt;=1,N('Patent Portfolio'!U20)&lt;5,N('Patent Portfolio'!AD20)&lt;=1),TRUE(),FALSE()),FALSE())</f>
        <v>1</v>
      </c>
      <c r="AH20" s="34" t="b">
        <f aca="false">IFERROR(IF(AND(N('Patent Portfolio'!U20)&gt;=1,N('Patent Portfolio'!U20)&lt;=4),TRUE(),FALSE()),FALSE())</f>
        <v>0</v>
      </c>
      <c r="AI20" s="34" t="b">
        <f aca="false">IFERROR(IF(AND('Patent Portfolio'!C20&lt;&gt;"",'Patent Portfolio'!F20&lt;&gt;""),TRUE(),FALSE()),FALSE())</f>
        <v>0</v>
      </c>
      <c r="AJ20" s="31" t="n">
        <f aca="false">COUNTIF(C20:AI20,TRUE())</f>
        <v>2</v>
      </c>
    </row>
    <row r="21" customFormat="false" ht="15" hidden="false" customHeight="true" outlineLevel="0" collapsed="false">
      <c r="A21" s="32" t="n">
        <f aca="false">'Patent Portfolio'!A21</f>
        <v>0</v>
      </c>
      <c r="B21" s="33" t="n">
        <f aca="false">'Patent Portfolio'!B21</f>
        <v>0</v>
      </c>
      <c r="C21" s="34" t="b">
        <f aca="false">IFERROR(IF('Patent Portfolio'!C21&lt;&gt;"",TRUE(),FALSE()),FALSE())</f>
        <v>0</v>
      </c>
      <c r="D21" s="34" t="b">
        <f aca="false">IFERROR(IF(AND(N('Patent Portfolio'!H21)&gt;=2,'Patent Portfolio'!I21&lt;&gt;""),TRUE(),FALSE()),FALSE())</f>
        <v>0</v>
      </c>
      <c r="E21" s="34" t="b">
        <f aca="false">IFERROR(IF('Patent Portfolio'!F21&lt;&gt;"",TRUE(),FALSE()),FALSE())</f>
        <v>0</v>
      </c>
      <c r="F21" s="34" t="b">
        <f aca="false">IFERROR(IF('Patent Portfolio'!E21&lt;&gt;"",TRUE(),FALSE()),FALSE())</f>
        <v>0</v>
      </c>
      <c r="G21" s="34" t="b">
        <f aca="false">IFERROR(IF('Patent Portfolio'!G21&lt;&gt;"",TRUE(),FALSE()),FALSE())</f>
        <v>0</v>
      </c>
      <c r="H21" s="34" t="b">
        <f aca="false">IFERROR(IF(AND(OR(ISNUMBER(SEARCH("process",'Patent Portfolio'!C21)),ISNUMBER(SEARCH("fab",'Patent Portfolio'!C21)),ISNUMBER(SEARCH("manufac",'Patent Portfolio'!C21))),'Patent Portfolio'!K21="Method"),TRUE(),FALSE()),FALSE())</f>
        <v>0</v>
      </c>
      <c r="I21" s="34" t="b">
        <f aca="false">IFERROR(IF(AND(OR(ISNUMBER(SEARCH("material",'Patent Portfolio'!C21)),ISNUMBER(SEARCH("chem",'Patent Portfolio'!C21)),ISNUMBER(SEARCH("battery",'Patent Portfolio'!C21)),ISNUMBER(SEARCH("electrolyte",'Patent Portfolio'!C21)),ISNUMBER(SEARCH("polymer",'Patent Portfolio'!C21))),OR('Patent Portfolio'!K21="Apparatus",'Patent Portfolio'!K21="Method")),TRUE(),FALSE()),FALSE())</f>
        <v>0</v>
      </c>
      <c r="J21" s="34" t="b">
        <f aca="false">IFERROR(IF(AND(OR('Patent Portfolio'!E21="App",'Patent Portfolio'!E21="Middleware",'Patent Portfolio'!E21="Cloud"),OR('Patent Portfolio'!K21="Method",'Patent Portfolio'!K21="CRM")),TRUE(),FALSE()),FALSE())</f>
        <v>0</v>
      </c>
      <c r="K21" s="34" t="b">
        <f aca="false">IFERROR(IF(N('Patent Portfolio'!J21)&gt;=2,TRUE(),FALSE()),FALSE())</f>
        <v>0</v>
      </c>
      <c r="L21" s="34" t="b">
        <f aca="false">IFERROR(IF('Patent Portfolio'!AA21&lt;&gt;"",TRUE(),FALSE()),FALSE())</f>
        <v>0</v>
      </c>
      <c r="M21" s="34" t="b">
        <f aca="false">IFERROR(IF('Patent Portfolio'!K21&lt;&gt;"",TRUE(),FALSE()),FALSE())</f>
        <v>0</v>
      </c>
      <c r="N21" s="34" t="b">
        <f aca="false">IFERROR(IF(OR(N('Patent Portfolio'!O21)&gt;=2,N('Patent Portfolio'!P21)&gt;=2),TRUE(),FALSE()),FALSE())</f>
        <v>0</v>
      </c>
      <c r="O21" s="34" t="b">
        <f aca="false">IFERROR(IF('Patent Portfolio'!X21="Yes",TRUE(),FALSE()),FALSE())</f>
        <v>0</v>
      </c>
      <c r="P21" s="34" t="b">
        <f aca="false">IFERROR(IF(N('Patent Portfolio'!R21)&gt;=2,TRUE(),FALSE()),FALSE())</f>
        <v>0</v>
      </c>
      <c r="Q21" s="34" t="b">
        <f aca="false">IFERROR(IF(N('Patent Portfolio'!U21)&gt;0,TRUE(),FALSE()),FALSE())</f>
        <v>0</v>
      </c>
      <c r="R21" s="34" t="b">
        <f aca="false">IFERROR(IF(OR(N('Patent Portfolio'!L21)=3,N('Patent Portfolio'!L21)&lt;=1),TRUE(),FALSE()),FALSE())</f>
        <v>1</v>
      </c>
      <c r="S21" s="34" t="b">
        <f aca="false">IFERROR(IF(N('Patent Portfolio'!AB21)&gt;=2,TRUE(),FALSE()),FALSE())</f>
        <v>0</v>
      </c>
      <c r="T21" s="34" t="b">
        <f aca="false">IFERROR(IF('Patent Portfolio'!Z21&lt;&gt;"",TRUE(),FALSE()),FALSE())</f>
        <v>0</v>
      </c>
      <c r="U21" s="34" t="b">
        <f aca="false">IFERROR(IF(N('Patent Portfolio'!Q21)&gt;=2,TRUE(),FALSE()),FALSE())</f>
        <v>0</v>
      </c>
      <c r="V21" s="34" t="b">
        <f aca="false">IFERROR(IF(AND(N('Patent Portfolio'!N21)&gt;=2,'Patent Portfolio'!C21&lt;&gt;""),TRUE(),FALSE()),FALSE())</f>
        <v>0</v>
      </c>
      <c r="W21" s="34" t="b">
        <f aca="false">IFERROR(IF(OR('Patent Portfolio'!S21="Pending",'Patent Portfolio'!T21="Yes"),TRUE(),FALSE()),FALSE())</f>
        <v>0</v>
      </c>
      <c r="X21" s="34" t="b">
        <f aca="false">IFERROR(IF(AND(N('Patent Portfolio'!AC21)&gt;=2,N('Patent Portfolio'!L21)&gt;=1),TRUE(),FALSE()),FALSE())</f>
        <v>0</v>
      </c>
      <c r="Y21" s="34" t="b">
        <f aca="false">IFERROR(IF(AND(N('Patent Portfolio'!N21)&gt;=1,OR('Patent Portfolio'!C21&lt;&gt;"",'Patent Portfolio'!I21&lt;&gt;"")),TRUE(),FALSE()),FALSE())</f>
        <v>0</v>
      </c>
      <c r="Z21" s="34" t="b">
        <f aca="false">IFERROR(IF('Patent Portfolio'!C21&lt;&gt;"",TRUE(),FALSE()),FALSE())</f>
        <v>0</v>
      </c>
      <c r="AA21" s="34" t="b">
        <f aca="false">IFERROR(IF('Patent Portfolio'!T21="Yes",TRUE(),FALSE()),FALSE())</f>
        <v>0</v>
      </c>
      <c r="AB21" s="34" t="b">
        <f aca="false">IFERROR(IF(OR('Patent Portfolio'!AK21="Partial",'Patent Portfolio'!AK21="Full"),TRUE(),FALSE()),FALSE())</f>
        <v>0</v>
      </c>
      <c r="AC21" s="34" t="b">
        <f aca="false">IFERROR(IF('Patent Portfolio'!AI21="Survived",TRUE(),FALSE()),FALSE())</f>
        <v>0</v>
      </c>
      <c r="AD21" s="34" t="b">
        <f aca="false">IFERROR(IF(AND('Patent Portfolio'!AJ21="Clean",'Patent Portfolio'!AL21="None"),TRUE(),FALSE()),FALSE())</f>
        <v>0</v>
      </c>
      <c r="AE21" s="34" t="b">
        <f aca="false">IFERROR(IF(N('Patent Portfolio'!AG21)&gt;=15,TRUE(),FALSE()),FALSE())</f>
        <v>0</v>
      </c>
      <c r="AF21" s="34" t="b">
        <f aca="false">IFERROR(IF(AND(N('Patent Portfolio'!AO21)&gt;=2,N('Patent Portfolio'!AB21)&gt;=2),TRUE(),FALSE()),FALSE())</f>
        <v>0</v>
      </c>
      <c r="AG21" s="34" t="b">
        <f aca="false">IFERROR(IF(OR(N('Patent Portfolio'!AC21)&lt;=1,N('Patent Portfolio'!U21)&lt;5,N('Patent Portfolio'!AD21)&lt;=1),TRUE(),FALSE()),FALSE())</f>
        <v>1</v>
      </c>
      <c r="AH21" s="34" t="b">
        <f aca="false">IFERROR(IF(AND(N('Patent Portfolio'!U21)&gt;=1,N('Patent Portfolio'!U21)&lt;=4),TRUE(),FALSE()),FALSE())</f>
        <v>0</v>
      </c>
      <c r="AI21" s="34" t="b">
        <f aca="false">IFERROR(IF(AND('Patent Portfolio'!C21&lt;&gt;"",'Patent Portfolio'!F21&lt;&gt;""),TRUE(),FALSE()),FALSE())</f>
        <v>0</v>
      </c>
      <c r="AJ21" s="31" t="n">
        <f aca="false">COUNTIF(C21:AI21,TRUE())</f>
        <v>2</v>
      </c>
    </row>
    <row r="22" customFormat="false" ht="15" hidden="false" customHeight="true" outlineLevel="0" collapsed="false">
      <c r="A22" s="32" t="n">
        <f aca="false">'Patent Portfolio'!A22</f>
        <v>0</v>
      </c>
      <c r="B22" s="33" t="n">
        <f aca="false">'Patent Portfolio'!B22</f>
        <v>0</v>
      </c>
      <c r="C22" s="34" t="b">
        <f aca="false">IFERROR(IF('Patent Portfolio'!C22&lt;&gt;"",TRUE(),FALSE()),FALSE())</f>
        <v>0</v>
      </c>
      <c r="D22" s="34" t="b">
        <f aca="false">IFERROR(IF(AND(N('Patent Portfolio'!H22)&gt;=2,'Patent Portfolio'!I22&lt;&gt;""),TRUE(),FALSE()),FALSE())</f>
        <v>0</v>
      </c>
      <c r="E22" s="34" t="b">
        <f aca="false">IFERROR(IF('Patent Portfolio'!F22&lt;&gt;"",TRUE(),FALSE()),FALSE())</f>
        <v>0</v>
      </c>
      <c r="F22" s="34" t="b">
        <f aca="false">IFERROR(IF('Patent Portfolio'!E22&lt;&gt;"",TRUE(),FALSE()),FALSE())</f>
        <v>0</v>
      </c>
      <c r="G22" s="34" t="b">
        <f aca="false">IFERROR(IF('Patent Portfolio'!G22&lt;&gt;"",TRUE(),FALSE()),FALSE())</f>
        <v>0</v>
      </c>
      <c r="H22" s="34" t="b">
        <f aca="false">IFERROR(IF(AND(OR(ISNUMBER(SEARCH("process",'Patent Portfolio'!C22)),ISNUMBER(SEARCH("fab",'Patent Portfolio'!C22)),ISNUMBER(SEARCH("manufac",'Patent Portfolio'!C22))),'Patent Portfolio'!K22="Method"),TRUE(),FALSE()),FALSE())</f>
        <v>0</v>
      </c>
      <c r="I22" s="34" t="b">
        <f aca="false">IFERROR(IF(AND(OR(ISNUMBER(SEARCH("material",'Patent Portfolio'!C22)),ISNUMBER(SEARCH("chem",'Patent Portfolio'!C22)),ISNUMBER(SEARCH("battery",'Patent Portfolio'!C22)),ISNUMBER(SEARCH("electrolyte",'Patent Portfolio'!C22)),ISNUMBER(SEARCH("polymer",'Patent Portfolio'!C22))),OR('Patent Portfolio'!K22="Apparatus",'Patent Portfolio'!K22="Method")),TRUE(),FALSE()),FALSE())</f>
        <v>0</v>
      </c>
      <c r="J22" s="34" t="b">
        <f aca="false">IFERROR(IF(AND(OR('Patent Portfolio'!E22="App",'Patent Portfolio'!E22="Middleware",'Patent Portfolio'!E22="Cloud"),OR('Patent Portfolio'!K22="Method",'Patent Portfolio'!K22="CRM")),TRUE(),FALSE()),FALSE())</f>
        <v>0</v>
      </c>
      <c r="K22" s="34" t="b">
        <f aca="false">IFERROR(IF(N('Patent Portfolio'!J22)&gt;=2,TRUE(),FALSE()),FALSE())</f>
        <v>0</v>
      </c>
      <c r="L22" s="34" t="b">
        <f aca="false">IFERROR(IF('Patent Portfolio'!AA22&lt;&gt;"",TRUE(),FALSE()),FALSE())</f>
        <v>0</v>
      </c>
      <c r="M22" s="34" t="b">
        <f aca="false">IFERROR(IF('Patent Portfolio'!K22&lt;&gt;"",TRUE(),FALSE()),FALSE())</f>
        <v>0</v>
      </c>
      <c r="N22" s="34" t="b">
        <f aca="false">IFERROR(IF(OR(N('Patent Portfolio'!O22)&gt;=2,N('Patent Portfolio'!P22)&gt;=2),TRUE(),FALSE()),FALSE())</f>
        <v>0</v>
      </c>
      <c r="O22" s="34" t="b">
        <f aca="false">IFERROR(IF('Patent Portfolio'!X22="Yes",TRUE(),FALSE()),FALSE())</f>
        <v>0</v>
      </c>
      <c r="P22" s="34" t="b">
        <f aca="false">IFERROR(IF(N('Patent Portfolio'!R22)&gt;=2,TRUE(),FALSE()),FALSE())</f>
        <v>0</v>
      </c>
      <c r="Q22" s="34" t="b">
        <f aca="false">IFERROR(IF(N('Patent Portfolio'!U22)&gt;0,TRUE(),FALSE()),FALSE())</f>
        <v>0</v>
      </c>
      <c r="R22" s="34" t="b">
        <f aca="false">IFERROR(IF(OR(N('Patent Portfolio'!L22)=3,N('Patent Portfolio'!L22)&lt;=1),TRUE(),FALSE()),FALSE())</f>
        <v>1</v>
      </c>
      <c r="S22" s="34" t="b">
        <f aca="false">IFERROR(IF(N('Patent Portfolio'!AB22)&gt;=2,TRUE(),FALSE()),FALSE())</f>
        <v>0</v>
      </c>
      <c r="T22" s="34" t="b">
        <f aca="false">IFERROR(IF('Patent Portfolio'!Z22&lt;&gt;"",TRUE(),FALSE()),FALSE())</f>
        <v>0</v>
      </c>
      <c r="U22" s="34" t="b">
        <f aca="false">IFERROR(IF(N('Patent Portfolio'!Q22)&gt;=2,TRUE(),FALSE()),FALSE())</f>
        <v>0</v>
      </c>
      <c r="V22" s="34" t="b">
        <f aca="false">IFERROR(IF(AND(N('Patent Portfolio'!N22)&gt;=2,'Patent Portfolio'!C22&lt;&gt;""),TRUE(),FALSE()),FALSE())</f>
        <v>0</v>
      </c>
      <c r="W22" s="34" t="b">
        <f aca="false">IFERROR(IF(OR('Patent Portfolio'!S22="Pending",'Patent Portfolio'!T22="Yes"),TRUE(),FALSE()),FALSE())</f>
        <v>0</v>
      </c>
      <c r="X22" s="34" t="b">
        <f aca="false">IFERROR(IF(AND(N('Patent Portfolio'!AC22)&gt;=2,N('Patent Portfolio'!L22)&gt;=1),TRUE(),FALSE()),FALSE())</f>
        <v>0</v>
      </c>
      <c r="Y22" s="34" t="b">
        <f aca="false">IFERROR(IF(AND(N('Patent Portfolio'!N22)&gt;=1,OR('Patent Portfolio'!C22&lt;&gt;"",'Patent Portfolio'!I22&lt;&gt;"")),TRUE(),FALSE()),FALSE())</f>
        <v>0</v>
      </c>
      <c r="Z22" s="34" t="b">
        <f aca="false">IFERROR(IF('Patent Portfolio'!C22&lt;&gt;"",TRUE(),FALSE()),FALSE())</f>
        <v>0</v>
      </c>
      <c r="AA22" s="34" t="b">
        <f aca="false">IFERROR(IF('Patent Portfolio'!T22="Yes",TRUE(),FALSE()),FALSE())</f>
        <v>0</v>
      </c>
      <c r="AB22" s="34" t="b">
        <f aca="false">IFERROR(IF(OR('Patent Portfolio'!AK22="Partial",'Patent Portfolio'!AK22="Full"),TRUE(),FALSE()),FALSE())</f>
        <v>0</v>
      </c>
      <c r="AC22" s="34" t="b">
        <f aca="false">IFERROR(IF('Patent Portfolio'!AI22="Survived",TRUE(),FALSE()),FALSE())</f>
        <v>0</v>
      </c>
      <c r="AD22" s="34" t="b">
        <f aca="false">IFERROR(IF(AND('Patent Portfolio'!AJ22="Clean",'Patent Portfolio'!AL22="None"),TRUE(),FALSE()),FALSE())</f>
        <v>0</v>
      </c>
      <c r="AE22" s="34" t="b">
        <f aca="false">IFERROR(IF(N('Patent Portfolio'!AG22)&gt;=15,TRUE(),FALSE()),FALSE())</f>
        <v>0</v>
      </c>
      <c r="AF22" s="34" t="b">
        <f aca="false">IFERROR(IF(AND(N('Patent Portfolio'!AO22)&gt;=2,N('Patent Portfolio'!AB22)&gt;=2),TRUE(),FALSE()),FALSE())</f>
        <v>0</v>
      </c>
      <c r="AG22" s="34" t="b">
        <f aca="false">IFERROR(IF(OR(N('Patent Portfolio'!AC22)&lt;=1,N('Patent Portfolio'!U22)&lt;5,N('Patent Portfolio'!AD22)&lt;=1),TRUE(),FALSE()),FALSE())</f>
        <v>1</v>
      </c>
      <c r="AH22" s="34" t="b">
        <f aca="false">IFERROR(IF(AND(N('Patent Portfolio'!U22)&gt;=1,N('Patent Portfolio'!U22)&lt;=4),TRUE(),FALSE()),FALSE())</f>
        <v>0</v>
      </c>
      <c r="AI22" s="34" t="b">
        <f aca="false">IFERROR(IF(AND('Patent Portfolio'!C22&lt;&gt;"",'Patent Portfolio'!F22&lt;&gt;""),TRUE(),FALSE()),FALSE())</f>
        <v>0</v>
      </c>
      <c r="AJ22" s="31" t="n">
        <f aca="false">COUNTIF(C22:AI22,TRUE())</f>
        <v>2</v>
      </c>
    </row>
  </sheetData>
  <mergeCells count="2">
    <mergeCell ref="A1:B1"/>
    <mergeCell ref="C1:AI1"/>
  </mergeCells>
  <conditionalFormatting sqref="C3:W22">
    <cfRule type="cellIs" priority="2" operator="equal" aboveAverage="0" equalAverage="0" bottom="0" percent="0" rank="0" text="" dxfId="0">
      <formula>1</formula>
    </cfRule>
    <cfRule type="cellIs" priority="3" operator="equal" aboveAverage="0" equalAverage="0" bottom="0" percent="0" rank="0" text="" dxfId="1">
      <formula>0</formula>
    </cfRule>
  </conditionalFormatting>
  <conditionalFormatting sqref="X3:AI22">
    <cfRule type="cellIs" priority="4" operator="equal" aboveAverage="0" equalAverage="0" bottom="0" percent="0" rank="0" text="" dxfId="2">
      <formula>1</formula>
    </cfRule>
    <cfRule type="cellIs" priority="5" operator="equal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10" min="3" style="1" width="14"/>
    <col collapsed="false" customWidth="true" hidden="false" outlineLevel="0" max="12" min="11" style="0" width="18"/>
    <col collapsed="false" customWidth="true" hidden="false" outlineLevel="0" max="13" min="13" style="0" width="16"/>
    <col collapsed="false" customWidth="true" hidden="false" outlineLevel="0" max="15" min="14" style="0" width="18"/>
  </cols>
  <sheetData>
    <row r="1" customFormat="false" ht="42" hidden="false" customHeight="true" outlineLevel="0" collapsed="false">
      <c r="A1" s="7" t="s">
        <v>360</v>
      </c>
      <c r="B1" s="7" t="s">
        <v>361</v>
      </c>
      <c r="C1" s="7" t="s">
        <v>516</v>
      </c>
      <c r="D1" s="7" t="s">
        <v>517</v>
      </c>
      <c r="E1" s="7" t="s">
        <v>518</v>
      </c>
      <c r="F1" s="7" t="s">
        <v>519</v>
      </c>
      <c r="G1" s="7" t="s">
        <v>520</v>
      </c>
      <c r="H1" s="7" t="s">
        <v>521</v>
      </c>
      <c r="I1" s="7" t="s">
        <v>522</v>
      </c>
      <c r="J1" s="7" t="s">
        <v>523</v>
      </c>
      <c r="K1" s="7" t="s">
        <v>524</v>
      </c>
      <c r="L1" s="7" t="s">
        <v>525</v>
      </c>
      <c r="M1" s="7" t="s">
        <v>526</v>
      </c>
      <c r="N1" s="7" t="s">
        <v>527</v>
      </c>
      <c r="O1" s="7" t="s">
        <v>528</v>
      </c>
    </row>
    <row r="2" customFormat="false" ht="15" hidden="false" customHeight="true" outlineLevel="0" collapsed="false">
      <c r="A2" s="31" t="n">
        <v>1</v>
      </c>
      <c r="B2" s="35" t="s">
        <v>529</v>
      </c>
      <c r="C2" s="36" t="n">
        <f aca="false">COUNTIF('Bundle Assignment'!C3:C22,TRUE())</f>
        <v>12</v>
      </c>
      <c r="D2" s="37" t="n">
        <f aca="false">IFERROR(SUMPRODUCT(--('Bundle Assignment'!C3:C22=TRUE()),('Patent Portfolio'!O3:O22+'Patent Portfolio'!P3:P22)/2)/COUNTIF('Bundle Assignment'!C3:C22,TRUE()),0)</f>
        <v>1.58333333333333</v>
      </c>
      <c r="E2" s="38" t="n">
        <f aca="false">IFERROR(SUMPRODUCT(--('Bundle Assignment'!C3:C22=TRUE()),'Patent Portfolio'!U3:U22)/COUNTIF('Bundle Assignment'!C3:C22,TRUE()),0)</f>
        <v>13.1666666666667</v>
      </c>
      <c r="F2" s="39" t="n">
        <f aca="false">IFERROR(SUMPRODUCT(--('Bundle Assignment'!C3:C22=TRUE()),--('Patent Portfolio'!X3:X22="Yes"))/COUNTIF('Bundle Assignment'!C3:C22,TRUE()),0)</f>
        <v>0.833333333333333</v>
      </c>
      <c r="G2" s="39" t="n">
        <f aca="false">IFERROR(SUMPRODUCT(--('Bundle Assignment'!C3:C22=TRUE()),--('Patent Portfolio'!T3:T22="Yes"))/COUNTIF('Bundle Assignment'!C3:C22,TRUE()),0)</f>
        <v>0.5</v>
      </c>
      <c r="H2" s="39" t="n">
        <f aca="false">IFERROR(SUMPRODUCT(--('Bundle Assignment'!C3:C22=TRUE()),--('Patent Portfolio'!H3:H22&gt;=2))/COUNTIF('Bundle Assignment'!C3:C22,TRUE()),0)</f>
        <v>0.333333333333333</v>
      </c>
      <c r="I2" s="36" t="n">
        <f aca="false">SUMPRODUCT(--('Bundle Assignment'!C3:C22=TRUE()),--('Patent Portfolio'!L3:L22=3))</f>
        <v>1</v>
      </c>
      <c r="J2" s="40" t="str">
        <f aca="false">IF(C2&lt;2,"WEAK",IF(AND(C2&gt;=4,D2&gt;=2,E2&gt;=10),"STRONG","MODERATE"))</f>
        <v>MODERATE</v>
      </c>
      <c r="K2" s="41" t="str">
        <f aca="false">IFERROR(aggregate(5,6,'Patent Portfolio'!AC3:AC22/('Bundle Assignment'!C3:C22=TRUE())),"")</f>
        <v/>
      </c>
      <c r="L2" s="42" t="n">
        <f aca="false">IFERROR(SUMPRODUCT(--('Bundle Assignment'!C3:C22=TRUE()),--('Patent Portfolio'!AD3:AD22&lt;=1))/COUNTIF('Bundle Assignment'!C3:C22,TRUE()),0)</f>
        <v>0.25</v>
      </c>
      <c r="M2" s="42" t="n">
        <f aca="false">IFERROR(SUMPRODUCT(--('Bundle Assignment'!C3:C22=TRUE()),--('Patent Portfolio'!AK3:AK22&lt;&gt;"None"),--('Patent Portfolio'!AK3:AK22&lt;&gt;""))/COUNTIF('Bundle Assignment'!C3:C22,TRUE()),0)</f>
        <v>0.583333333333333</v>
      </c>
      <c r="N2" s="42" t="n">
        <f aca="false">IFERROR(SUMPRODUCT(--('Bundle Assignment'!C3:C22=TRUE()),--('Patent Portfolio'!AI3:AI22="Survived"))/COUNTIF('Bundle Assignment'!C3:C22,TRUE()),0)</f>
        <v>0.166666666666667</v>
      </c>
      <c r="O2" s="42" t="n">
        <f aca="false">IFERROR(SUMPRODUCT(--('Bundle Assignment'!C3:C22=TRUE()),--('Patent Portfolio'!T3:T22="Yes"))/COUNTIF('Bundle Assignment'!C3:C22,TRUE()),0)</f>
        <v>0.5</v>
      </c>
    </row>
    <row r="3" customFormat="false" ht="15" hidden="false" customHeight="true" outlineLevel="0" collapsed="false">
      <c r="A3" s="31" t="n">
        <v>2</v>
      </c>
      <c r="B3" s="35" t="s">
        <v>530</v>
      </c>
      <c r="C3" s="36" t="n">
        <f aca="false">COUNTIF('Bundle Assignment'!D3:D22,TRUE())</f>
        <v>4</v>
      </c>
      <c r="D3" s="37" t="n">
        <f aca="false">IFERROR(SUMPRODUCT(--('Bundle Assignment'!D3:D22=TRUE()),('Patent Portfolio'!O3:O22+'Patent Portfolio'!P3:P22)/2)/COUNTIF('Bundle Assignment'!D3:D22,TRUE()),0)</f>
        <v>2</v>
      </c>
      <c r="E3" s="38" t="n">
        <f aca="false">IFERROR(SUMPRODUCT(--('Bundle Assignment'!D3:D22=TRUE()),'Patent Portfolio'!U3:U22)/COUNTIF('Bundle Assignment'!D3:D22,TRUE()),0)</f>
        <v>13.25</v>
      </c>
      <c r="F3" s="39" t="n">
        <f aca="false">IFERROR(SUMPRODUCT(--('Bundle Assignment'!D3:D22=TRUE()),--('Patent Portfolio'!X3:X22="Yes"))/COUNTIF('Bundle Assignment'!D3:D22,TRUE()),0)</f>
        <v>1</v>
      </c>
      <c r="G3" s="39" t="n">
        <f aca="false">IFERROR(SUMPRODUCT(--('Bundle Assignment'!D3:D22=TRUE()),--('Patent Portfolio'!T3:T22="Yes"))/COUNTIF('Bundle Assignment'!D3:D22,TRUE()),0)</f>
        <v>0.5</v>
      </c>
      <c r="H3" s="39" t="n">
        <f aca="false">IFERROR(SUMPRODUCT(--('Bundle Assignment'!D3:D22=TRUE()),--('Patent Portfolio'!H3:H22&gt;=2))/COUNTIF('Bundle Assignment'!D3:D22,TRUE()),0)</f>
        <v>1</v>
      </c>
      <c r="I3" s="36" t="n">
        <f aca="false">SUMPRODUCT(--('Bundle Assignment'!D3:D22=TRUE()),--('Patent Portfolio'!L3:L22=3))</f>
        <v>0</v>
      </c>
      <c r="J3" s="40" t="str">
        <f aca="false">IF(C3&lt;2,"WEAK",IF(AND(C3&gt;=4,D3&gt;=2,E3&gt;=10),"STRONG","MODERATE"))</f>
        <v>STRONG</v>
      </c>
      <c r="K3" s="41" t="str">
        <f aca="false">IFERROR(aggregate(5,6,'Patent Portfolio'!AC3:AC22/('Bundle Assignment'!D3:D22=TRUE())),"")</f>
        <v/>
      </c>
      <c r="L3" s="42" t="n">
        <f aca="false">IFERROR(SUMPRODUCT(--('Bundle Assignment'!D3:D22=TRUE()),--('Patent Portfolio'!AD3:AD22&lt;=1))/COUNTIF('Bundle Assignment'!D3:D22,TRUE()),0)</f>
        <v>0</v>
      </c>
      <c r="M3" s="42" t="n">
        <f aca="false">IFERROR(SUMPRODUCT(--('Bundle Assignment'!D3:D22=TRUE()),--('Patent Portfolio'!AK3:AK22&lt;&gt;"None"),--('Patent Portfolio'!AK3:AK22&lt;&gt;""))/COUNTIF('Bundle Assignment'!D3:D22,TRUE()),0)</f>
        <v>0.75</v>
      </c>
      <c r="N3" s="42" t="n">
        <f aca="false">IFERROR(SUMPRODUCT(--('Bundle Assignment'!D3:D22=TRUE()),--('Patent Portfolio'!AI3:AI22="Survived"))/COUNTIF('Bundle Assignment'!D3:D22,TRUE()),0)</f>
        <v>0.5</v>
      </c>
      <c r="O3" s="42" t="n">
        <f aca="false">IFERROR(SUMPRODUCT(--('Bundle Assignment'!D3:D22=TRUE()),--('Patent Portfolio'!T3:T22="Yes"))/COUNTIF('Bundle Assignment'!D3:D22,TRUE()),0)</f>
        <v>0.5</v>
      </c>
    </row>
    <row r="4" customFormat="false" ht="15" hidden="false" customHeight="true" outlineLevel="0" collapsed="false">
      <c r="A4" s="31" t="n">
        <v>3</v>
      </c>
      <c r="B4" s="35" t="s">
        <v>531</v>
      </c>
      <c r="C4" s="36" t="n">
        <f aca="false">COUNTIF('Bundle Assignment'!E3:E22,TRUE())</f>
        <v>12</v>
      </c>
      <c r="D4" s="37" t="n">
        <f aca="false">IFERROR(SUMPRODUCT(--('Bundle Assignment'!E3:E22=TRUE()),('Patent Portfolio'!O3:O22+'Patent Portfolio'!P3:P22)/2)/COUNTIF('Bundle Assignment'!E3:E22,TRUE()),0)</f>
        <v>1.58333333333333</v>
      </c>
      <c r="E4" s="38" t="n">
        <f aca="false">IFERROR(SUMPRODUCT(--('Bundle Assignment'!E3:E22=TRUE()),'Patent Portfolio'!U3:U22)/COUNTIF('Bundle Assignment'!E3:E22,TRUE()),0)</f>
        <v>13.1666666666667</v>
      </c>
      <c r="F4" s="39" t="n">
        <f aca="false">IFERROR(SUMPRODUCT(--('Bundle Assignment'!E3:E22=TRUE()),--('Patent Portfolio'!X3:X22="Yes"))/COUNTIF('Bundle Assignment'!E3:E22,TRUE()),0)</f>
        <v>0.833333333333333</v>
      </c>
      <c r="G4" s="39" t="n">
        <f aca="false">IFERROR(SUMPRODUCT(--('Bundle Assignment'!E3:E22=TRUE()),--('Patent Portfolio'!T3:T22="Yes"))/COUNTIF('Bundle Assignment'!E3:E22,TRUE()),0)</f>
        <v>0.5</v>
      </c>
      <c r="H4" s="39" t="n">
        <f aca="false">IFERROR(SUMPRODUCT(--('Bundle Assignment'!E3:E22=TRUE()),--('Patent Portfolio'!H3:H22&gt;=2))/COUNTIF('Bundle Assignment'!E3:E22,TRUE()),0)</f>
        <v>0.333333333333333</v>
      </c>
      <c r="I4" s="36" t="n">
        <f aca="false">SUMPRODUCT(--('Bundle Assignment'!E3:E22=TRUE()),--('Patent Portfolio'!L3:L22=3))</f>
        <v>1</v>
      </c>
      <c r="J4" s="40" t="str">
        <f aca="false">IF(C4&lt;2,"WEAK",IF(AND(C4&gt;=4,D4&gt;=2,E4&gt;=10),"STRONG","MODERATE"))</f>
        <v>MODERATE</v>
      </c>
      <c r="K4" s="41" t="str">
        <f aca="false">IFERROR(aggregate(5,6,'Patent Portfolio'!AC3:AC22/('Bundle Assignment'!E3:E22=TRUE())),"")</f>
        <v/>
      </c>
      <c r="L4" s="42" t="n">
        <f aca="false">IFERROR(SUMPRODUCT(--('Bundle Assignment'!E3:E22=TRUE()),--('Patent Portfolio'!AD3:AD22&lt;=1))/COUNTIF('Bundle Assignment'!E3:E22,TRUE()),0)</f>
        <v>0.25</v>
      </c>
      <c r="M4" s="42" t="n">
        <f aca="false">IFERROR(SUMPRODUCT(--('Bundle Assignment'!E3:E22=TRUE()),--('Patent Portfolio'!AK3:AK22&lt;&gt;"None"),--('Patent Portfolio'!AK3:AK22&lt;&gt;""))/COUNTIF('Bundle Assignment'!E3:E22,TRUE()),0)</f>
        <v>0.583333333333333</v>
      </c>
      <c r="N4" s="42" t="n">
        <f aca="false">IFERROR(SUMPRODUCT(--('Bundle Assignment'!E3:E22=TRUE()),--('Patent Portfolio'!AI3:AI22="Survived"))/COUNTIF('Bundle Assignment'!E3:E22,TRUE()),0)</f>
        <v>0.166666666666667</v>
      </c>
      <c r="O4" s="42" t="n">
        <f aca="false">IFERROR(SUMPRODUCT(--('Bundle Assignment'!E3:E22=TRUE()),--('Patent Portfolio'!T3:T22="Yes"))/COUNTIF('Bundle Assignment'!E3:E22,TRUE()),0)</f>
        <v>0.5</v>
      </c>
    </row>
    <row r="5" customFormat="false" ht="15" hidden="false" customHeight="true" outlineLevel="0" collapsed="false">
      <c r="A5" s="31" t="n">
        <v>4</v>
      </c>
      <c r="B5" s="35" t="s">
        <v>375</v>
      </c>
      <c r="C5" s="36" t="n">
        <f aca="false">COUNTIF('Bundle Assignment'!F3:F22,TRUE())</f>
        <v>12</v>
      </c>
      <c r="D5" s="37" t="n">
        <f aca="false">IFERROR(SUMPRODUCT(--('Bundle Assignment'!F3:F22=TRUE()),('Patent Portfolio'!O3:O22+'Patent Portfolio'!P3:P22)/2)/COUNTIF('Bundle Assignment'!F3:F22,TRUE()),0)</f>
        <v>1.58333333333333</v>
      </c>
      <c r="E5" s="38" t="n">
        <f aca="false">IFERROR(SUMPRODUCT(--('Bundle Assignment'!F3:F22=TRUE()),'Patent Portfolio'!U3:U22)/COUNTIF('Bundle Assignment'!F3:F22,TRUE()),0)</f>
        <v>13.1666666666667</v>
      </c>
      <c r="F5" s="39" t="n">
        <f aca="false">IFERROR(SUMPRODUCT(--('Bundle Assignment'!F3:F22=TRUE()),--('Patent Portfolio'!X3:X22="Yes"))/COUNTIF('Bundle Assignment'!F3:F22,TRUE()),0)</f>
        <v>0.833333333333333</v>
      </c>
      <c r="G5" s="39" t="n">
        <f aca="false">IFERROR(SUMPRODUCT(--('Bundle Assignment'!F3:F22=TRUE()),--('Patent Portfolio'!T3:T22="Yes"))/COUNTIF('Bundle Assignment'!F3:F22,TRUE()),0)</f>
        <v>0.5</v>
      </c>
      <c r="H5" s="39" t="n">
        <f aca="false">IFERROR(SUMPRODUCT(--('Bundle Assignment'!F3:F22=TRUE()),--('Patent Portfolio'!H3:H22&gt;=2))/COUNTIF('Bundle Assignment'!F3:F22,TRUE()),0)</f>
        <v>0.333333333333333</v>
      </c>
      <c r="I5" s="36" t="n">
        <f aca="false">SUMPRODUCT(--('Bundle Assignment'!F3:F22=TRUE()),--('Patent Portfolio'!L3:L22=3))</f>
        <v>1</v>
      </c>
      <c r="J5" s="40" t="str">
        <f aca="false">IF(C5&lt;2,"WEAK",IF(AND(C5&gt;=4,D5&gt;=2,E5&gt;=10),"STRONG","MODERATE"))</f>
        <v>MODERATE</v>
      </c>
      <c r="K5" s="41" t="str">
        <f aca="false">IFERROR(aggregate(5,6,'Patent Portfolio'!AC3:AC22/('Bundle Assignment'!F3:F22=TRUE())),"")</f>
        <v/>
      </c>
      <c r="L5" s="42" t="n">
        <f aca="false">IFERROR(SUMPRODUCT(--('Bundle Assignment'!F3:F22=TRUE()),--('Patent Portfolio'!AD3:AD22&lt;=1))/COUNTIF('Bundle Assignment'!F3:F22,TRUE()),0)</f>
        <v>0.25</v>
      </c>
      <c r="M5" s="42" t="n">
        <f aca="false">IFERROR(SUMPRODUCT(--('Bundle Assignment'!F3:F22=TRUE()),--('Patent Portfolio'!AK3:AK22&lt;&gt;"None"),--('Patent Portfolio'!AK3:AK22&lt;&gt;""))/COUNTIF('Bundle Assignment'!F3:F22,TRUE()),0)</f>
        <v>0.583333333333333</v>
      </c>
      <c r="N5" s="42" t="n">
        <f aca="false">IFERROR(SUMPRODUCT(--('Bundle Assignment'!F3:F22=TRUE()),--('Patent Portfolio'!AI3:AI22="Survived"))/COUNTIF('Bundle Assignment'!F3:F22,TRUE()),0)</f>
        <v>0.166666666666667</v>
      </c>
      <c r="O5" s="42" t="n">
        <f aca="false">IFERROR(SUMPRODUCT(--('Bundle Assignment'!F3:F22=TRUE()),--('Patent Portfolio'!T3:T22="Yes"))/COUNTIF('Bundle Assignment'!F3:F22,TRUE()),0)</f>
        <v>0.5</v>
      </c>
    </row>
    <row r="6" customFormat="false" ht="15" hidden="false" customHeight="true" outlineLevel="0" collapsed="false">
      <c r="A6" s="31" t="n">
        <v>5</v>
      </c>
      <c r="B6" s="35" t="s">
        <v>532</v>
      </c>
      <c r="C6" s="36" t="n">
        <f aca="false">COUNTIF('Bundle Assignment'!G3:G22,TRUE())</f>
        <v>12</v>
      </c>
      <c r="D6" s="37" t="n">
        <f aca="false">IFERROR(SUMPRODUCT(--('Bundle Assignment'!G3:G22=TRUE()),('Patent Portfolio'!O3:O22+'Patent Portfolio'!P3:P22)/2)/COUNTIF('Bundle Assignment'!G3:G22,TRUE()),0)</f>
        <v>1.58333333333333</v>
      </c>
      <c r="E6" s="38" t="n">
        <f aca="false">IFERROR(SUMPRODUCT(--('Bundle Assignment'!G3:G22=TRUE()),'Patent Portfolio'!U3:U22)/COUNTIF('Bundle Assignment'!G3:G22,TRUE()),0)</f>
        <v>13.1666666666667</v>
      </c>
      <c r="F6" s="39" t="n">
        <f aca="false">IFERROR(SUMPRODUCT(--('Bundle Assignment'!G3:G22=TRUE()),--('Patent Portfolio'!X3:X22="Yes"))/COUNTIF('Bundle Assignment'!G3:G22,TRUE()),0)</f>
        <v>0.833333333333333</v>
      </c>
      <c r="G6" s="39" t="n">
        <f aca="false">IFERROR(SUMPRODUCT(--('Bundle Assignment'!G3:G22=TRUE()),--('Patent Portfolio'!T3:T22="Yes"))/COUNTIF('Bundle Assignment'!G3:G22,TRUE()),0)</f>
        <v>0.5</v>
      </c>
      <c r="H6" s="39" t="n">
        <f aca="false">IFERROR(SUMPRODUCT(--('Bundle Assignment'!G3:G22=TRUE()),--('Patent Portfolio'!H3:H22&gt;=2))/COUNTIF('Bundle Assignment'!G3:G22,TRUE()),0)</f>
        <v>0.333333333333333</v>
      </c>
      <c r="I6" s="36" t="n">
        <f aca="false">SUMPRODUCT(--('Bundle Assignment'!G3:G22=TRUE()),--('Patent Portfolio'!L3:L22=3))</f>
        <v>1</v>
      </c>
      <c r="J6" s="40" t="str">
        <f aca="false">IF(C6&lt;2,"WEAK",IF(AND(C6&gt;=4,D6&gt;=2,E6&gt;=10),"STRONG","MODERATE"))</f>
        <v>MODERATE</v>
      </c>
      <c r="K6" s="41" t="str">
        <f aca="false">IFERROR(aggregate(5,6,'Patent Portfolio'!AC3:AC22/('Bundle Assignment'!G3:G22=TRUE())),"")</f>
        <v/>
      </c>
      <c r="L6" s="42" t="n">
        <f aca="false">IFERROR(SUMPRODUCT(--('Bundle Assignment'!G3:G22=TRUE()),--('Patent Portfolio'!AD3:AD22&lt;=1))/COUNTIF('Bundle Assignment'!G3:G22,TRUE()),0)</f>
        <v>0.25</v>
      </c>
      <c r="M6" s="42" t="n">
        <f aca="false">IFERROR(SUMPRODUCT(--('Bundle Assignment'!G3:G22=TRUE()),--('Patent Portfolio'!AK3:AK22&lt;&gt;"None"),--('Patent Portfolio'!AK3:AK22&lt;&gt;""))/COUNTIF('Bundle Assignment'!G3:G22,TRUE()),0)</f>
        <v>0.583333333333333</v>
      </c>
      <c r="N6" s="42" t="n">
        <f aca="false">IFERROR(SUMPRODUCT(--('Bundle Assignment'!G3:G22=TRUE()),--('Patent Portfolio'!AI3:AI22="Survived"))/COUNTIF('Bundle Assignment'!G3:G22,TRUE()),0)</f>
        <v>0.166666666666667</v>
      </c>
      <c r="O6" s="42" t="n">
        <f aca="false">IFERROR(SUMPRODUCT(--('Bundle Assignment'!G3:G22=TRUE()),--('Patent Portfolio'!T3:T22="Yes"))/COUNTIF('Bundle Assignment'!G3:G22,TRUE()),0)</f>
        <v>0.5</v>
      </c>
    </row>
    <row r="7" customFormat="false" ht="15" hidden="false" customHeight="true" outlineLevel="0" collapsed="false">
      <c r="A7" s="31" t="n">
        <v>6</v>
      </c>
      <c r="B7" s="35" t="s">
        <v>533</v>
      </c>
      <c r="C7" s="36" t="n">
        <f aca="false">COUNTIF('Bundle Assignment'!H3:H22,TRUE())</f>
        <v>1</v>
      </c>
      <c r="D7" s="37" t="n">
        <f aca="false">IFERROR(SUMPRODUCT(--('Bundle Assignment'!H3:H22=TRUE()),('Patent Portfolio'!O3:O22+'Patent Portfolio'!P3:P22)/2)/COUNTIF('Bundle Assignment'!H3:H22,TRUE()),0)</f>
        <v>0.5</v>
      </c>
      <c r="E7" s="38" t="n">
        <f aca="false">IFERROR(SUMPRODUCT(--('Bundle Assignment'!H3:H22=TRUE()),'Patent Portfolio'!U3:U22)/COUNTIF('Bundle Assignment'!H3:H22,TRUE()),0)</f>
        <v>13</v>
      </c>
      <c r="F7" s="39" t="n">
        <f aca="false">IFERROR(SUMPRODUCT(--('Bundle Assignment'!H3:H22=TRUE()),--('Patent Portfolio'!X3:X22="Yes"))/COUNTIF('Bundle Assignment'!H3:H22,TRUE()),0)</f>
        <v>1</v>
      </c>
      <c r="G7" s="39" t="n">
        <f aca="false">IFERROR(SUMPRODUCT(--('Bundle Assignment'!H3:H22=TRUE()),--('Patent Portfolio'!T3:T22="Yes"))/COUNTIF('Bundle Assignment'!H3:H22,TRUE()),0)</f>
        <v>1</v>
      </c>
      <c r="H7" s="39" t="n">
        <f aca="false">IFERROR(SUMPRODUCT(--('Bundle Assignment'!H3:H22=TRUE()),--('Patent Portfolio'!H3:H22&gt;=2))/COUNTIF('Bundle Assignment'!H3:H22,TRUE()),0)</f>
        <v>0</v>
      </c>
      <c r="I7" s="36" t="n">
        <f aca="false">SUMPRODUCT(--('Bundle Assignment'!H3:H22=TRUE()),--('Patent Portfolio'!L3:L22=3))</f>
        <v>0</v>
      </c>
      <c r="J7" s="40" t="str">
        <f aca="false">IF(C7&lt;2,"WEAK",IF(AND(C7&gt;=4,D7&gt;=2,E7&gt;=10),"STRONG","MODERATE"))</f>
        <v>WEAK</v>
      </c>
      <c r="K7" s="41" t="str">
        <f aca="false">IFERROR(aggregate(5,6,'Patent Portfolio'!AC3:AC22/('Bundle Assignment'!H3:H22=TRUE())),"")</f>
        <v/>
      </c>
      <c r="L7" s="42" t="n">
        <f aca="false">IFERROR(SUMPRODUCT(--('Bundle Assignment'!H3:H22=TRUE()),--('Patent Portfolio'!AD3:AD22&lt;=1))/COUNTIF('Bundle Assignment'!H3:H22,TRUE()),0)</f>
        <v>0</v>
      </c>
      <c r="M7" s="42" t="n">
        <f aca="false">IFERROR(SUMPRODUCT(--('Bundle Assignment'!H3:H22=TRUE()),--('Patent Portfolio'!AK3:AK22&lt;&gt;"None"),--('Patent Portfolio'!AK3:AK22&lt;&gt;""))/COUNTIF('Bundle Assignment'!H3:H22,TRUE()),0)</f>
        <v>0</v>
      </c>
      <c r="N7" s="42" t="n">
        <f aca="false">IFERROR(SUMPRODUCT(--('Bundle Assignment'!H3:H22=TRUE()),--('Patent Portfolio'!AI3:AI22="Survived"))/COUNTIF('Bundle Assignment'!H3:H22,TRUE()),0)</f>
        <v>0</v>
      </c>
      <c r="O7" s="42" t="n">
        <f aca="false">IFERROR(SUMPRODUCT(--('Bundle Assignment'!H3:H22=TRUE()),--('Patent Portfolio'!T3:T22="Yes"))/COUNTIF('Bundle Assignment'!H3:H22,TRUE()),0)</f>
        <v>1</v>
      </c>
    </row>
    <row r="8" customFormat="false" ht="15" hidden="false" customHeight="true" outlineLevel="0" collapsed="false">
      <c r="A8" s="31" t="n">
        <v>7</v>
      </c>
      <c r="B8" s="35" t="s">
        <v>534</v>
      </c>
      <c r="C8" s="36" t="n">
        <f aca="false">COUNTIF('Bundle Assignment'!I3:I22,TRUE())</f>
        <v>1</v>
      </c>
      <c r="D8" s="37" t="n">
        <f aca="false">IFERROR(SUMPRODUCT(--('Bundle Assignment'!I3:I22=TRUE()),('Patent Portfolio'!O3:O22+'Patent Portfolio'!P3:P22)/2)/COUNTIF('Bundle Assignment'!I3:I22,TRUE()),0)</f>
        <v>1.5</v>
      </c>
      <c r="E8" s="38" t="n">
        <f aca="false">IFERROR(SUMPRODUCT(--('Bundle Assignment'!I3:I22=TRUE()),'Patent Portfolio'!U3:U22)/COUNTIF('Bundle Assignment'!I3:I22,TRUE()),0)</f>
        <v>17</v>
      </c>
      <c r="F8" s="39" t="n">
        <f aca="false">IFERROR(SUMPRODUCT(--('Bundle Assignment'!I3:I22=TRUE()),--('Patent Portfolio'!X3:X22="Yes"))/COUNTIF('Bundle Assignment'!I3:I22,TRUE()),0)</f>
        <v>1</v>
      </c>
      <c r="G8" s="39" t="n">
        <f aca="false">IFERROR(SUMPRODUCT(--('Bundle Assignment'!I3:I22=TRUE()),--('Patent Portfolio'!T3:T22="Yes"))/COUNTIF('Bundle Assignment'!I3:I22,TRUE()),0)</f>
        <v>1</v>
      </c>
      <c r="H8" s="39" t="n">
        <f aca="false">IFERROR(SUMPRODUCT(--('Bundle Assignment'!I3:I22=TRUE()),--('Patent Portfolio'!H3:H22&gt;=2))/COUNTIF('Bundle Assignment'!I3:I22,TRUE()),0)</f>
        <v>0</v>
      </c>
      <c r="I8" s="36" t="n">
        <f aca="false">SUMPRODUCT(--('Bundle Assignment'!I3:I22=TRUE()),--('Patent Portfolio'!L3:L22=3))</f>
        <v>1</v>
      </c>
      <c r="J8" s="40" t="str">
        <f aca="false">IF(C8&lt;2,"WEAK",IF(AND(C8&gt;=4,D8&gt;=2,E8&gt;=10),"STRONG","MODERATE"))</f>
        <v>WEAK</v>
      </c>
      <c r="K8" s="41" t="str">
        <f aca="false">IFERROR(aggregate(5,6,'Patent Portfolio'!AC3:AC22/('Bundle Assignment'!I3:I22=TRUE())),"")</f>
        <v/>
      </c>
      <c r="L8" s="42" t="n">
        <f aca="false">IFERROR(SUMPRODUCT(--('Bundle Assignment'!I3:I22=TRUE()),--('Patent Portfolio'!AD3:AD22&lt;=1))/COUNTIF('Bundle Assignment'!I3:I22,TRUE()),0)</f>
        <v>0</v>
      </c>
      <c r="M8" s="42" t="n">
        <f aca="false">IFERROR(SUMPRODUCT(--('Bundle Assignment'!I3:I22=TRUE()),--('Patent Portfolio'!AK3:AK22&lt;&gt;"None"),--('Patent Portfolio'!AK3:AK22&lt;&gt;""))/COUNTIF('Bundle Assignment'!I3:I22,TRUE()),0)</f>
        <v>1</v>
      </c>
      <c r="N8" s="42" t="n">
        <f aca="false">IFERROR(SUMPRODUCT(--('Bundle Assignment'!I3:I22=TRUE()),--('Patent Portfolio'!AI3:AI22="Survived"))/COUNTIF('Bundle Assignment'!I3:I22,TRUE()),0)</f>
        <v>0</v>
      </c>
      <c r="O8" s="42" t="n">
        <f aca="false">IFERROR(SUMPRODUCT(--('Bundle Assignment'!I3:I22=TRUE()),--('Patent Portfolio'!T3:T22="Yes"))/COUNTIF('Bundle Assignment'!I3:I22,TRUE()),0)</f>
        <v>1</v>
      </c>
    </row>
    <row r="9" customFormat="false" ht="15" hidden="false" customHeight="true" outlineLevel="0" collapsed="false">
      <c r="A9" s="31" t="n">
        <v>8</v>
      </c>
      <c r="B9" s="35" t="s">
        <v>535</v>
      </c>
      <c r="C9" s="36" t="n">
        <f aca="false">COUNTIF('Bundle Assignment'!J3:J22,TRUE())</f>
        <v>3</v>
      </c>
      <c r="D9" s="37" t="n">
        <f aca="false">IFERROR(SUMPRODUCT(--('Bundle Assignment'!J3:J22=TRUE()),('Patent Portfolio'!O3:O22+'Patent Portfolio'!P3:P22)/2)/COUNTIF('Bundle Assignment'!J3:J22,TRUE()),0)</f>
        <v>1.16666666666667</v>
      </c>
      <c r="E9" s="38" t="n">
        <f aca="false">IFERROR(SUMPRODUCT(--('Bundle Assignment'!J3:J22=TRUE()),'Patent Portfolio'!U3:U22)/COUNTIF('Bundle Assignment'!J3:J22,TRUE()),0)</f>
        <v>14</v>
      </c>
      <c r="F9" s="39" t="n">
        <f aca="false">IFERROR(SUMPRODUCT(--('Bundle Assignment'!J3:J22=TRUE()),--('Patent Portfolio'!X3:X22="Yes"))/COUNTIF('Bundle Assignment'!J3:J22,TRUE()),0)</f>
        <v>0.333333333333333</v>
      </c>
      <c r="G9" s="39" t="n">
        <f aca="false">IFERROR(SUMPRODUCT(--('Bundle Assignment'!J3:J22=TRUE()),--('Patent Portfolio'!T3:T22="Yes"))/COUNTIF('Bundle Assignment'!J3:J22,TRUE()),0)</f>
        <v>0.666666666666667</v>
      </c>
      <c r="H9" s="39" t="n">
        <f aca="false">IFERROR(SUMPRODUCT(--('Bundle Assignment'!J3:J22=TRUE()),--('Patent Portfolio'!H3:H22&gt;=2))/COUNTIF('Bundle Assignment'!J3:J22,TRUE()),0)</f>
        <v>0</v>
      </c>
      <c r="I9" s="36" t="n">
        <f aca="false">SUMPRODUCT(--('Bundle Assignment'!J3:J22=TRUE()),--('Patent Portfolio'!L3:L22=3))</f>
        <v>0</v>
      </c>
      <c r="J9" s="40" t="str">
        <f aca="false">IF(C9&lt;2,"WEAK",IF(AND(C9&gt;=4,D9&gt;=2,E9&gt;=10),"STRONG","MODERATE"))</f>
        <v>MODERATE</v>
      </c>
      <c r="K9" s="41" t="str">
        <f aca="false">IFERROR(aggregate(5,6,'Patent Portfolio'!AC3:AC22/('Bundle Assignment'!J3:J22=TRUE())),"")</f>
        <v/>
      </c>
      <c r="L9" s="42" t="n">
        <f aca="false">IFERROR(SUMPRODUCT(--('Bundle Assignment'!J3:J22=TRUE()),--('Patent Portfolio'!AD3:AD22&lt;=1))/COUNTIF('Bundle Assignment'!J3:J22,TRUE()),0)</f>
        <v>1</v>
      </c>
      <c r="M9" s="42" t="n">
        <f aca="false">IFERROR(SUMPRODUCT(--('Bundle Assignment'!J3:J22=TRUE()),--('Patent Portfolio'!AK3:AK22&lt;&gt;"None"),--('Patent Portfolio'!AK3:AK22&lt;&gt;""))/COUNTIF('Bundle Assignment'!J3:J22,TRUE()),0)</f>
        <v>0.333333333333333</v>
      </c>
      <c r="N9" s="42" t="n">
        <f aca="false">IFERROR(SUMPRODUCT(--('Bundle Assignment'!J3:J22=TRUE()),--('Patent Portfolio'!AI3:AI22="Survived"))/COUNTIF('Bundle Assignment'!J3:J22,TRUE()),0)</f>
        <v>0</v>
      </c>
      <c r="O9" s="42" t="n">
        <f aca="false">IFERROR(SUMPRODUCT(--('Bundle Assignment'!J3:J22=TRUE()),--('Patent Portfolio'!T3:T22="Yes"))/COUNTIF('Bundle Assignment'!J3:J22,TRUE()),0)</f>
        <v>0.666666666666667</v>
      </c>
    </row>
    <row r="10" customFormat="false" ht="15" hidden="false" customHeight="true" outlineLevel="0" collapsed="false">
      <c r="A10" s="31" t="n">
        <v>9</v>
      </c>
      <c r="B10" s="35" t="s">
        <v>536</v>
      </c>
      <c r="C10" s="36" t="n">
        <f aca="false">COUNTIF('Bundle Assignment'!K3:K22,TRUE())</f>
        <v>4</v>
      </c>
      <c r="D10" s="37" t="n">
        <f aca="false">IFERROR(SUMPRODUCT(--('Bundle Assignment'!K3:K22=TRUE()),('Patent Portfolio'!O3:O22+'Patent Portfolio'!P3:P22)/2)/COUNTIF('Bundle Assignment'!K3:K22,TRUE()),0)</f>
        <v>2</v>
      </c>
      <c r="E10" s="38" t="n">
        <f aca="false">IFERROR(SUMPRODUCT(--('Bundle Assignment'!K3:K22=TRUE()),'Patent Portfolio'!U3:U22)/COUNTIF('Bundle Assignment'!K3:K22,TRUE()),0)</f>
        <v>13.25</v>
      </c>
      <c r="F10" s="39" t="n">
        <f aca="false">IFERROR(SUMPRODUCT(--('Bundle Assignment'!K3:K22=TRUE()),--('Patent Portfolio'!X3:X22="Yes"))/COUNTIF('Bundle Assignment'!K3:K22,TRUE()),0)</f>
        <v>1</v>
      </c>
      <c r="G10" s="39" t="n">
        <f aca="false">IFERROR(SUMPRODUCT(--('Bundle Assignment'!K3:K22=TRUE()),--('Patent Portfolio'!T3:T22="Yes"))/COUNTIF('Bundle Assignment'!K3:K22,TRUE()),0)</f>
        <v>0.5</v>
      </c>
      <c r="H10" s="39" t="n">
        <f aca="false">IFERROR(SUMPRODUCT(--('Bundle Assignment'!K3:K22=TRUE()),--('Patent Portfolio'!H3:H22&gt;=2))/COUNTIF('Bundle Assignment'!K3:K22,TRUE()),0)</f>
        <v>1</v>
      </c>
      <c r="I10" s="36" t="n">
        <f aca="false">SUMPRODUCT(--('Bundle Assignment'!K3:K22=TRUE()),--('Patent Portfolio'!L3:L22=3))</f>
        <v>0</v>
      </c>
      <c r="J10" s="40" t="str">
        <f aca="false">IF(C10&lt;2,"WEAK",IF(AND(C10&gt;=4,D10&gt;=2,E10&gt;=10),"STRONG","MODERATE"))</f>
        <v>STRONG</v>
      </c>
      <c r="K10" s="41" t="str">
        <f aca="false">IFERROR(aggregate(5,6,'Patent Portfolio'!AC3:AC22/('Bundle Assignment'!K3:K22=TRUE())),"")</f>
        <v/>
      </c>
      <c r="L10" s="42" t="n">
        <f aca="false">IFERROR(SUMPRODUCT(--('Bundle Assignment'!K3:K22=TRUE()),--('Patent Portfolio'!AD3:AD22&lt;=1))/COUNTIF('Bundle Assignment'!K3:K22,TRUE()),0)</f>
        <v>0</v>
      </c>
      <c r="M10" s="42" t="n">
        <f aca="false">IFERROR(SUMPRODUCT(--('Bundle Assignment'!K3:K22=TRUE()),--('Patent Portfolio'!AK3:AK22&lt;&gt;"None"),--('Patent Portfolio'!AK3:AK22&lt;&gt;""))/COUNTIF('Bundle Assignment'!K3:K22,TRUE()),0)</f>
        <v>0.75</v>
      </c>
      <c r="N10" s="42" t="n">
        <f aca="false">IFERROR(SUMPRODUCT(--('Bundle Assignment'!K3:K22=TRUE()),--('Patent Portfolio'!AI3:AI22="Survived"))/COUNTIF('Bundle Assignment'!K3:K22,TRUE()),0)</f>
        <v>0.5</v>
      </c>
      <c r="O10" s="42" t="n">
        <f aca="false">IFERROR(SUMPRODUCT(--('Bundle Assignment'!K3:K22=TRUE()),--('Patent Portfolio'!T3:T22="Yes"))/COUNTIF('Bundle Assignment'!K3:K22,TRUE()),0)</f>
        <v>0.5</v>
      </c>
    </row>
    <row r="11" customFormat="false" ht="15" hidden="false" customHeight="true" outlineLevel="0" collapsed="false">
      <c r="A11" s="31" t="n">
        <v>10</v>
      </c>
      <c r="B11" s="35" t="s">
        <v>537</v>
      </c>
      <c r="C11" s="36" t="n">
        <f aca="false">COUNTIF('Bundle Assignment'!L3:L22,TRUE())</f>
        <v>12</v>
      </c>
      <c r="D11" s="37" t="n">
        <f aca="false">IFERROR(SUMPRODUCT(--('Bundle Assignment'!L3:L22=TRUE()),('Patent Portfolio'!O3:O22+'Patent Portfolio'!P3:P22)/2)/COUNTIF('Bundle Assignment'!L3:L22,TRUE()),0)</f>
        <v>1.58333333333333</v>
      </c>
      <c r="E11" s="38" t="n">
        <f aca="false">IFERROR(SUMPRODUCT(--('Bundle Assignment'!L3:L22=TRUE()),'Patent Portfolio'!U3:U22)/COUNTIF('Bundle Assignment'!L3:L22,TRUE()),0)</f>
        <v>13.1666666666667</v>
      </c>
      <c r="F11" s="39" t="n">
        <f aca="false">IFERROR(SUMPRODUCT(--('Bundle Assignment'!L3:L22=TRUE()),--('Patent Portfolio'!X3:X22="Yes"))/COUNTIF('Bundle Assignment'!L3:L22,TRUE()),0)</f>
        <v>0.833333333333333</v>
      </c>
      <c r="G11" s="39" t="n">
        <f aca="false">IFERROR(SUMPRODUCT(--('Bundle Assignment'!L3:L22=TRUE()),--('Patent Portfolio'!T3:T22="Yes"))/COUNTIF('Bundle Assignment'!L3:L22,TRUE()),0)</f>
        <v>0.5</v>
      </c>
      <c r="H11" s="39" t="n">
        <f aca="false">IFERROR(SUMPRODUCT(--('Bundle Assignment'!L3:L22=TRUE()),--('Patent Portfolio'!H3:H22&gt;=2))/COUNTIF('Bundle Assignment'!L3:L22,TRUE()),0)</f>
        <v>0.333333333333333</v>
      </c>
      <c r="I11" s="36" t="n">
        <f aca="false">SUMPRODUCT(--('Bundle Assignment'!L3:L22=TRUE()),--('Patent Portfolio'!L3:L22=3))</f>
        <v>1</v>
      </c>
      <c r="J11" s="40" t="str">
        <f aca="false">IF(C11&lt;2,"WEAK",IF(AND(C11&gt;=4,D11&gt;=2,E11&gt;=10),"STRONG","MODERATE"))</f>
        <v>MODERATE</v>
      </c>
      <c r="K11" s="41" t="str">
        <f aca="false">IFERROR(aggregate(5,6,'Patent Portfolio'!AC3:AC22/('Bundle Assignment'!L3:L22=TRUE())),"")</f>
        <v/>
      </c>
      <c r="L11" s="42" t="n">
        <f aca="false">IFERROR(SUMPRODUCT(--('Bundle Assignment'!L3:L22=TRUE()),--('Patent Portfolio'!AD3:AD22&lt;=1))/COUNTIF('Bundle Assignment'!L3:L22,TRUE()),0)</f>
        <v>0.25</v>
      </c>
      <c r="M11" s="42" t="n">
        <f aca="false">IFERROR(SUMPRODUCT(--('Bundle Assignment'!L3:L22=TRUE()),--('Patent Portfolio'!AK3:AK22&lt;&gt;"None"),--('Patent Portfolio'!AK3:AK22&lt;&gt;""))/COUNTIF('Bundle Assignment'!L3:L22,TRUE()),0)</f>
        <v>0.583333333333333</v>
      </c>
      <c r="N11" s="42" t="n">
        <f aca="false">IFERROR(SUMPRODUCT(--('Bundle Assignment'!L3:L22=TRUE()),--('Patent Portfolio'!AI3:AI22="Survived"))/COUNTIF('Bundle Assignment'!L3:L22,TRUE()),0)</f>
        <v>0.166666666666667</v>
      </c>
      <c r="O11" s="42" t="n">
        <f aca="false">IFERROR(SUMPRODUCT(--('Bundle Assignment'!L3:L22=TRUE()),--('Patent Portfolio'!T3:T22="Yes"))/COUNTIF('Bundle Assignment'!L3:L22,TRUE()),0)</f>
        <v>0.5</v>
      </c>
    </row>
    <row r="12" customFormat="false" ht="15" hidden="false" customHeight="true" outlineLevel="0" collapsed="false">
      <c r="A12" s="31" t="n">
        <v>11</v>
      </c>
      <c r="B12" s="35" t="s">
        <v>398</v>
      </c>
      <c r="C12" s="36" t="n">
        <f aca="false">COUNTIF('Bundle Assignment'!M3:M22,TRUE())</f>
        <v>12</v>
      </c>
      <c r="D12" s="37" t="n">
        <f aca="false">IFERROR(SUMPRODUCT(--('Bundle Assignment'!M3:M22=TRUE()),('Patent Portfolio'!O3:O22+'Patent Portfolio'!P3:P22)/2)/COUNTIF('Bundle Assignment'!M3:M22,TRUE()),0)</f>
        <v>1.58333333333333</v>
      </c>
      <c r="E12" s="38" t="n">
        <f aca="false">IFERROR(SUMPRODUCT(--('Bundle Assignment'!M3:M22=TRUE()),'Patent Portfolio'!U3:U22)/COUNTIF('Bundle Assignment'!M3:M22,TRUE()),0)</f>
        <v>13.1666666666667</v>
      </c>
      <c r="F12" s="39" t="n">
        <f aca="false">IFERROR(SUMPRODUCT(--('Bundle Assignment'!M3:M22=TRUE()),--('Patent Portfolio'!X3:X22="Yes"))/COUNTIF('Bundle Assignment'!M3:M22,TRUE()),0)</f>
        <v>0.833333333333333</v>
      </c>
      <c r="G12" s="39" t="n">
        <f aca="false">IFERROR(SUMPRODUCT(--('Bundle Assignment'!M3:M22=TRUE()),--('Patent Portfolio'!T3:T22="Yes"))/COUNTIF('Bundle Assignment'!M3:M22,TRUE()),0)</f>
        <v>0.5</v>
      </c>
      <c r="H12" s="39" t="n">
        <f aca="false">IFERROR(SUMPRODUCT(--('Bundle Assignment'!M3:M22=TRUE()),--('Patent Portfolio'!H3:H22&gt;=2))/COUNTIF('Bundle Assignment'!M3:M22,TRUE()),0)</f>
        <v>0.333333333333333</v>
      </c>
      <c r="I12" s="36" t="n">
        <f aca="false">SUMPRODUCT(--('Bundle Assignment'!M3:M22=TRUE()),--('Patent Portfolio'!L3:L22=3))</f>
        <v>1</v>
      </c>
      <c r="J12" s="40" t="str">
        <f aca="false">IF(C12&lt;2,"WEAK",IF(AND(C12&gt;=4,D12&gt;=2,E12&gt;=10),"STRONG","MODERATE"))</f>
        <v>MODERATE</v>
      </c>
      <c r="K12" s="41" t="str">
        <f aca="false">IFERROR(aggregate(5,6,'Patent Portfolio'!AC3:AC22/('Bundle Assignment'!M3:M22=TRUE())),"")</f>
        <v/>
      </c>
      <c r="L12" s="42" t="n">
        <f aca="false">IFERROR(SUMPRODUCT(--('Bundle Assignment'!M3:M22=TRUE()),--('Patent Portfolio'!AD3:AD22&lt;=1))/COUNTIF('Bundle Assignment'!M3:M22,TRUE()),0)</f>
        <v>0.25</v>
      </c>
      <c r="M12" s="42" t="n">
        <f aca="false">IFERROR(SUMPRODUCT(--('Bundle Assignment'!M3:M22=TRUE()),--('Patent Portfolio'!AK3:AK22&lt;&gt;"None"),--('Patent Portfolio'!AK3:AK22&lt;&gt;""))/COUNTIF('Bundle Assignment'!M3:M22,TRUE()),0)</f>
        <v>0.583333333333333</v>
      </c>
      <c r="N12" s="42" t="n">
        <f aca="false">IFERROR(SUMPRODUCT(--('Bundle Assignment'!M3:M22=TRUE()),--('Patent Portfolio'!AI3:AI22="Survived"))/COUNTIF('Bundle Assignment'!M3:M22,TRUE()),0)</f>
        <v>0.166666666666667</v>
      </c>
      <c r="O12" s="42" t="n">
        <f aca="false">IFERROR(SUMPRODUCT(--('Bundle Assignment'!M3:M22=TRUE()),--('Patent Portfolio'!T3:T22="Yes"))/COUNTIF('Bundle Assignment'!M3:M22,TRUE()),0)</f>
        <v>0.5</v>
      </c>
    </row>
    <row r="13" customFormat="false" ht="15" hidden="false" customHeight="true" outlineLevel="0" collapsed="false">
      <c r="A13" s="31" t="n">
        <v>12</v>
      </c>
      <c r="B13" s="35" t="s">
        <v>538</v>
      </c>
      <c r="C13" s="36" t="n">
        <f aca="false">COUNTIF('Bundle Assignment'!N3:N22,TRUE())</f>
        <v>11</v>
      </c>
      <c r="D13" s="37" t="n">
        <f aca="false">IFERROR(SUMPRODUCT(--('Bundle Assignment'!N3:N22=TRUE()),('Patent Portfolio'!O3:O22+'Patent Portfolio'!P3:P22)/2)/COUNTIF('Bundle Assignment'!N3:N22,TRUE()),0)</f>
        <v>1.68181818181818</v>
      </c>
      <c r="E13" s="38" t="n">
        <f aca="false">IFERROR(SUMPRODUCT(--('Bundle Assignment'!N3:N22=TRUE()),'Patent Portfolio'!U3:U22)/COUNTIF('Bundle Assignment'!N3:N22,TRUE()),0)</f>
        <v>13.1818181818182</v>
      </c>
      <c r="F13" s="39" t="n">
        <f aca="false">IFERROR(SUMPRODUCT(--('Bundle Assignment'!N3:N22=TRUE()),--('Patent Portfolio'!X3:X22="Yes"))/COUNTIF('Bundle Assignment'!N3:N22,TRUE()),0)</f>
        <v>0.818181818181818</v>
      </c>
      <c r="G13" s="39" t="n">
        <f aca="false">IFERROR(SUMPRODUCT(--('Bundle Assignment'!N3:N22=TRUE()),--('Patent Portfolio'!T3:T22="Yes"))/COUNTIF('Bundle Assignment'!N3:N22,TRUE()),0)</f>
        <v>0.454545454545455</v>
      </c>
      <c r="H13" s="39" t="n">
        <f aca="false">IFERROR(SUMPRODUCT(--('Bundle Assignment'!N3:N22=TRUE()),--('Patent Portfolio'!H3:H22&gt;=2))/COUNTIF('Bundle Assignment'!N3:N22,TRUE()),0)</f>
        <v>0.363636363636364</v>
      </c>
      <c r="I13" s="36" t="n">
        <f aca="false">SUMPRODUCT(--('Bundle Assignment'!N3:N22=TRUE()),--('Patent Portfolio'!L3:L22=3))</f>
        <v>1</v>
      </c>
      <c r="J13" s="40" t="str">
        <f aca="false">IF(C13&lt;2,"WEAK",IF(AND(C13&gt;=4,D13&gt;=2,E13&gt;=10),"STRONG","MODERATE"))</f>
        <v>MODERATE</v>
      </c>
      <c r="K13" s="41" t="str">
        <f aca="false">IFERROR(aggregate(5,6,'Patent Portfolio'!AC3:AC22/('Bundle Assignment'!N3:N22=TRUE())),"")</f>
        <v/>
      </c>
      <c r="L13" s="42" t="n">
        <f aca="false">IFERROR(SUMPRODUCT(--('Bundle Assignment'!N3:N22=TRUE()),--('Patent Portfolio'!AD3:AD22&lt;=1))/COUNTIF('Bundle Assignment'!N3:N22,TRUE()),0)</f>
        <v>0.272727272727273</v>
      </c>
      <c r="M13" s="42" t="n">
        <f aca="false">IFERROR(SUMPRODUCT(--('Bundle Assignment'!N3:N22=TRUE()),--('Patent Portfolio'!AK3:AK22&lt;&gt;"None"),--('Patent Portfolio'!AK3:AK22&lt;&gt;""))/COUNTIF('Bundle Assignment'!N3:N22,TRUE()),0)</f>
        <v>0.636363636363636</v>
      </c>
      <c r="N13" s="42" t="n">
        <f aca="false">IFERROR(SUMPRODUCT(--('Bundle Assignment'!N3:N22=TRUE()),--('Patent Portfolio'!AI3:AI22="Survived"))/COUNTIF('Bundle Assignment'!N3:N22,TRUE()),0)</f>
        <v>0.181818181818182</v>
      </c>
      <c r="O13" s="42" t="n">
        <f aca="false">IFERROR(SUMPRODUCT(--('Bundle Assignment'!N3:N22=TRUE()),--('Patent Portfolio'!T3:T22="Yes"))/COUNTIF('Bundle Assignment'!N3:N22,TRUE()),0)</f>
        <v>0.454545454545455</v>
      </c>
    </row>
    <row r="14" customFormat="false" ht="15" hidden="false" customHeight="true" outlineLevel="0" collapsed="false">
      <c r="A14" s="31" t="n">
        <v>13</v>
      </c>
      <c r="B14" s="35" t="s">
        <v>405</v>
      </c>
      <c r="C14" s="36" t="n">
        <f aca="false">COUNTIF('Bundle Assignment'!O3:O22,TRUE())</f>
        <v>10</v>
      </c>
      <c r="D14" s="37" t="n">
        <f aca="false">IFERROR(SUMPRODUCT(--('Bundle Assignment'!O3:O22=TRUE()),('Patent Portfolio'!O3:O22+'Patent Portfolio'!P3:P22)/2)/COUNTIF('Bundle Assignment'!O3:O22,TRUE()),0)</f>
        <v>1.7</v>
      </c>
      <c r="E14" s="38" t="n">
        <f aca="false">IFERROR(SUMPRODUCT(--('Bundle Assignment'!O3:O22=TRUE()),'Patent Portfolio'!U3:U22)/COUNTIF('Bundle Assignment'!O3:O22,TRUE()),0)</f>
        <v>13.1</v>
      </c>
      <c r="F14" s="39" t="n">
        <f aca="false">IFERROR(SUMPRODUCT(--('Bundle Assignment'!O3:O22=TRUE()),--('Patent Portfolio'!X3:X22="Yes"))/COUNTIF('Bundle Assignment'!O3:O22,TRUE()),0)</f>
        <v>1</v>
      </c>
      <c r="G14" s="39" t="n">
        <f aca="false">IFERROR(SUMPRODUCT(--('Bundle Assignment'!O3:O22=TRUE()),--('Patent Portfolio'!T3:T22="Yes"))/COUNTIF('Bundle Assignment'!O3:O22,TRUE()),0)</f>
        <v>0.5</v>
      </c>
      <c r="H14" s="39" t="n">
        <f aca="false">IFERROR(SUMPRODUCT(--('Bundle Assignment'!O3:O22=TRUE()),--('Patent Portfolio'!H3:H22&gt;=2))/COUNTIF('Bundle Assignment'!O3:O22,TRUE()),0)</f>
        <v>0.4</v>
      </c>
      <c r="I14" s="36" t="n">
        <f aca="false">SUMPRODUCT(--('Bundle Assignment'!O3:O22=TRUE()),--('Patent Portfolio'!L3:L22=3))</f>
        <v>1</v>
      </c>
      <c r="J14" s="40" t="str">
        <f aca="false">IF(C14&lt;2,"WEAK",IF(AND(C14&gt;=4,D14&gt;=2,E14&gt;=10),"STRONG","MODERATE"))</f>
        <v>MODERATE</v>
      </c>
      <c r="K14" s="41" t="str">
        <f aca="false">IFERROR(aggregate(5,6,'Patent Portfolio'!AC3:AC22/('Bundle Assignment'!O3:O22=TRUE())),"")</f>
        <v/>
      </c>
      <c r="L14" s="42" t="n">
        <f aca="false">IFERROR(SUMPRODUCT(--('Bundle Assignment'!O3:O22=TRUE()),--('Patent Portfolio'!AD3:AD22&lt;=1))/COUNTIF('Bundle Assignment'!O3:O22,TRUE()),0)</f>
        <v>0.1</v>
      </c>
      <c r="M14" s="42" t="n">
        <f aca="false">IFERROR(SUMPRODUCT(--('Bundle Assignment'!O3:O22=TRUE()),--('Patent Portfolio'!AK3:AK22&lt;&gt;"None"),--('Patent Portfolio'!AK3:AK22&lt;&gt;""))/COUNTIF('Bundle Assignment'!O3:O22,TRUE()),0)</f>
        <v>0.7</v>
      </c>
      <c r="N14" s="42" t="n">
        <f aca="false">IFERROR(SUMPRODUCT(--('Bundle Assignment'!O3:O22=TRUE()),--('Patent Portfolio'!AI3:AI22="Survived"))/COUNTIF('Bundle Assignment'!O3:O22,TRUE()),0)</f>
        <v>0.2</v>
      </c>
      <c r="O14" s="42" t="n">
        <f aca="false">IFERROR(SUMPRODUCT(--('Bundle Assignment'!O3:O22=TRUE()),--('Patent Portfolio'!T3:T22="Yes"))/COUNTIF('Bundle Assignment'!O3:O22,TRUE()),0)</f>
        <v>0.5</v>
      </c>
    </row>
    <row r="15" customFormat="false" ht="15" hidden="false" customHeight="true" outlineLevel="0" collapsed="false">
      <c r="A15" s="31" t="n">
        <v>14</v>
      </c>
      <c r="B15" s="35" t="s">
        <v>539</v>
      </c>
      <c r="C15" s="36" t="n">
        <f aca="false">COUNTIF('Bundle Assignment'!P3:P22,TRUE())</f>
        <v>12</v>
      </c>
      <c r="D15" s="37" t="n">
        <f aca="false">IFERROR(SUMPRODUCT(--('Bundle Assignment'!P3:P22=TRUE()),('Patent Portfolio'!O3:O22+'Patent Portfolio'!P3:P22)/2)/COUNTIF('Bundle Assignment'!P3:P22,TRUE()),0)</f>
        <v>1.58333333333333</v>
      </c>
      <c r="E15" s="38" t="n">
        <f aca="false">IFERROR(SUMPRODUCT(--('Bundle Assignment'!P3:P22=TRUE()),'Patent Portfolio'!U3:U22)/COUNTIF('Bundle Assignment'!P3:P22,TRUE()),0)</f>
        <v>13.1666666666667</v>
      </c>
      <c r="F15" s="39" t="n">
        <f aca="false">IFERROR(SUMPRODUCT(--('Bundle Assignment'!P3:P22=TRUE()),--('Patent Portfolio'!X3:X22="Yes"))/COUNTIF('Bundle Assignment'!P3:P22,TRUE()),0)</f>
        <v>0.833333333333333</v>
      </c>
      <c r="G15" s="39" t="n">
        <f aca="false">IFERROR(SUMPRODUCT(--('Bundle Assignment'!P3:P22=TRUE()),--('Patent Portfolio'!T3:T22="Yes"))/COUNTIF('Bundle Assignment'!P3:P22,TRUE()),0)</f>
        <v>0.5</v>
      </c>
      <c r="H15" s="39" t="n">
        <f aca="false">IFERROR(SUMPRODUCT(--('Bundle Assignment'!P3:P22=TRUE()),--('Patent Portfolio'!H3:H22&gt;=2))/COUNTIF('Bundle Assignment'!P3:P22,TRUE()),0)</f>
        <v>0.333333333333333</v>
      </c>
      <c r="I15" s="36" t="n">
        <f aca="false">SUMPRODUCT(--('Bundle Assignment'!P3:P22=TRUE()),--('Patent Portfolio'!L3:L22=3))</f>
        <v>1</v>
      </c>
      <c r="J15" s="40" t="str">
        <f aca="false">IF(C15&lt;2,"WEAK",IF(AND(C15&gt;=4,D15&gt;=2,E15&gt;=10),"STRONG","MODERATE"))</f>
        <v>MODERATE</v>
      </c>
      <c r="K15" s="41" t="str">
        <f aca="false">IFERROR(aggregate(5,6,'Patent Portfolio'!AC3:AC22/('Bundle Assignment'!P3:P22=TRUE())),"")</f>
        <v/>
      </c>
      <c r="L15" s="42" t="n">
        <f aca="false">IFERROR(SUMPRODUCT(--('Bundle Assignment'!P3:P22=TRUE()),--('Patent Portfolio'!AD3:AD22&lt;=1))/COUNTIF('Bundle Assignment'!P3:P22,TRUE()),0)</f>
        <v>0.25</v>
      </c>
      <c r="M15" s="42" t="n">
        <f aca="false">IFERROR(SUMPRODUCT(--('Bundle Assignment'!P3:P22=TRUE()),--('Patent Portfolio'!AK3:AK22&lt;&gt;"None"),--('Patent Portfolio'!AK3:AK22&lt;&gt;""))/COUNTIF('Bundle Assignment'!P3:P22,TRUE()),0)</f>
        <v>0.583333333333333</v>
      </c>
      <c r="N15" s="42" t="n">
        <f aca="false">IFERROR(SUMPRODUCT(--('Bundle Assignment'!P3:P22=TRUE()),--('Patent Portfolio'!AI3:AI22="Survived"))/COUNTIF('Bundle Assignment'!P3:P22,TRUE()),0)</f>
        <v>0.166666666666667</v>
      </c>
      <c r="O15" s="42" t="n">
        <f aca="false">IFERROR(SUMPRODUCT(--('Bundle Assignment'!P3:P22=TRUE()),--('Patent Portfolio'!T3:T22="Yes"))/COUNTIF('Bundle Assignment'!P3:P22,TRUE()),0)</f>
        <v>0.5</v>
      </c>
    </row>
    <row r="16" customFormat="false" ht="15" hidden="false" customHeight="true" outlineLevel="0" collapsed="false">
      <c r="A16" s="31" t="n">
        <v>15</v>
      </c>
      <c r="B16" s="35" t="s">
        <v>540</v>
      </c>
      <c r="C16" s="36" t="n">
        <f aca="false">COUNTIF('Bundle Assignment'!Q3:Q22,TRUE())</f>
        <v>12</v>
      </c>
      <c r="D16" s="37" t="n">
        <f aca="false">IFERROR(SUMPRODUCT(--('Bundle Assignment'!Q3:Q22=TRUE()),('Patent Portfolio'!O3:O22+'Patent Portfolio'!P3:P22)/2)/COUNTIF('Bundle Assignment'!Q3:Q22,TRUE()),0)</f>
        <v>1.58333333333333</v>
      </c>
      <c r="E16" s="38" t="n">
        <f aca="false">IFERROR(SUMPRODUCT(--('Bundle Assignment'!Q3:Q22=TRUE()),'Patent Portfolio'!U3:U22)/COUNTIF('Bundle Assignment'!Q3:Q22,TRUE()),0)</f>
        <v>13.1666666666667</v>
      </c>
      <c r="F16" s="39" t="n">
        <f aca="false">IFERROR(SUMPRODUCT(--('Bundle Assignment'!Q3:Q22=TRUE()),--('Patent Portfolio'!X3:X22="Yes"))/COUNTIF('Bundle Assignment'!Q3:Q22,TRUE()),0)</f>
        <v>0.833333333333333</v>
      </c>
      <c r="G16" s="39" t="n">
        <f aca="false">IFERROR(SUMPRODUCT(--('Bundle Assignment'!Q3:Q22=TRUE()),--('Patent Portfolio'!T3:T22="Yes"))/COUNTIF('Bundle Assignment'!Q3:Q22,TRUE()),0)</f>
        <v>0.5</v>
      </c>
      <c r="H16" s="39" t="n">
        <f aca="false">IFERROR(SUMPRODUCT(--('Bundle Assignment'!Q3:Q22=TRUE()),--('Patent Portfolio'!H3:H22&gt;=2))/COUNTIF('Bundle Assignment'!Q3:Q22,TRUE()),0)</f>
        <v>0.333333333333333</v>
      </c>
      <c r="I16" s="36" t="n">
        <f aca="false">SUMPRODUCT(--('Bundle Assignment'!Q3:Q22=TRUE()),--('Patent Portfolio'!L3:L22=3))</f>
        <v>1</v>
      </c>
      <c r="J16" s="40" t="str">
        <f aca="false">IF(C16&lt;2,"WEAK",IF(AND(C16&gt;=4,D16&gt;=2,E16&gt;=10),"STRONG","MODERATE"))</f>
        <v>MODERATE</v>
      </c>
      <c r="K16" s="41" t="str">
        <f aca="false">IFERROR(aggregate(5,6,'Patent Portfolio'!AC3:AC22/('Bundle Assignment'!Q3:Q22=TRUE())),"")</f>
        <v/>
      </c>
      <c r="L16" s="42" t="n">
        <f aca="false">IFERROR(SUMPRODUCT(--('Bundle Assignment'!Q3:Q22=TRUE()),--('Patent Portfolio'!AD3:AD22&lt;=1))/COUNTIF('Bundle Assignment'!Q3:Q22,TRUE()),0)</f>
        <v>0.25</v>
      </c>
      <c r="M16" s="42" t="n">
        <f aca="false">IFERROR(SUMPRODUCT(--('Bundle Assignment'!Q3:Q22=TRUE()),--('Patent Portfolio'!AK3:AK22&lt;&gt;"None"),--('Patent Portfolio'!AK3:AK22&lt;&gt;""))/COUNTIF('Bundle Assignment'!Q3:Q22,TRUE()),0)</f>
        <v>0.583333333333333</v>
      </c>
      <c r="N16" s="42" t="n">
        <f aca="false">IFERROR(SUMPRODUCT(--('Bundle Assignment'!Q3:Q22=TRUE()),--('Patent Portfolio'!AI3:AI22="Survived"))/COUNTIF('Bundle Assignment'!Q3:Q22,TRUE()),0)</f>
        <v>0.166666666666667</v>
      </c>
      <c r="O16" s="42" t="n">
        <f aca="false">IFERROR(SUMPRODUCT(--('Bundle Assignment'!Q3:Q22=TRUE()),--('Patent Portfolio'!T3:T22="Yes"))/COUNTIF('Bundle Assignment'!Q3:Q22,TRUE()),0)</f>
        <v>0.5</v>
      </c>
    </row>
    <row r="17" customFormat="false" ht="15" hidden="false" customHeight="true" outlineLevel="0" collapsed="false">
      <c r="A17" s="31" t="n">
        <v>16</v>
      </c>
      <c r="B17" s="35" t="s">
        <v>541</v>
      </c>
      <c r="C17" s="36" t="n">
        <f aca="false">COUNTIF('Bundle Assignment'!R3:R22,TRUE())</f>
        <v>13</v>
      </c>
      <c r="D17" s="37" t="n">
        <f aca="false">IFERROR(SUMPRODUCT(--('Bundle Assignment'!R3:R22=TRUE()),('Patent Portfolio'!O3:O22+'Patent Portfolio'!P3:P22)/2)/COUNTIF('Bundle Assignment'!R3:R22,TRUE()),0)</f>
        <v>0.615384615384615</v>
      </c>
      <c r="E17" s="38" t="n">
        <f aca="false">IFERROR(SUMPRODUCT(--('Bundle Assignment'!R3:R22=TRUE()),'Patent Portfolio'!U3:U22)/COUNTIF('Bundle Assignment'!R3:R22,TRUE()),0)</f>
        <v>5.38461538461539</v>
      </c>
      <c r="F17" s="39" t="n">
        <f aca="false">IFERROR(SUMPRODUCT(--('Bundle Assignment'!R3:R22=TRUE()),--('Patent Portfolio'!X3:X22="Yes"))/COUNTIF('Bundle Assignment'!R3:R22,TRUE()),0)</f>
        <v>0.230769230769231</v>
      </c>
      <c r="G17" s="39" t="n">
        <f aca="false">IFERROR(SUMPRODUCT(--('Bundle Assignment'!R3:R22=TRUE()),--('Patent Portfolio'!T3:T22="Yes"))/COUNTIF('Bundle Assignment'!R3:R22,TRUE()),0)</f>
        <v>0.230769230769231</v>
      </c>
      <c r="H17" s="39" t="n">
        <f aca="false">IFERROR(SUMPRODUCT(--('Bundle Assignment'!R3:R22=TRUE()),--('Patent Portfolio'!H3:H22&gt;=2))/COUNTIF('Bundle Assignment'!R3:R22,TRUE()),0)</f>
        <v>0.153846153846154</v>
      </c>
      <c r="I17" s="36" t="n">
        <f aca="false">SUMPRODUCT(--('Bundle Assignment'!R3:R22=TRUE()),--('Patent Portfolio'!L3:L22=3))</f>
        <v>1</v>
      </c>
      <c r="J17" s="40" t="str">
        <f aca="false">IF(C17&lt;2,"WEAK",IF(AND(C17&gt;=4,D17&gt;=2,E17&gt;=10),"STRONG","MODERATE"))</f>
        <v>MODERATE</v>
      </c>
      <c r="K17" s="41" t="str">
        <f aca="false">IFERROR(aggregate(5,6,'Patent Portfolio'!AC3:AC22/('Bundle Assignment'!R3:R22=TRUE())),"")</f>
        <v/>
      </c>
      <c r="L17" s="42" t="n">
        <f aca="false">IFERROR(SUMPRODUCT(--('Bundle Assignment'!R3:R22=TRUE()),--('Patent Portfolio'!AD3:AD22&lt;=1))/COUNTIF('Bundle Assignment'!R3:R22,TRUE()),0)</f>
        <v>0.769230769230769</v>
      </c>
      <c r="M17" s="42" t="n">
        <f aca="false">IFERROR(SUMPRODUCT(--('Bundle Assignment'!R3:R22=TRUE()),--('Patent Portfolio'!AK3:AK22&lt;&gt;"None"),--('Patent Portfolio'!AK3:AK22&lt;&gt;""))/COUNTIF('Bundle Assignment'!R3:R22,TRUE()),0)</f>
        <v>0.153846153846154</v>
      </c>
      <c r="N17" s="42" t="n">
        <f aca="false">IFERROR(SUMPRODUCT(--('Bundle Assignment'!R3:R22=TRUE()),--('Patent Portfolio'!AI3:AI22="Survived"))/COUNTIF('Bundle Assignment'!R3:R22,TRUE()),0)</f>
        <v>0.0769230769230769</v>
      </c>
      <c r="O17" s="42" t="n">
        <f aca="false">IFERROR(SUMPRODUCT(--('Bundle Assignment'!R3:R22=TRUE()),--('Patent Portfolio'!T3:T22="Yes"))/COUNTIF('Bundle Assignment'!R3:R22,TRUE()),0)</f>
        <v>0.230769230769231</v>
      </c>
    </row>
    <row r="18" customFormat="false" ht="15" hidden="false" customHeight="true" outlineLevel="0" collapsed="false">
      <c r="A18" s="31" t="n">
        <v>17</v>
      </c>
      <c r="B18" s="35" t="s">
        <v>542</v>
      </c>
      <c r="C18" s="36" t="n">
        <f aca="false">COUNTIF('Bundle Assignment'!S3:S22,TRUE())</f>
        <v>9</v>
      </c>
      <c r="D18" s="37" t="n">
        <f aca="false">IFERROR(SUMPRODUCT(--('Bundle Assignment'!S3:S22=TRUE()),('Patent Portfolio'!O3:O22+'Patent Portfolio'!P3:P22)/2)/COUNTIF('Bundle Assignment'!S3:S22,TRUE()),0)</f>
        <v>1.66666666666667</v>
      </c>
      <c r="E18" s="38" t="n">
        <f aca="false">IFERROR(SUMPRODUCT(--('Bundle Assignment'!S3:S22=TRUE()),'Patent Portfolio'!U3:U22)/COUNTIF('Bundle Assignment'!S3:S22,TRUE()),0)</f>
        <v>13.1111111111111</v>
      </c>
      <c r="F18" s="39" t="n">
        <f aca="false">IFERROR(SUMPRODUCT(--('Bundle Assignment'!S3:S22=TRUE()),--('Patent Portfolio'!X3:X22="Yes"))/COUNTIF('Bundle Assignment'!S3:S22,TRUE()),0)</f>
        <v>0.777777777777778</v>
      </c>
      <c r="G18" s="39" t="n">
        <f aca="false">IFERROR(SUMPRODUCT(--('Bundle Assignment'!S3:S22=TRUE()),--('Patent Portfolio'!T3:T22="Yes"))/COUNTIF('Bundle Assignment'!S3:S22,TRUE()),0)</f>
        <v>0.444444444444444</v>
      </c>
      <c r="H18" s="39" t="n">
        <f aca="false">IFERROR(SUMPRODUCT(--('Bundle Assignment'!S3:S22=TRUE()),--('Patent Portfolio'!H3:H22&gt;=2))/COUNTIF('Bundle Assignment'!S3:S22,TRUE()),0)</f>
        <v>0.222222222222222</v>
      </c>
      <c r="I18" s="36" t="n">
        <f aca="false">SUMPRODUCT(--('Bundle Assignment'!S3:S22=TRUE()),--('Patent Portfolio'!L3:L22=3))</f>
        <v>1</v>
      </c>
      <c r="J18" s="40" t="str">
        <f aca="false">IF(C18&lt;2,"WEAK",IF(AND(C18&gt;=4,D18&gt;=2,E18&gt;=10),"STRONG","MODERATE"))</f>
        <v>MODERATE</v>
      </c>
      <c r="K18" s="41" t="str">
        <f aca="false">IFERROR(aggregate(5,6,'Patent Portfolio'!AC3:AC22/('Bundle Assignment'!S3:S22=TRUE())),"")</f>
        <v/>
      </c>
      <c r="L18" s="42" t="n">
        <f aca="false">IFERROR(SUMPRODUCT(--('Bundle Assignment'!S3:S22=TRUE()),--('Patent Portfolio'!AD3:AD22&lt;=1))/COUNTIF('Bundle Assignment'!S3:S22,TRUE()),0)</f>
        <v>0.333333333333333</v>
      </c>
      <c r="M18" s="42" t="n">
        <f aca="false">IFERROR(SUMPRODUCT(--('Bundle Assignment'!S3:S22=TRUE()),--('Patent Portfolio'!AK3:AK22&lt;&gt;"None"),--('Patent Portfolio'!AK3:AK22&lt;&gt;""))/COUNTIF('Bundle Assignment'!S3:S22,TRUE()),0)</f>
        <v>0.555555555555556</v>
      </c>
      <c r="N18" s="42" t="n">
        <f aca="false">IFERROR(SUMPRODUCT(--('Bundle Assignment'!S3:S22=TRUE()),--('Patent Portfolio'!AI3:AI22="Survived"))/COUNTIF('Bundle Assignment'!S3:S22,TRUE()),0)</f>
        <v>0.111111111111111</v>
      </c>
      <c r="O18" s="42" t="n">
        <f aca="false">IFERROR(SUMPRODUCT(--('Bundle Assignment'!S3:S22=TRUE()),--('Patent Portfolio'!T3:T22="Yes"))/COUNTIF('Bundle Assignment'!S3:S22,TRUE()),0)</f>
        <v>0.444444444444444</v>
      </c>
    </row>
    <row r="19" customFormat="false" ht="15" hidden="false" customHeight="true" outlineLevel="0" collapsed="false">
      <c r="A19" s="31" t="n">
        <v>18</v>
      </c>
      <c r="B19" s="35" t="s">
        <v>543</v>
      </c>
      <c r="C19" s="36" t="n">
        <f aca="false">COUNTIF('Bundle Assignment'!T3:T22,TRUE())</f>
        <v>4</v>
      </c>
      <c r="D19" s="37" t="n">
        <f aca="false">IFERROR(SUMPRODUCT(--('Bundle Assignment'!T3:T22=TRUE()),('Patent Portfolio'!O3:O22+'Patent Portfolio'!P3:P22)/2)/COUNTIF('Bundle Assignment'!T3:T22,TRUE()),0)</f>
        <v>1.25</v>
      </c>
      <c r="E19" s="38" t="n">
        <f aca="false">IFERROR(SUMPRODUCT(--('Bundle Assignment'!T3:T22=TRUE()),'Patent Portfolio'!U3:U22)/COUNTIF('Bundle Assignment'!T3:T22,TRUE()),0)</f>
        <v>13</v>
      </c>
      <c r="F19" s="39" t="n">
        <f aca="false">IFERROR(SUMPRODUCT(--('Bundle Assignment'!T3:T22=TRUE()),--('Patent Portfolio'!X3:X22="Yes"))/COUNTIF('Bundle Assignment'!T3:T22,TRUE()),0)</f>
        <v>0.5</v>
      </c>
      <c r="G19" s="39" t="n">
        <f aca="false">IFERROR(SUMPRODUCT(--('Bundle Assignment'!T3:T22=TRUE()),--('Patent Portfolio'!T3:T22="Yes"))/COUNTIF('Bundle Assignment'!T3:T22,TRUE()),0)</f>
        <v>0.5</v>
      </c>
      <c r="H19" s="39" t="n">
        <f aca="false">IFERROR(SUMPRODUCT(--('Bundle Assignment'!T3:T22=TRUE()),--('Patent Portfolio'!H3:H22&gt;=2))/COUNTIF('Bundle Assignment'!T3:T22,TRUE()),0)</f>
        <v>0</v>
      </c>
      <c r="I19" s="36" t="n">
        <f aca="false">SUMPRODUCT(--('Bundle Assignment'!T3:T22=TRUE()),--('Patent Portfolio'!L3:L22=3))</f>
        <v>0</v>
      </c>
      <c r="J19" s="40" t="str">
        <f aca="false">IF(C19&lt;2,"WEAK",IF(AND(C19&gt;=4,D19&gt;=2,E19&gt;=10),"STRONG","MODERATE"))</f>
        <v>MODERATE</v>
      </c>
      <c r="K19" s="41" t="str">
        <f aca="false">IFERROR(aggregate(5,6,'Patent Portfolio'!AC3:AC22/('Bundle Assignment'!T3:T22=TRUE())),"")</f>
        <v/>
      </c>
      <c r="L19" s="42" t="n">
        <f aca="false">IFERROR(SUMPRODUCT(--('Bundle Assignment'!T3:T22=TRUE()),--('Patent Portfolio'!AD3:AD22&lt;=1))/COUNTIF('Bundle Assignment'!T3:T22,TRUE()),0)</f>
        <v>0.75</v>
      </c>
      <c r="M19" s="42" t="n">
        <f aca="false">IFERROR(SUMPRODUCT(--('Bundle Assignment'!T3:T22=TRUE()),--('Patent Portfolio'!AK3:AK22&lt;&gt;"None"),--('Patent Portfolio'!AK3:AK22&lt;&gt;""))/COUNTIF('Bundle Assignment'!T3:T22,TRUE()),0)</f>
        <v>0.5</v>
      </c>
      <c r="N19" s="42" t="n">
        <f aca="false">IFERROR(SUMPRODUCT(--('Bundle Assignment'!T3:T22=TRUE()),--('Patent Portfolio'!AI3:AI22="Survived"))/COUNTIF('Bundle Assignment'!T3:T22,TRUE()),0)</f>
        <v>0</v>
      </c>
      <c r="O19" s="42" t="n">
        <f aca="false">IFERROR(SUMPRODUCT(--('Bundle Assignment'!T3:T22=TRUE()),--('Patent Portfolio'!T3:T22="Yes"))/COUNTIF('Bundle Assignment'!T3:T22,TRUE()),0)</f>
        <v>0.5</v>
      </c>
    </row>
    <row r="20" customFormat="false" ht="15" hidden="false" customHeight="true" outlineLevel="0" collapsed="false">
      <c r="A20" s="31" t="n">
        <v>19</v>
      </c>
      <c r="B20" s="35" t="s">
        <v>544</v>
      </c>
      <c r="C20" s="36" t="n">
        <f aca="false">COUNTIF('Bundle Assignment'!U3:U22,TRUE())</f>
        <v>10</v>
      </c>
      <c r="D20" s="37" t="n">
        <f aca="false">IFERROR(SUMPRODUCT(--('Bundle Assignment'!U3:U22=TRUE()),('Patent Portfolio'!O3:O22+'Patent Portfolio'!P3:P22)/2)/COUNTIF('Bundle Assignment'!U3:U22,TRUE()),0)</f>
        <v>1.75</v>
      </c>
      <c r="E20" s="38" t="n">
        <f aca="false">IFERROR(SUMPRODUCT(--('Bundle Assignment'!U3:U22=TRUE()),'Patent Portfolio'!U3:U22)/COUNTIF('Bundle Assignment'!U3:U22,TRUE()),0)</f>
        <v>13.7</v>
      </c>
      <c r="F20" s="39" t="n">
        <f aca="false">IFERROR(SUMPRODUCT(--('Bundle Assignment'!U3:U22=TRUE()),--('Patent Portfolio'!X3:X22="Yes"))/COUNTIF('Bundle Assignment'!U3:U22,TRUE()),0)</f>
        <v>0.9</v>
      </c>
      <c r="G20" s="39" t="n">
        <f aca="false">IFERROR(SUMPRODUCT(--('Bundle Assignment'!U3:U22=TRUE()),--('Patent Portfolio'!T3:T22="Yes"))/COUNTIF('Bundle Assignment'!U3:U22,TRUE()),0)</f>
        <v>0.5</v>
      </c>
      <c r="H20" s="39" t="n">
        <f aca="false">IFERROR(SUMPRODUCT(--('Bundle Assignment'!U3:U22=TRUE()),--('Patent Portfolio'!H3:H22&gt;=2))/COUNTIF('Bundle Assignment'!U3:U22,TRUE()),0)</f>
        <v>0.4</v>
      </c>
      <c r="I20" s="36" t="n">
        <f aca="false">SUMPRODUCT(--('Bundle Assignment'!U3:U22=TRUE()),--('Patent Portfolio'!L3:L22=3))</f>
        <v>1</v>
      </c>
      <c r="J20" s="40" t="str">
        <f aca="false">IF(C20&lt;2,"WEAK",IF(AND(C20&gt;=4,D20&gt;=2,E20&gt;=10),"STRONG","MODERATE"))</f>
        <v>MODERATE</v>
      </c>
      <c r="K20" s="41" t="str">
        <f aca="false">IFERROR(aggregate(5,6,'Patent Portfolio'!AC3:AC22/('Bundle Assignment'!U3:U22=TRUE())),"")</f>
        <v/>
      </c>
      <c r="L20" s="42" t="n">
        <f aca="false">IFERROR(SUMPRODUCT(--('Bundle Assignment'!U3:U22=TRUE()),--('Patent Portfolio'!AD3:AD22&lt;=1))/COUNTIF('Bundle Assignment'!U3:U22,TRUE()),0)</f>
        <v>0.2</v>
      </c>
      <c r="M20" s="42" t="n">
        <f aca="false">IFERROR(SUMPRODUCT(--('Bundle Assignment'!U3:U22=TRUE()),--('Patent Portfolio'!AK3:AK22&lt;&gt;"None"),--('Patent Portfolio'!AK3:AK22&lt;&gt;""))/COUNTIF('Bundle Assignment'!U3:U22,TRUE()),0)</f>
        <v>0.7</v>
      </c>
      <c r="N20" s="42" t="n">
        <f aca="false">IFERROR(SUMPRODUCT(--('Bundle Assignment'!U3:U22=TRUE()),--('Patent Portfolio'!AI3:AI22="Survived"))/COUNTIF('Bundle Assignment'!U3:U22,TRUE()),0)</f>
        <v>0.2</v>
      </c>
      <c r="O20" s="42" t="n">
        <f aca="false">IFERROR(SUMPRODUCT(--('Bundle Assignment'!U3:U22=TRUE()),--('Patent Portfolio'!T3:T22="Yes"))/COUNTIF('Bundle Assignment'!U3:U22,TRUE()),0)</f>
        <v>0.5</v>
      </c>
    </row>
    <row r="21" customFormat="false" ht="15" hidden="false" customHeight="true" outlineLevel="0" collapsed="false">
      <c r="A21" s="31" t="n">
        <v>20</v>
      </c>
      <c r="B21" s="35" t="s">
        <v>545</v>
      </c>
      <c r="C21" s="36" t="n">
        <f aca="false">COUNTIF('Bundle Assignment'!V3:V22,TRUE())</f>
        <v>10</v>
      </c>
      <c r="D21" s="37" t="n">
        <f aca="false">IFERROR(SUMPRODUCT(--('Bundle Assignment'!V3:V22=TRUE()),('Patent Portfolio'!O3:O22+'Patent Portfolio'!P3:P22)/2)/COUNTIF('Bundle Assignment'!V3:V22,TRUE()),0)</f>
        <v>1.7</v>
      </c>
      <c r="E21" s="38" t="n">
        <f aca="false">IFERROR(SUMPRODUCT(--('Bundle Assignment'!V3:V22=TRUE()),'Patent Portfolio'!U3:U22)/COUNTIF('Bundle Assignment'!V3:V22,TRUE()),0)</f>
        <v>13.1</v>
      </c>
      <c r="F21" s="39" t="n">
        <f aca="false">IFERROR(SUMPRODUCT(--('Bundle Assignment'!V3:V22=TRUE()),--('Patent Portfolio'!X3:X22="Yes"))/COUNTIF('Bundle Assignment'!V3:V22,TRUE()),0)</f>
        <v>1</v>
      </c>
      <c r="G21" s="39" t="n">
        <f aca="false">IFERROR(SUMPRODUCT(--('Bundle Assignment'!V3:V22=TRUE()),--('Patent Portfolio'!T3:T22="Yes"))/COUNTIF('Bundle Assignment'!V3:V22,TRUE()),0)</f>
        <v>0.5</v>
      </c>
      <c r="H21" s="39" t="n">
        <f aca="false">IFERROR(SUMPRODUCT(--('Bundle Assignment'!V3:V22=TRUE()),--('Patent Portfolio'!H3:H22&gt;=2))/COUNTIF('Bundle Assignment'!V3:V22,TRUE()),0)</f>
        <v>0.4</v>
      </c>
      <c r="I21" s="36" t="n">
        <f aca="false">SUMPRODUCT(--('Bundle Assignment'!V3:V22=TRUE()),--('Patent Portfolio'!L3:L22=3))</f>
        <v>1</v>
      </c>
      <c r="J21" s="40" t="str">
        <f aca="false">IF(C21&lt;2,"WEAK",IF(AND(C21&gt;=4,D21&gt;=2,E21&gt;=10),"STRONG","MODERATE"))</f>
        <v>MODERATE</v>
      </c>
      <c r="K21" s="41" t="str">
        <f aca="false">IFERROR(aggregate(5,6,'Patent Portfolio'!AC3:AC22/('Bundle Assignment'!V3:V22=TRUE())),"")</f>
        <v/>
      </c>
      <c r="L21" s="42" t="n">
        <f aca="false">IFERROR(SUMPRODUCT(--('Bundle Assignment'!V3:V22=TRUE()),--('Patent Portfolio'!AD3:AD22&lt;=1))/COUNTIF('Bundle Assignment'!V3:V22,TRUE()),0)</f>
        <v>0.1</v>
      </c>
      <c r="M21" s="42" t="n">
        <f aca="false">IFERROR(SUMPRODUCT(--('Bundle Assignment'!V3:V22=TRUE()),--('Patent Portfolio'!AK3:AK22&lt;&gt;"None"),--('Patent Portfolio'!AK3:AK22&lt;&gt;""))/COUNTIF('Bundle Assignment'!V3:V22,TRUE()),0)</f>
        <v>0.7</v>
      </c>
      <c r="N21" s="42" t="n">
        <f aca="false">IFERROR(SUMPRODUCT(--('Bundle Assignment'!V3:V22=TRUE()),--('Patent Portfolio'!AI3:AI22="Survived"))/COUNTIF('Bundle Assignment'!V3:V22,TRUE()),0)</f>
        <v>0.2</v>
      </c>
      <c r="O21" s="42" t="n">
        <f aca="false">IFERROR(SUMPRODUCT(--('Bundle Assignment'!V3:V22=TRUE()),--('Patent Portfolio'!T3:T22="Yes"))/COUNTIF('Bundle Assignment'!V3:V22,TRUE()),0)</f>
        <v>0.5</v>
      </c>
    </row>
    <row r="22" customFormat="false" ht="15" hidden="false" customHeight="true" outlineLevel="0" collapsed="false">
      <c r="A22" s="31" t="n">
        <v>21</v>
      </c>
      <c r="B22" s="35" t="s">
        <v>432</v>
      </c>
      <c r="C22" s="36" t="n">
        <f aca="false">COUNTIF('Bundle Assignment'!W3:W22,TRUE())</f>
        <v>6</v>
      </c>
      <c r="D22" s="37" t="n">
        <f aca="false">IFERROR(SUMPRODUCT(--('Bundle Assignment'!W3:W22=TRUE()),('Patent Portfolio'!O3:O22+'Patent Portfolio'!P3:P22)/2)/COUNTIF('Bundle Assignment'!W3:W22,TRUE()),0)</f>
        <v>1.33333333333333</v>
      </c>
      <c r="E22" s="38" t="n">
        <f aca="false">IFERROR(SUMPRODUCT(--('Bundle Assignment'!W3:W22=TRUE()),'Patent Portfolio'!U3:U22)/COUNTIF('Bundle Assignment'!W3:W22,TRUE()),0)</f>
        <v>15.8333333333333</v>
      </c>
      <c r="F22" s="39" t="n">
        <f aca="false">IFERROR(SUMPRODUCT(--('Bundle Assignment'!W3:W22=TRUE()),--('Patent Portfolio'!X3:X22="Yes"))/COUNTIF('Bundle Assignment'!W3:W22,TRUE()),0)</f>
        <v>0.833333333333333</v>
      </c>
      <c r="G22" s="39" t="n">
        <f aca="false">IFERROR(SUMPRODUCT(--('Bundle Assignment'!W3:W22=TRUE()),--('Patent Portfolio'!T3:T22="Yes"))/COUNTIF('Bundle Assignment'!W3:W22,TRUE()),0)</f>
        <v>1</v>
      </c>
      <c r="H22" s="39" t="n">
        <f aca="false">IFERROR(SUMPRODUCT(--('Bundle Assignment'!W3:W22=TRUE()),--('Patent Portfolio'!H3:H22&gt;=2))/COUNTIF('Bundle Assignment'!W3:W22,TRUE()),0)</f>
        <v>0.333333333333333</v>
      </c>
      <c r="I22" s="36" t="n">
        <f aca="false">SUMPRODUCT(--('Bundle Assignment'!W3:W22=TRUE()),--('Patent Portfolio'!L3:L22=3))</f>
        <v>1</v>
      </c>
      <c r="J22" s="40" t="str">
        <f aca="false">IF(C22&lt;2,"WEAK",IF(AND(C22&gt;=4,D22&gt;=2,E22&gt;=10),"STRONG","MODERATE"))</f>
        <v>MODERATE</v>
      </c>
      <c r="K22" s="41" t="str">
        <f aca="false">IFERROR(aggregate(5,6,'Patent Portfolio'!AC3:AC22/('Bundle Assignment'!W3:W22=TRUE())),"")</f>
        <v/>
      </c>
      <c r="L22" s="42" t="n">
        <f aca="false">IFERROR(SUMPRODUCT(--('Bundle Assignment'!W3:W22=TRUE()),--('Patent Portfolio'!AD3:AD22&lt;=1))/COUNTIF('Bundle Assignment'!W3:W22,TRUE()),0)</f>
        <v>0.333333333333333</v>
      </c>
      <c r="M22" s="42" t="n">
        <f aca="false">IFERROR(SUMPRODUCT(--('Bundle Assignment'!W3:W22=TRUE()),--('Patent Portfolio'!AK3:AK22&lt;&gt;"None"),--('Patent Portfolio'!AK3:AK22&lt;&gt;""))/COUNTIF('Bundle Assignment'!W3:W22,TRUE()),0)</f>
        <v>0.5</v>
      </c>
      <c r="N22" s="42" t="n">
        <f aca="false">IFERROR(SUMPRODUCT(--('Bundle Assignment'!W3:W22=TRUE()),--('Patent Portfolio'!AI3:AI22="Survived"))/COUNTIF('Bundle Assignment'!W3:W22,TRUE()),0)</f>
        <v>0.166666666666667</v>
      </c>
      <c r="O22" s="42" t="n">
        <f aca="false">IFERROR(SUMPRODUCT(--('Bundle Assignment'!W3:W22=TRUE()),--('Patent Portfolio'!T3:T22="Yes"))/COUNTIF('Bundle Assignment'!W3:W22,TRUE()),0)</f>
        <v>1</v>
      </c>
    </row>
    <row r="23" customFormat="false" ht="15" hidden="false" customHeight="false" outlineLevel="0" collapsed="false">
      <c r="A23" s="31" t="n">
        <v>22</v>
      </c>
      <c r="B23" s="43" t="s">
        <v>436</v>
      </c>
      <c r="C23" s="36" t="n">
        <f aca="false">COUNTIF('Bundle Assignment'!X3:X22,TRUE())</f>
        <v>10</v>
      </c>
      <c r="D23" s="37" t="n">
        <f aca="false">IFERROR(SUMPRODUCT(--('Bundle Assignment'!X3:X22=TRUE()),('Patent Portfolio'!O3:O22+'Patent Portfolio'!P3:P22)/2)/COUNTIF('Bundle Assignment'!X3:X22,TRUE()),0)</f>
        <v>1.7</v>
      </c>
      <c r="E23" s="38" t="n">
        <f aca="false">IFERROR(SUMPRODUCT(--('Bundle Assignment'!X3:X22=TRUE()),'Patent Portfolio'!U3:U22)/COUNTIF('Bundle Assignment'!X3:X22,TRUE()),0)</f>
        <v>13.1</v>
      </c>
      <c r="F23" s="39" t="n">
        <f aca="false">IFERROR(SUMPRODUCT(--('Bundle Assignment'!X3:X22=TRUE()),--('Patent Portfolio'!X3:X22="Yes"))/COUNTIF('Bundle Assignment'!X3:X22,TRUE()),0)</f>
        <v>1</v>
      </c>
      <c r="G23" s="39" t="n">
        <f aca="false">IFERROR(SUMPRODUCT(--('Bundle Assignment'!X3:X22=TRUE()),--('Patent Portfolio'!T3:T22="Yes"))/COUNTIF('Bundle Assignment'!X3:X22,TRUE()),0)</f>
        <v>0.5</v>
      </c>
      <c r="H23" s="39" t="n">
        <f aca="false">IFERROR(SUMPRODUCT(--('Bundle Assignment'!X3:X22=TRUE()),--('Patent Portfolio'!H3:H22&gt;=2))/COUNTIF('Bundle Assignment'!X3:X22,TRUE()),0)</f>
        <v>0.4</v>
      </c>
      <c r="I23" s="36" t="n">
        <f aca="false">SUMPRODUCT(--('Bundle Assignment'!X3:X22=TRUE()),--('Patent Portfolio'!L3:L22=3))</f>
        <v>1</v>
      </c>
      <c r="J23" s="36" t="str">
        <f aca="false">IF(C23&lt;2,"WEAK",IF(AND(C23&gt;=4,D23&gt;=2,E23&gt;=10),"STRONG","MODERATE"))</f>
        <v>MODERATE</v>
      </c>
      <c r="K23" s="41" t="str">
        <f aca="false">IFERROR(aggregate(5,6,'Patent Portfolio'!AC3:AC22/('Bundle Assignment'!X3:X22=TRUE())),"")</f>
        <v/>
      </c>
      <c r="L23" s="42" t="n">
        <f aca="false">IFERROR(SUMPRODUCT(--('Bundle Assignment'!X3:X22=TRUE()),--('Patent Portfolio'!AD3:AD22&lt;=1))/COUNTIF('Bundle Assignment'!X3:X22,TRUE()),0)</f>
        <v>0.1</v>
      </c>
      <c r="M23" s="42" t="n">
        <f aca="false">IFERROR(SUMPRODUCT(--('Bundle Assignment'!X3:X22=TRUE()),--('Patent Portfolio'!AK3:AK22&lt;&gt;"None"),--('Patent Portfolio'!AK3:AK22&lt;&gt;""))/COUNTIF('Bundle Assignment'!X3:X22,TRUE()),0)</f>
        <v>0.7</v>
      </c>
      <c r="N23" s="42" t="n">
        <f aca="false">IFERROR(SUMPRODUCT(--('Bundle Assignment'!X3:X22=TRUE()),--('Patent Portfolio'!AI3:AI22="Survived"))/COUNTIF('Bundle Assignment'!X3:X22,TRUE()),0)</f>
        <v>0.2</v>
      </c>
      <c r="O23" s="42" t="n">
        <f aca="false">IFERROR(SUMPRODUCT(--('Bundle Assignment'!X3:X22=TRUE()),--('Patent Portfolio'!T3:T22="Yes"))/COUNTIF('Bundle Assignment'!X3:X22,TRUE()),0)</f>
        <v>0.5</v>
      </c>
    </row>
    <row r="24" customFormat="false" ht="15" hidden="false" customHeight="false" outlineLevel="0" collapsed="false">
      <c r="A24" s="31" t="n">
        <v>23</v>
      </c>
      <c r="B24" s="43" t="s">
        <v>440</v>
      </c>
      <c r="C24" s="36" t="n">
        <f aca="false">COUNTIF('Bundle Assignment'!Y3:Y22,TRUE())</f>
        <v>12</v>
      </c>
      <c r="D24" s="37" t="n">
        <f aca="false">IFERROR(SUMPRODUCT(--('Bundle Assignment'!Y3:Y22=TRUE()),('Patent Portfolio'!O3:O22+'Patent Portfolio'!P3:P22)/2)/COUNTIF('Bundle Assignment'!Y3:Y22,TRUE()),0)</f>
        <v>1.58333333333333</v>
      </c>
      <c r="E24" s="38" t="n">
        <f aca="false">IFERROR(SUMPRODUCT(--('Bundle Assignment'!Y3:Y22=TRUE()),'Patent Portfolio'!U3:U22)/COUNTIF('Bundle Assignment'!Y3:Y22,TRUE()),0)</f>
        <v>13.1666666666667</v>
      </c>
      <c r="F24" s="39" t="n">
        <f aca="false">IFERROR(SUMPRODUCT(--('Bundle Assignment'!Y3:Y22=TRUE()),--('Patent Portfolio'!X3:X22="Yes"))/COUNTIF('Bundle Assignment'!Y3:Y22,TRUE()),0)</f>
        <v>0.833333333333333</v>
      </c>
      <c r="G24" s="39" t="n">
        <f aca="false">IFERROR(SUMPRODUCT(--('Bundle Assignment'!Y3:Y22=TRUE()),--('Patent Portfolio'!T3:T22="Yes"))/COUNTIF('Bundle Assignment'!Y3:Y22,TRUE()),0)</f>
        <v>0.5</v>
      </c>
      <c r="H24" s="39" t="n">
        <f aca="false">IFERROR(SUMPRODUCT(--('Bundle Assignment'!Y3:Y22=TRUE()),--('Patent Portfolio'!H3:H22&gt;=2))/COUNTIF('Bundle Assignment'!Y3:Y22,TRUE()),0)</f>
        <v>0.333333333333333</v>
      </c>
      <c r="I24" s="36" t="n">
        <f aca="false">SUMPRODUCT(--('Bundle Assignment'!Y3:Y22=TRUE()),--('Patent Portfolio'!L3:L22=3))</f>
        <v>1</v>
      </c>
      <c r="J24" s="36" t="str">
        <f aca="false">IF(C24&lt;2,"WEAK",IF(AND(C24&gt;=4,D24&gt;=2,E24&gt;=10),"STRONG","MODERATE"))</f>
        <v>MODERATE</v>
      </c>
      <c r="K24" s="41" t="str">
        <f aca="false">IFERROR(aggregate(5,6,'Patent Portfolio'!AC3:AC22/('Bundle Assignment'!Y3:Y22=TRUE())),"")</f>
        <v/>
      </c>
      <c r="L24" s="42" t="n">
        <f aca="false">IFERROR(SUMPRODUCT(--('Bundle Assignment'!Y3:Y22=TRUE()),--('Patent Portfolio'!AD3:AD22&lt;=1))/COUNTIF('Bundle Assignment'!Y3:Y22,TRUE()),0)</f>
        <v>0.25</v>
      </c>
      <c r="M24" s="42" t="n">
        <f aca="false">IFERROR(SUMPRODUCT(--('Bundle Assignment'!Y3:Y22=TRUE()),--('Patent Portfolio'!AK3:AK22&lt;&gt;"None"),--('Patent Portfolio'!AK3:AK22&lt;&gt;""))/COUNTIF('Bundle Assignment'!Y3:Y22,TRUE()),0)</f>
        <v>0.583333333333333</v>
      </c>
      <c r="N24" s="42" t="n">
        <f aca="false">IFERROR(SUMPRODUCT(--('Bundle Assignment'!Y3:Y22=TRUE()),--('Patent Portfolio'!AI3:AI22="Survived"))/COUNTIF('Bundle Assignment'!Y3:Y22,TRUE()),0)</f>
        <v>0.166666666666667</v>
      </c>
      <c r="O24" s="42" t="n">
        <f aca="false">IFERROR(SUMPRODUCT(--('Bundle Assignment'!Y3:Y22=TRUE()),--('Patent Portfolio'!T3:T22="Yes"))/COUNTIF('Bundle Assignment'!Y3:Y22,TRUE()),0)</f>
        <v>0.5</v>
      </c>
    </row>
    <row r="25" customFormat="false" ht="15" hidden="false" customHeight="false" outlineLevel="0" collapsed="false">
      <c r="A25" s="31" t="n">
        <v>24</v>
      </c>
      <c r="B25" s="43" t="s">
        <v>444</v>
      </c>
      <c r="C25" s="36" t="n">
        <f aca="false">COUNTIF('Bundle Assignment'!Z3:Z22,TRUE())</f>
        <v>12</v>
      </c>
      <c r="D25" s="37" t="n">
        <f aca="false">IFERROR(SUMPRODUCT(--('Bundle Assignment'!Z3:Z22=TRUE()),('Patent Portfolio'!O3:O22+'Patent Portfolio'!P3:P22)/2)/COUNTIF('Bundle Assignment'!Z3:Z22,TRUE()),0)</f>
        <v>1.58333333333333</v>
      </c>
      <c r="E25" s="38" t="n">
        <f aca="false">IFERROR(SUMPRODUCT(--('Bundle Assignment'!Z3:Z22=TRUE()),'Patent Portfolio'!U3:U22)/COUNTIF('Bundle Assignment'!Z3:Z22,TRUE()),0)</f>
        <v>13.1666666666667</v>
      </c>
      <c r="F25" s="39" t="n">
        <f aca="false">IFERROR(SUMPRODUCT(--('Bundle Assignment'!Z3:Z22=TRUE()),--('Patent Portfolio'!X3:X22="Yes"))/COUNTIF('Bundle Assignment'!Z3:Z22,TRUE()),0)</f>
        <v>0.833333333333333</v>
      </c>
      <c r="G25" s="39" t="n">
        <f aca="false">IFERROR(SUMPRODUCT(--('Bundle Assignment'!Z3:Z22=TRUE()),--('Patent Portfolio'!T3:T22="Yes"))/COUNTIF('Bundle Assignment'!Z3:Z22,TRUE()),0)</f>
        <v>0.5</v>
      </c>
      <c r="H25" s="39" t="n">
        <f aca="false">IFERROR(SUMPRODUCT(--('Bundle Assignment'!Z3:Z22=TRUE()),--('Patent Portfolio'!H3:H22&gt;=2))/COUNTIF('Bundle Assignment'!Z3:Z22,TRUE()),0)</f>
        <v>0.333333333333333</v>
      </c>
      <c r="I25" s="36" t="n">
        <f aca="false">SUMPRODUCT(--('Bundle Assignment'!Z3:Z22=TRUE()),--('Patent Portfolio'!L3:L22=3))</f>
        <v>1</v>
      </c>
      <c r="J25" s="36" t="str">
        <f aca="false">IF(C25&lt;2,"WEAK",IF(AND(C25&gt;=4,D25&gt;=2,E25&gt;=10),"STRONG","MODERATE"))</f>
        <v>MODERATE</v>
      </c>
      <c r="K25" s="41" t="str">
        <f aca="false">IFERROR(aggregate(5,6,'Patent Portfolio'!AC3:AC22/('Bundle Assignment'!Z3:Z22=TRUE())),"")</f>
        <v/>
      </c>
      <c r="L25" s="42" t="n">
        <f aca="false">IFERROR(SUMPRODUCT(--('Bundle Assignment'!Z3:Z22=TRUE()),--('Patent Portfolio'!AD3:AD22&lt;=1))/COUNTIF('Bundle Assignment'!Z3:Z22,TRUE()),0)</f>
        <v>0.25</v>
      </c>
      <c r="M25" s="42" t="n">
        <f aca="false">IFERROR(SUMPRODUCT(--('Bundle Assignment'!Z3:Z22=TRUE()),--('Patent Portfolio'!AK3:AK22&lt;&gt;"None"),--('Patent Portfolio'!AK3:AK22&lt;&gt;""))/COUNTIF('Bundle Assignment'!Z3:Z22,TRUE()),0)</f>
        <v>0.583333333333333</v>
      </c>
      <c r="N25" s="42" t="n">
        <f aca="false">IFERROR(SUMPRODUCT(--('Bundle Assignment'!Z3:Z22=TRUE()),--('Patent Portfolio'!AI3:AI22="Survived"))/COUNTIF('Bundle Assignment'!Z3:Z22,TRUE()),0)</f>
        <v>0.166666666666667</v>
      </c>
      <c r="O25" s="42" t="n">
        <f aca="false">IFERROR(SUMPRODUCT(--('Bundle Assignment'!Z3:Z22=TRUE()),--('Patent Portfolio'!T3:T22="Yes"))/COUNTIF('Bundle Assignment'!Z3:Z22,TRUE()),0)</f>
        <v>0.5</v>
      </c>
    </row>
    <row r="26" customFormat="false" ht="15" hidden="false" customHeight="false" outlineLevel="0" collapsed="false">
      <c r="A26" s="31" t="n">
        <v>25</v>
      </c>
      <c r="B26" s="43" t="s">
        <v>448</v>
      </c>
      <c r="C26" s="36" t="n">
        <f aca="false">COUNTIF('Bundle Assignment'!AA3:AA22,TRUE())</f>
        <v>6</v>
      </c>
      <c r="D26" s="37" t="n">
        <f aca="false">IFERROR(SUMPRODUCT(--('Bundle Assignment'!AA3:AA22=TRUE()),('Patent Portfolio'!O3:O22+'Patent Portfolio'!P3:P22)/2)/COUNTIF('Bundle Assignment'!AA3:AA22,TRUE()),0)</f>
        <v>1.33333333333333</v>
      </c>
      <c r="E26" s="38" t="n">
        <f aca="false">IFERROR(SUMPRODUCT(--('Bundle Assignment'!AA3:AA22=TRUE()),'Patent Portfolio'!U3:U22)/COUNTIF('Bundle Assignment'!AA3:AA22,TRUE()),0)</f>
        <v>15.8333333333333</v>
      </c>
      <c r="F26" s="39" t="n">
        <f aca="false">IFERROR(SUMPRODUCT(--('Bundle Assignment'!AA3:AA22=TRUE()),--('Patent Portfolio'!X3:X22="Yes"))/COUNTIF('Bundle Assignment'!AA3:AA22,TRUE()),0)</f>
        <v>0.833333333333333</v>
      </c>
      <c r="G26" s="39" t="n">
        <f aca="false">IFERROR(SUMPRODUCT(--('Bundle Assignment'!AA3:AA22=TRUE()),--('Patent Portfolio'!T3:T22="Yes"))/COUNTIF('Bundle Assignment'!AA3:AA22,TRUE()),0)</f>
        <v>1</v>
      </c>
      <c r="H26" s="39" t="n">
        <f aca="false">IFERROR(SUMPRODUCT(--('Bundle Assignment'!AA3:AA22=TRUE()),--('Patent Portfolio'!H3:H22&gt;=2))/COUNTIF('Bundle Assignment'!AA3:AA22,TRUE()),0)</f>
        <v>0.333333333333333</v>
      </c>
      <c r="I26" s="36" t="n">
        <f aca="false">SUMPRODUCT(--('Bundle Assignment'!AA3:AA22=TRUE()),--('Patent Portfolio'!L3:L22=3))</f>
        <v>1</v>
      </c>
      <c r="J26" s="36" t="str">
        <f aca="false">IF(C26&lt;2,"WEAK",IF(AND(C26&gt;=4,D26&gt;=2,E26&gt;=10),"STRONG","MODERATE"))</f>
        <v>MODERATE</v>
      </c>
      <c r="K26" s="41" t="str">
        <f aca="false">IFERROR(aggregate(5,6,'Patent Portfolio'!AC3:AC22/('Bundle Assignment'!AA3:AA22=TRUE())),"")</f>
        <v/>
      </c>
      <c r="L26" s="42" t="n">
        <f aca="false">IFERROR(SUMPRODUCT(--('Bundle Assignment'!AA3:AA22=TRUE()),--('Patent Portfolio'!AD3:AD22&lt;=1))/COUNTIF('Bundle Assignment'!AA3:AA22,TRUE()),0)</f>
        <v>0.333333333333333</v>
      </c>
      <c r="M26" s="42" t="n">
        <f aca="false">IFERROR(SUMPRODUCT(--('Bundle Assignment'!AA3:AA22=TRUE()),--('Patent Portfolio'!AK3:AK22&lt;&gt;"None"),--('Patent Portfolio'!AK3:AK22&lt;&gt;""))/COUNTIF('Bundle Assignment'!AA3:AA22,TRUE()),0)</f>
        <v>0.5</v>
      </c>
      <c r="N26" s="42" t="n">
        <f aca="false">IFERROR(SUMPRODUCT(--('Bundle Assignment'!AA3:AA22=TRUE()),--('Patent Portfolio'!AI3:AI22="Survived"))/COUNTIF('Bundle Assignment'!AA3:AA22,TRUE()),0)</f>
        <v>0.166666666666667</v>
      </c>
      <c r="O26" s="42" t="n">
        <f aca="false">IFERROR(SUMPRODUCT(--('Bundle Assignment'!AA3:AA22=TRUE()),--('Patent Portfolio'!T3:T22="Yes"))/COUNTIF('Bundle Assignment'!AA3:AA22,TRUE()),0)</f>
        <v>1</v>
      </c>
    </row>
    <row r="27" customFormat="false" ht="15" hidden="false" customHeight="false" outlineLevel="0" collapsed="false">
      <c r="A27" s="31" t="n">
        <v>26</v>
      </c>
      <c r="B27" s="43" t="s">
        <v>451</v>
      </c>
      <c r="C27" s="36" t="n">
        <f aca="false">COUNTIF('Bundle Assignment'!AB3:AB22,TRUE())</f>
        <v>7</v>
      </c>
      <c r="D27" s="37" t="n">
        <f aca="false">IFERROR(SUMPRODUCT(--('Bundle Assignment'!AB3:AB22=TRUE()),('Patent Portfolio'!O3:O22+'Patent Portfolio'!P3:P22)/2)/COUNTIF('Bundle Assignment'!AB3:AB22,TRUE()),0)</f>
        <v>1.85714285714286</v>
      </c>
      <c r="E27" s="38" t="n">
        <f aca="false">IFERROR(SUMPRODUCT(--('Bundle Assignment'!AB3:AB22=TRUE()),'Patent Portfolio'!U3:U22)/COUNTIF('Bundle Assignment'!AB3:AB22,TRUE()),0)</f>
        <v>12.8571428571429</v>
      </c>
      <c r="F27" s="39" t="n">
        <f aca="false">IFERROR(SUMPRODUCT(--('Bundle Assignment'!AB3:AB22=TRUE()),--('Patent Portfolio'!X3:X22="Yes"))/COUNTIF('Bundle Assignment'!AB3:AB22,TRUE()),0)</f>
        <v>1</v>
      </c>
      <c r="G27" s="39" t="n">
        <f aca="false">IFERROR(SUMPRODUCT(--('Bundle Assignment'!AB3:AB22=TRUE()),--('Patent Portfolio'!T3:T22="Yes"))/COUNTIF('Bundle Assignment'!AB3:AB22,TRUE()),0)</f>
        <v>0.428571428571429</v>
      </c>
      <c r="H27" s="39" t="n">
        <f aca="false">IFERROR(SUMPRODUCT(--('Bundle Assignment'!AB3:AB22=TRUE()),--('Patent Portfolio'!H3:H22&gt;=2))/COUNTIF('Bundle Assignment'!AB3:AB22,TRUE()),0)</f>
        <v>0.428571428571429</v>
      </c>
      <c r="I27" s="36" t="n">
        <f aca="false">SUMPRODUCT(--('Bundle Assignment'!AB3:AB22=TRUE()),--('Patent Portfolio'!L3:L22=3))</f>
        <v>1</v>
      </c>
      <c r="J27" s="36" t="str">
        <f aca="false">IF(C27&lt;2,"WEAK",IF(AND(C27&gt;=4,D27&gt;=2,E27&gt;=10),"STRONG","MODERATE"))</f>
        <v>MODERATE</v>
      </c>
      <c r="K27" s="41" t="str">
        <f aca="false">IFERROR(aggregate(5,6,'Patent Portfolio'!AC3:AC22/('Bundle Assignment'!AB3:AB22=TRUE())),"")</f>
        <v/>
      </c>
      <c r="L27" s="42" t="n">
        <f aca="false">IFERROR(SUMPRODUCT(--('Bundle Assignment'!AB3:AB22=TRUE()),--('Patent Portfolio'!AD3:AD22&lt;=1))/COUNTIF('Bundle Assignment'!AB3:AB22,TRUE()),0)</f>
        <v>0.142857142857143</v>
      </c>
      <c r="M27" s="42" t="n">
        <f aca="false">IFERROR(SUMPRODUCT(--('Bundle Assignment'!AB3:AB22=TRUE()),--('Patent Portfolio'!AK3:AK22&lt;&gt;"None"),--('Patent Portfolio'!AK3:AK22&lt;&gt;""))/COUNTIF('Bundle Assignment'!AB3:AB22,TRUE()),0)</f>
        <v>1</v>
      </c>
      <c r="N27" s="42" t="n">
        <f aca="false">IFERROR(SUMPRODUCT(--('Bundle Assignment'!AB3:AB22=TRUE()),--('Patent Portfolio'!AI3:AI22="Survived"))/COUNTIF('Bundle Assignment'!AB3:AB22,TRUE()),0)</f>
        <v>0.285714285714286</v>
      </c>
      <c r="O27" s="42" t="n">
        <f aca="false">IFERROR(SUMPRODUCT(--('Bundle Assignment'!AB3:AB22=TRUE()),--('Patent Portfolio'!T3:T22="Yes"))/COUNTIF('Bundle Assignment'!AB3:AB22,TRUE()),0)</f>
        <v>0.428571428571429</v>
      </c>
    </row>
    <row r="28" customFormat="false" ht="15" hidden="false" customHeight="false" outlineLevel="0" collapsed="false">
      <c r="A28" s="31" t="n">
        <v>27</v>
      </c>
      <c r="B28" s="43" t="s">
        <v>454</v>
      </c>
      <c r="C28" s="36" t="n">
        <f aca="false">COUNTIF('Bundle Assignment'!AC3:AC22,TRUE())</f>
        <v>2</v>
      </c>
      <c r="D28" s="37" t="n">
        <f aca="false">IFERROR(SUMPRODUCT(--('Bundle Assignment'!AC3:AC22=TRUE()),('Patent Portfolio'!O3:O22+'Patent Portfolio'!P3:P22)/2)/COUNTIF('Bundle Assignment'!AC3:AC22,TRUE()),0)</f>
        <v>2.5</v>
      </c>
      <c r="E28" s="38" t="n">
        <f aca="false">IFERROR(SUMPRODUCT(--('Bundle Assignment'!AC3:AC22=TRUE()),'Patent Portfolio'!U3:U22)/COUNTIF('Bundle Assignment'!AC3:AC22,TRUE()),0)</f>
        <v>11.5</v>
      </c>
      <c r="F28" s="39" t="n">
        <f aca="false">IFERROR(SUMPRODUCT(--('Bundle Assignment'!AC3:AC22=TRUE()),--('Patent Portfolio'!X3:X22="Yes"))/COUNTIF('Bundle Assignment'!AC3:AC22,TRUE()),0)</f>
        <v>1</v>
      </c>
      <c r="G28" s="39" t="n">
        <f aca="false">IFERROR(SUMPRODUCT(--('Bundle Assignment'!AC3:AC22=TRUE()),--('Patent Portfolio'!T3:T22="Yes"))/COUNTIF('Bundle Assignment'!AC3:AC22,TRUE()),0)</f>
        <v>0.5</v>
      </c>
      <c r="H28" s="39" t="n">
        <f aca="false">IFERROR(SUMPRODUCT(--('Bundle Assignment'!AC3:AC22=TRUE()),--('Patent Portfolio'!H3:H22&gt;=2))/COUNTIF('Bundle Assignment'!AC3:AC22,TRUE()),0)</f>
        <v>1</v>
      </c>
      <c r="I28" s="36" t="n">
        <f aca="false">SUMPRODUCT(--('Bundle Assignment'!AC3:AC22=TRUE()),--('Patent Portfolio'!L3:L22=3))</f>
        <v>0</v>
      </c>
      <c r="J28" s="36" t="str">
        <f aca="false">IF(C28&lt;2,"WEAK",IF(AND(C28&gt;=4,D28&gt;=2,E28&gt;=10),"STRONG","MODERATE"))</f>
        <v>MODERATE</v>
      </c>
      <c r="K28" s="41" t="str">
        <f aca="false">IFERROR(aggregate(5,6,'Patent Portfolio'!AC3:AC22/('Bundle Assignment'!AC3:AC22=TRUE())),"")</f>
        <v/>
      </c>
      <c r="L28" s="42" t="n">
        <f aca="false">IFERROR(SUMPRODUCT(--('Bundle Assignment'!AC3:AC22=TRUE()),--('Patent Portfolio'!AD3:AD22&lt;=1))/COUNTIF('Bundle Assignment'!AC3:AC22,TRUE()),0)</f>
        <v>0</v>
      </c>
      <c r="M28" s="42" t="n">
        <f aca="false">IFERROR(SUMPRODUCT(--('Bundle Assignment'!AC3:AC22=TRUE()),--('Patent Portfolio'!AK3:AK22&lt;&gt;"None"),--('Patent Portfolio'!AK3:AK22&lt;&gt;""))/COUNTIF('Bundle Assignment'!AC3:AC22,TRUE()),0)</f>
        <v>1</v>
      </c>
      <c r="N28" s="42" t="n">
        <f aca="false">IFERROR(SUMPRODUCT(--('Bundle Assignment'!AC3:AC22=TRUE()),--('Patent Portfolio'!AI3:AI22="Survived"))/COUNTIF('Bundle Assignment'!AC3:AC22,TRUE()),0)</f>
        <v>1</v>
      </c>
      <c r="O28" s="42" t="n">
        <f aca="false">IFERROR(SUMPRODUCT(--('Bundle Assignment'!AC3:AC22=TRUE()),--('Patent Portfolio'!T3:T22="Yes"))/COUNTIF('Bundle Assignment'!AC3:AC22,TRUE()),0)</f>
        <v>0.5</v>
      </c>
    </row>
    <row r="29" customFormat="false" ht="15" hidden="false" customHeight="false" outlineLevel="0" collapsed="false">
      <c r="A29" s="31" t="n">
        <v>28</v>
      </c>
      <c r="B29" s="43" t="s">
        <v>457</v>
      </c>
      <c r="C29" s="36" t="n">
        <f aca="false">COUNTIF('Bundle Assignment'!AD3:AD22,TRUE())</f>
        <v>9</v>
      </c>
      <c r="D29" s="37" t="n">
        <f aca="false">IFERROR(SUMPRODUCT(--('Bundle Assignment'!AD3:AD22=TRUE()),('Patent Portfolio'!O3:O22+'Patent Portfolio'!P3:P22)/2)/COUNTIF('Bundle Assignment'!AD3:AD22,TRUE()),0)</f>
        <v>1.55555555555556</v>
      </c>
      <c r="E29" s="38" t="n">
        <f aca="false">IFERROR(SUMPRODUCT(--('Bundle Assignment'!AD3:AD22=TRUE()),'Patent Portfolio'!U3:U22)/COUNTIF('Bundle Assignment'!AD3:AD22,TRUE()),0)</f>
        <v>14.1111111111111</v>
      </c>
      <c r="F29" s="39" t="n">
        <f aca="false">IFERROR(SUMPRODUCT(--('Bundle Assignment'!AD3:AD22=TRUE()),--('Patent Portfolio'!X3:X22="Yes"))/COUNTIF('Bundle Assignment'!AD3:AD22,TRUE()),0)</f>
        <v>0.888888888888889</v>
      </c>
      <c r="G29" s="39" t="n">
        <f aca="false">IFERROR(SUMPRODUCT(--('Bundle Assignment'!AD3:AD22=TRUE()),--('Patent Portfolio'!T3:T22="Yes"))/COUNTIF('Bundle Assignment'!AD3:AD22,TRUE()),0)</f>
        <v>0.666666666666667</v>
      </c>
      <c r="H29" s="39" t="n">
        <f aca="false">IFERROR(SUMPRODUCT(--('Bundle Assignment'!AD3:AD22=TRUE()),--('Patent Portfolio'!H3:H22&gt;=2))/COUNTIF('Bundle Assignment'!AD3:AD22,TRUE()),0)</f>
        <v>0.444444444444444</v>
      </c>
      <c r="I29" s="36" t="n">
        <f aca="false">SUMPRODUCT(--('Bundle Assignment'!AD3:AD22=TRUE()),--('Patent Portfolio'!L3:L22=3))</f>
        <v>1</v>
      </c>
      <c r="J29" s="36" t="str">
        <f aca="false">IF(C29&lt;2,"WEAK",IF(AND(C29&gt;=4,D29&gt;=2,E29&gt;=10),"STRONG","MODERATE"))</f>
        <v>MODERATE</v>
      </c>
      <c r="K29" s="41" t="str">
        <f aca="false">IFERROR(aggregate(5,6,'Patent Portfolio'!AC3:AC22/('Bundle Assignment'!AD3:AD22=TRUE())),"")</f>
        <v/>
      </c>
      <c r="L29" s="42" t="n">
        <f aca="false">IFERROR(SUMPRODUCT(--('Bundle Assignment'!AD3:AD22=TRUE()),--('Patent Portfolio'!AD3:AD22&lt;=1))/COUNTIF('Bundle Assignment'!AD3:AD22,TRUE()),0)</f>
        <v>0.222222222222222</v>
      </c>
      <c r="M29" s="42" t="n">
        <f aca="false">IFERROR(SUMPRODUCT(--('Bundle Assignment'!AD3:AD22=TRUE()),--('Patent Portfolio'!AK3:AK22&lt;&gt;"None"),--('Patent Portfolio'!AK3:AK22&lt;&gt;""))/COUNTIF('Bundle Assignment'!AD3:AD22,TRUE()),0)</f>
        <v>0.666666666666667</v>
      </c>
      <c r="N29" s="42" t="n">
        <f aca="false">IFERROR(SUMPRODUCT(--('Bundle Assignment'!AD3:AD22=TRUE()),--('Patent Portfolio'!AI3:AI22="Survived"))/COUNTIF('Bundle Assignment'!AD3:AD22,TRUE()),0)</f>
        <v>0.222222222222222</v>
      </c>
      <c r="O29" s="42" t="n">
        <f aca="false">IFERROR(SUMPRODUCT(--('Bundle Assignment'!AD3:AD22=TRUE()),--('Patent Portfolio'!T3:T22="Yes"))/COUNTIF('Bundle Assignment'!AD3:AD22,TRUE()),0)</f>
        <v>0.666666666666667</v>
      </c>
    </row>
    <row r="30" customFormat="false" ht="15" hidden="false" customHeight="false" outlineLevel="0" collapsed="false">
      <c r="A30" s="31" t="n">
        <v>29</v>
      </c>
      <c r="B30" s="43" t="s">
        <v>461</v>
      </c>
      <c r="C30" s="36" t="n">
        <f aca="false">COUNTIF('Bundle Assignment'!AE3:AE22,TRUE())</f>
        <v>8</v>
      </c>
      <c r="D30" s="37" t="n">
        <f aca="false">IFERROR(SUMPRODUCT(--('Bundle Assignment'!AE3:AE22=TRUE()),('Patent Portfolio'!O3:O22+'Patent Portfolio'!P3:P22)/2)/COUNTIF('Bundle Assignment'!AE3:AE22,TRUE()),0)</f>
        <v>1.6875</v>
      </c>
      <c r="E30" s="38" t="n">
        <f aca="false">IFERROR(SUMPRODUCT(--('Bundle Assignment'!AE3:AE22=TRUE()),'Patent Portfolio'!U3:U22)/COUNTIF('Bundle Assignment'!AE3:AE22,TRUE()),0)</f>
        <v>12.875</v>
      </c>
      <c r="F30" s="39" t="n">
        <f aca="false">IFERROR(SUMPRODUCT(--('Bundle Assignment'!AE3:AE22=TRUE()),--('Patent Portfolio'!X3:X22="Yes"))/COUNTIF('Bundle Assignment'!AE3:AE22,TRUE()),0)</f>
        <v>1</v>
      </c>
      <c r="G30" s="39" t="n">
        <f aca="false">IFERROR(SUMPRODUCT(--('Bundle Assignment'!AE3:AE22=TRUE()),--('Patent Portfolio'!T3:T22="Yes"))/COUNTIF('Bundle Assignment'!AE3:AE22,TRUE()),0)</f>
        <v>0.5</v>
      </c>
      <c r="H30" s="39" t="n">
        <f aca="false">IFERROR(SUMPRODUCT(--('Bundle Assignment'!AE3:AE22=TRUE()),--('Patent Portfolio'!H3:H22&gt;=2))/COUNTIF('Bundle Assignment'!AE3:AE22,TRUE()),0)</f>
        <v>0.375</v>
      </c>
      <c r="I30" s="36" t="n">
        <f aca="false">SUMPRODUCT(--('Bundle Assignment'!AE3:AE22=TRUE()),--('Patent Portfolio'!L3:L22=3))</f>
        <v>1</v>
      </c>
      <c r="J30" s="36" t="str">
        <f aca="false">IF(C30&lt;2,"WEAK",IF(AND(C30&gt;=4,D30&gt;=2,E30&gt;=10),"STRONG","MODERATE"))</f>
        <v>MODERATE</v>
      </c>
      <c r="K30" s="41" t="str">
        <f aca="false">IFERROR(aggregate(5,6,'Patent Portfolio'!AC3:AC22/('Bundle Assignment'!AE3:AE22=TRUE())),"")</f>
        <v/>
      </c>
      <c r="L30" s="42" t="n">
        <f aca="false">IFERROR(SUMPRODUCT(--('Bundle Assignment'!AE3:AE22=TRUE()),--('Patent Portfolio'!AD3:AD22&lt;=1))/COUNTIF('Bundle Assignment'!AE3:AE22,TRUE()),0)</f>
        <v>0.125</v>
      </c>
      <c r="M30" s="42" t="n">
        <f aca="false">IFERROR(SUMPRODUCT(--('Bundle Assignment'!AE3:AE22=TRUE()),--('Patent Portfolio'!AK3:AK22&lt;&gt;"None"),--('Patent Portfolio'!AK3:AK22&lt;&gt;""))/COUNTIF('Bundle Assignment'!AE3:AE22,TRUE()),0)</f>
        <v>0.875</v>
      </c>
      <c r="N30" s="42" t="n">
        <f aca="false">IFERROR(SUMPRODUCT(--('Bundle Assignment'!AE3:AE22=TRUE()),--('Patent Portfolio'!AI3:AI22="Survived"))/COUNTIF('Bundle Assignment'!AE3:AE22,TRUE()),0)</f>
        <v>0.25</v>
      </c>
      <c r="O30" s="42" t="n">
        <f aca="false">IFERROR(SUMPRODUCT(--('Bundle Assignment'!AE3:AE22=TRUE()),--('Patent Portfolio'!T3:T22="Yes"))/COUNTIF('Bundle Assignment'!AE3:AE22,TRUE()),0)</f>
        <v>0.5</v>
      </c>
    </row>
    <row r="31" customFormat="false" ht="15" hidden="false" customHeight="false" outlineLevel="0" collapsed="false">
      <c r="A31" s="31" t="n">
        <v>30</v>
      </c>
      <c r="B31" s="43" t="s">
        <v>464</v>
      </c>
      <c r="C31" s="36" t="n">
        <f aca="false">COUNTIF('Bundle Assignment'!AF3:AF22,TRUE())</f>
        <v>9</v>
      </c>
      <c r="D31" s="37" t="n">
        <f aca="false">IFERROR(SUMPRODUCT(--('Bundle Assignment'!AF3:AF22=TRUE()),('Patent Portfolio'!O3:O22+'Patent Portfolio'!P3:P22)/2)/COUNTIF('Bundle Assignment'!AF3:AF22,TRUE()),0)</f>
        <v>1.66666666666667</v>
      </c>
      <c r="E31" s="38" t="n">
        <f aca="false">IFERROR(SUMPRODUCT(--('Bundle Assignment'!AF3:AF22=TRUE()),'Patent Portfolio'!U3:U22)/COUNTIF('Bundle Assignment'!AF3:AF22,TRUE()),0)</f>
        <v>13.1111111111111</v>
      </c>
      <c r="F31" s="39" t="n">
        <f aca="false">IFERROR(SUMPRODUCT(--('Bundle Assignment'!AF3:AF22=TRUE()),--('Patent Portfolio'!X3:X22="Yes"))/COUNTIF('Bundle Assignment'!AF3:AF22,TRUE()),0)</f>
        <v>0.777777777777778</v>
      </c>
      <c r="G31" s="39" t="n">
        <f aca="false">IFERROR(SUMPRODUCT(--('Bundle Assignment'!AF3:AF22=TRUE()),--('Patent Portfolio'!T3:T22="Yes"))/COUNTIF('Bundle Assignment'!AF3:AF22,TRUE()),0)</f>
        <v>0.444444444444444</v>
      </c>
      <c r="H31" s="39" t="n">
        <f aca="false">IFERROR(SUMPRODUCT(--('Bundle Assignment'!AF3:AF22=TRUE()),--('Patent Portfolio'!H3:H22&gt;=2))/COUNTIF('Bundle Assignment'!AF3:AF22,TRUE()),0)</f>
        <v>0.222222222222222</v>
      </c>
      <c r="I31" s="36" t="n">
        <f aca="false">SUMPRODUCT(--('Bundle Assignment'!AF3:AF22=TRUE()),--('Patent Portfolio'!L3:L22=3))</f>
        <v>1</v>
      </c>
      <c r="J31" s="36" t="str">
        <f aca="false">IF(C31&lt;2,"WEAK",IF(AND(C31&gt;=4,D31&gt;=2,E31&gt;=10),"STRONG","MODERATE"))</f>
        <v>MODERATE</v>
      </c>
      <c r="K31" s="41" t="str">
        <f aca="false">IFERROR(aggregate(5,6,'Patent Portfolio'!AC3:AC22/('Bundle Assignment'!AF3:AF22=TRUE())),"")</f>
        <v/>
      </c>
      <c r="L31" s="42" t="n">
        <f aca="false">IFERROR(SUMPRODUCT(--('Bundle Assignment'!AF3:AF22=TRUE()),--('Patent Portfolio'!AD3:AD22&lt;=1))/COUNTIF('Bundle Assignment'!AF3:AF22,TRUE()),0)</f>
        <v>0.333333333333333</v>
      </c>
      <c r="M31" s="42" t="n">
        <f aca="false">IFERROR(SUMPRODUCT(--('Bundle Assignment'!AF3:AF22=TRUE()),--('Patent Portfolio'!AK3:AK22&lt;&gt;"None"),--('Patent Portfolio'!AK3:AK22&lt;&gt;""))/COUNTIF('Bundle Assignment'!AF3:AF22,TRUE()),0)</f>
        <v>0.555555555555556</v>
      </c>
      <c r="N31" s="42" t="n">
        <f aca="false">IFERROR(SUMPRODUCT(--('Bundle Assignment'!AF3:AF22=TRUE()),--('Patent Portfolio'!AI3:AI22="Survived"))/COUNTIF('Bundle Assignment'!AF3:AF22,TRUE()),0)</f>
        <v>0.111111111111111</v>
      </c>
      <c r="O31" s="42" t="n">
        <f aca="false">IFERROR(SUMPRODUCT(--('Bundle Assignment'!AF3:AF22=TRUE()),--('Patent Portfolio'!T3:T22="Yes"))/COUNTIF('Bundle Assignment'!AF3:AF22,TRUE()),0)</f>
        <v>0.444444444444444</v>
      </c>
    </row>
    <row r="32" customFormat="false" ht="15" hidden="false" customHeight="false" outlineLevel="0" collapsed="false">
      <c r="A32" s="31" t="n">
        <v>31</v>
      </c>
      <c r="B32" s="43" t="s">
        <v>468</v>
      </c>
      <c r="C32" s="36" t="n">
        <f aca="false">COUNTIF('Bundle Assignment'!AG3:AG22,TRUE())</f>
        <v>11</v>
      </c>
      <c r="D32" s="37" t="n">
        <f aca="false">IFERROR(SUMPRODUCT(--('Bundle Assignment'!AG3:AG22=TRUE()),('Patent Portfolio'!O3:O22+'Patent Portfolio'!P3:P22)/2)/COUNTIF('Bundle Assignment'!AG3:AG22,TRUE()),0)</f>
        <v>0.318181818181818</v>
      </c>
      <c r="E32" s="38" t="n">
        <f aca="false">IFERROR(SUMPRODUCT(--('Bundle Assignment'!AG3:AG22=TRUE()),'Patent Portfolio'!U3:U22)/COUNTIF('Bundle Assignment'!AG3:AG22,TRUE()),0)</f>
        <v>3.81818181818182</v>
      </c>
      <c r="F32" s="39" t="n">
        <f aca="false">IFERROR(SUMPRODUCT(--('Bundle Assignment'!AG3:AG22=TRUE()),--('Patent Portfolio'!X3:X22="Yes"))/COUNTIF('Bundle Assignment'!AG3:AG22,TRUE()),0)</f>
        <v>0.0909090909090909</v>
      </c>
      <c r="G32" s="39" t="n">
        <f aca="false">IFERROR(SUMPRODUCT(--('Bundle Assignment'!AG3:AG22=TRUE()),--('Patent Portfolio'!T3:T22="Yes"))/COUNTIF('Bundle Assignment'!AG3:AG22,TRUE()),0)</f>
        <v>0.181818181818182</v>
      </c>
      <c r="H32" s="39" t="n">
        <f aca="false">IFERROR(SUMPRODUCT(--('Bundle Assignment'!AG3:AG22=TRUE()),--('Patent Portfolio'!H3:H22&gt;=2))/COUNTIF('Bundle Assignment'!AG3:AG22,TRUE()),0)</f>
        <v>0</v>
      </c>
      <c r="I32" s="36" t="n">
        <f aca="false">SUMPRODUCT(--('Bundle Assignment'!AG3:AG22=TRUE()),--('Patent Portfolio'!L3:L22=3))</f>
        <v>0</v>
      </c>
      <c r="J32" s="36" t="str">
        <f aca="false">IF(C32&lt;2,"WEAK",IF(AND(C32&gt;=4,D32&gt;=2,E32&gt;=10),"STRONG","MODERATE"))</f>
        <v>MODERATE</v>
      </c>
      <c r="K32" s="41" t="str">
        <f aca="false">IFERROR(aggregate(5,6,'Patent Portfolio'!AC3:AC22/('Bundle Assignment'!AG3:AG22=TRUE())),"")</f>
        <v/>
      </c>
      <c r="L32" s="42" t="n">
        <f aca="false">IFERROR(SUMPRODUCT(--('Bundle Assignment'!AG3:AG22=TRUE()),--('Patent Portfolio'!AD3:AD22&lt;=1))/COUNTIF('Bundle Assignment'!AG3:AG22,TRUE()),0)</f>
        <v>1</v>
      </c>
      <c r="M32" s="42" t="n">
        <f aca="false">IFERROR(SUMPRODUCT(--('Bundle Assignment'!AG3:AG22=TRUE()),--('Patent Portfolio'!AK3:AK22&lt;&gt;"None"),--('Patent Portfolio'!AK3:AK22&lt;&gt;""))/COUNTIF('Bundle Assignment'!AG3:AG22,TRUE()),0)</f>
        <v>0.0909090909090909</v>
      </c>
      <c r="N32" s="42" t="n">
        <f aca="false">IFERROR(SUMPRODUCT(--('Bundle Assignment'!AG3:AG22=TRUE()),--('Patent Portfolio'!AI3:AI22="Survived"))/COUNTIF('Bundle Assignment'!AG3:AG22,TRUE()),0)</f>
        <v>0</v>
      </c>
      <c r="O32" s="42" t="n">
        <f aca="false">IFERROR(SUMPRODUCT(--('Bundle Assignment'!AG3:AG22=TRUE()),--('Patent Portfolio'!T3:T22="Yes"))/COUNTIF('Bundle Assignment'!AG3:AG22,TRUE()),0)</f>
        <v>0.181818181818182</v>
      </c>
    </row>
    <row r="33" customFormat="false" ht="15" hidden="false" customHeight="false" outlineLevel="0" collapsed="false">
      <c r="A33" s="31" t="n">
        <v>32</v>
      </c>
      <c r="B33" s="43" t="s">
        <v>472</v>
      </c>
      <c r="C33" s="36" t="n">
        <f aca="false">COUNTIF('Bundle Assignment'!AH3:AH22,TRUE())</f>
        <v>0</v>
      </c>
      <c r="D33" s="37" t="n">
        <f aca="false">IFERROR(SUMPRODUCT(--('Bundle Assignment'!AH3:AH22=TRUE()),('Patent Portfolio'!O3:O22+'Patent Portfolio'!P3:P22)/2)/COUNTIF('Bundle Assignment'!AH3:AH22,TRUE()),0)</f>
        <v>0</v>
      </c>
      <c r="E33" s="38" t="n">
        <f aca="false">IFERROR(SUMPRODUCT(--('Bundle Assignment'!AH3:AH22=TRUE()),'Patent Portfolio'!U3:U22)/COUNTIF('Bundle Assignment'!AH3:AH22,TRUE()),0)</f>
        <v>0</v>
      </c>
      <c r="F33" s="39" t="n">
        <f aca="false">IFERROR(SUMPRODUCT(--('Bundle Assignment'!AH3:AH22=TRUE()),--('Patent Portfolio'!X3:X22="Yes"))/COUNTIF('Bundle Assignment'!AH3:AH22,TRUE()),0)</f>
        <v>0</v>
      </c>
      <c r="G33" s="39" t="n">
        <f aca="false">IFERROR(SUMPRODUCT(--('Bundle Assignment'!AH3:AH22=TRUE()),--('Patent Portfolio'!T3:T22="Yes"))/COUNTIF('Bundle Assignment'!AH3:AH22,TRUE()),0)</f>
        <v>0</v>
      </c>
      <c r="H33" s="39" t="n">
        <f aca="false">IFERROR(SUMPRODUCT(--('Bundle Assignment'!AH3:AH22=TRUE()),--('Patent Portfolio'!H3:H22&gt;=2))/COUNTIF('Bundle Assignment'!AH3:AH22,TRUE()),0)</f>
        <v>0</v>
      </c>
      <c r="I33" s="36" t="n">
        <f aca="false">SUMPRODUCT(--('Bundle Assignment'!AH3:AH22=TRUE()),--('Patent Portfolio'!L3:L22=3))</f>
        <v>0</v>
      </c>
      <c r="J33" s="36" t="str">
        <f aca="false">IF(C33&lt;2,"WEAK",IF(AND(C33&gt;=4,D33&gt;=2,E33&gt;=10),"STRONG","MODERATE"))</f>
        <v>WEAK</v>
      </c>
      <c r="K33" s="41" t="str">
        <f aca="false">IFERROR(aggregate(5,6,'Patent Portfolio'!AC3:AC22/('Bundle Assignment'!AH3:AH22=TRUE())),"")</f>
        <v/>
      </c>
      <c r="L33" s="42" t="n">
        <f aca="false">IFERROR(SUMPRODUCT(--('Bundle Assignment'!AH3:AH22=TRUE()),--('Patent Portfolio'!AD3:AD22&lt;=1))/COUNTIF('Bundle Assignment'!AH3:AH22,TRUE()),0)</f>
        <v>0</v>
      </c>
      <c r="M33" s="42" t="n">
        <f aca="false">IFERROR(SUMPRODUCT(--('Bundle Assignment'!AH3:AH22=TRUE()),--('Patent Portfolio'!AK3:AK22&lt;&gt;"None"),--('Patent Portfolio'!AK3:AK22&lt;&gt;""))/COUNTIF('Bundle Assignment'!AH3:AH22,TRUE()),0)</f>
        <v>0</v>
      </c>
      <c r="N33" s="42" t="n">
        <f aca="false">IFERROR(SUMPRODUCT(--('Bundle Assignment'!AH3:AH22=TRUE()),--('Patent Portfolio'!AI3:AI22="Survived"))/COUNTIF('Bundle Assignment'!AH3:AH22,TRUE()),0)</f>
        <v>0</v>
      </c>
      <c r="O33" s="42" t="n">
        <f aca="false">IFERROR(SUMPRODUCT(--('Bundle Assignment'!AH3:AH22=TRUE()),--('Patent Portfolio'!T3:T22="Yes"))/COUNTIF('Bundle Assignment'!AH3:AH22,TRUE()),0)</f>
        <v>0</v>
      </c>
    </row>
    <row r="34" customFormat="false" ht="15" hidden="false" customHeight="false" outlineLevel="0" collapsed="false">
      <c r="A34" s="31" t="n">
        <v>33</v>
      </c>
      <c r="B34" s="43" t="s">
        <v>475</v>
      </c>
      <c r="C34" s="36" t="n">
        <f aca="false">COUNTIF('Bundle Assignment'!AI3:AI22,TRUE())</f>
        <v>12</v>
      </c>
      <c r="D34" s="37" t="n">
        <f aca="false">IFERROR(SUMPRODUCT(--('Bundle Assignment'!AI3:AI22=TRUE()),('Patent Portfolio'!O3:O22+'Patent Portfolio'!P3:P22)/2)/COUNTIF('Bundle Assignment'!AI3:AI22,TRUE()),0)</f>
        <v>1.58333333333333</v>
      </c>
      <c r="E34" s="38" t="n">
        <f aca="false">IFERROR(SUMPRODUCT(--('Bundle Assignment'!AI3:AI22=TRUE()),'Patent Portfolio'!U3:U22)/COUNTIF('Bundle Assignment'!AI3:AI22,TRUE()),0)</f>
        <v>13.1666666666667</v>
      </c>
      <c r="F34" s="39" t="n">
        <f aca="false">IFERROR(SUMPRODUCT(--('Bundle Assignment'!AI3:AI22=TRUE()),--('Patent Portfolio'!X3:X22="Yes"))/COUNTIF('Bundle Assignment'!AI3:AI22,TRUE()),0)</f>
        <v>0.833333333333333</v>
      </c>
      <c r="G34" s="39" t="n">
        <f aca="false">IFERROR(SUMPRODUCT(--('Bundle Assignment'!AI3:AI22=TRUE()),--('Patent Portfolio'!T3:T22="Yes"))/COUNTIF('Bundle Assignment'!AI3:AI22,TRUE()),0)</f>
        <v>0.5</v>
      </c>
      <c r="H34" s="39" t="n">
        <f aca="false">IFERROR(SUMPRODUCT(--('Bundle Assignment'!AI3:AI22=TRUE()),--('Patent Portfolio'!H3:H22&gt;=2))/COUNTIF('Bundle Assignment'!AI3:AI22,TRUE()),0)</f>
        <v>0.333333333333333</v>
      </c>
      <c r="I34" s="36" t="n">
        <f aca="false">SUMPRODUCT(--('Bundle Assignment'!AI3:AI22=TRUE()),--('Patent Portfolio'!L3:L22=3))</f>
        <v>1</v>
      </c>
      <c r="J34" s="36" t="str">
        <f aca="false">IF(C34&lt;2,"WEAK",IF(AND(C34&gt;=4,D34&gt;=2,E34&gt;=10),"STRONG","MODERATE"))</f>
        <v>MODERATE</v>
      </c>
      <c r="K34" s="41" t="str">
        <f aca="false">IFERROR(aggregate(5,6,'Patent Portfolio'!AC3:AC22/('Bundle Assignment'!AI3:AI22=TRUE())),"")</f>
        <v/>
      </c>
      <c r="L34" s="42" t="n">
        <f aca="false">IFERROR(SUMPRODUCT(--('Bundle Assignment'!AI3:AI22=TRUE()),--('Patent Portfolio'!AD3:AD22&lt;=1))/COUNTIF('Bundle Assignment'!AI3:AI22,TRUE()),0)</f>
        <v>0.25</v>
      </c>
      <c r="M34" s="42" t="n">
        <f aca="false">IFERROR(SUMPRODUCT(--('Bundle Assignment'!AI3:AI22=TRUE()),--('Patent Portfolio'!AK3:AK22&lt;&gt;"None"),--('Patent Portfolio'!AK3:AK22&lt;&gt;""))/COUNTIF('Bundle Assignment'!AI3:AI22,TRUE()),0)</f>
        <v>0.583333333333333</v>
      </c>
      <c r="N34" s="42" t="n">
        <f aca="false">IFERROR(SUMPRODUCT(--('Bundle Assignment'!AI3:AI22=TRUE()),--('Patent Portfolio'!AI3:AI22="Survived"))/COUNTIF('Bundle Assignment'!AI3:AI22,TRUE()),0)</f>
        <v>0.166666666666667</v>
      </c>
      <c r="O34" s="42" t="n">
        <f aca="false">IFERROR(SUMPRODUCT(--('Bundle Assignment'!AI3:AI22=TRUE()),--('Patent Portfolio'!T3:T22="Yes"))/COUNTIF('Bundle Assignment'!AI3:AI22,TRUE()),0)</f>
        <v>0.5</v>
      </c>
    </row>
  </sheetData>
  <conditionalFormatting sqref="J2:J22">
    <cfRule type="cellIs" priority="2" operator="equal" aboveAverage="0" equalAverage="0" bottom="0" percent="0" rank="0" text="" dxfId="0">
      <formula>"STRONG"</formula>
    </cfRule>
    <cfRule type="cellIs" priority="3" operator="equal" aboveAverage="0" equalAverage="0" bottom="0" percent="0" rank="0" text="" dxfId="4">
      <formula>"MODERATE"</formula>
    </cfRule>
    <cfRule type="cellIs" priority="4" operator="equal" aboveAverage="0" equalAverage="0" bottom="0" percent="0" rank="0" text="" dxfId="1">
      <formula>"WEAK"</formula>
    </cfRule>
  </conditionalFormatting>
  <conditionalFormatting sqref="C2:C22">
    <cfRule type="colorScale" priority="5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conditionalFormatting sqref="L2:L34">
    <cfRule type="colorScale" priority="6">
      <colorScale>
        <cfvo type="num" val="0"/>
        <cfvo type="num" val="0.3"/>
        <cfvo type="num" val="0.6"/>
        <color rgb="FFC6EFCE"/>
        <color rgb="FFFFEB9C"/>
        <color rgb="FFFFC7CE"/>
      </colorScale>
    </cfRule>
  </conditionalFormatting>
  <conditionalFormatting sqref="M2:M34">
    <cfRule type="colorScale" priority="7">
      <colorScale>
        <cfvo type="num" val="0"/>
        <cfvo type="num" val="0.5"/>
        <cfvo type="num" val="1"/>
        <color rgb="FFFFC7CE"/>
        <color rgb="FFFFEB9C"/>
        <color rgb="FFC6EFCE"/>
      </colorScale>
    </cfRule>
  </conditionalFormatting>
  <conditionalFormatting sqref="N2:N34">
    <cfRule type="colorScale" priority="8">
      <colorScale>
        <cfvo type="num" val="0"/>
        <cfvo type="num" val="0.5"/>
        <cfvo type="num" val="1"/>
        <color rgb="FFFFC7CE"/>
        <color rgb="FFFFEB9C"/>
        <color rgb="FFC6EFCE"/>
      </colorScale>
    </cfRule>
  </conditionalFormatting>
  <conditionalFormatting sqref="O2:O34">
    <cfRule type="colorScale" priority="9">
      <colorScale>
        <cfvo type="num" val="0"/>
        <cfvo type="num" val="0.5"/>
        <cfvo type="num" val="1"/>
        <color rgb="FFFFC7CE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8"/>
    <col collapsed="false" customWidth="true" hidden="false" outlineLevel="0" max="4" min="3" style="1" width="22"/>
    <col collapsed="false" customWidth="true" hidden="false" outlineLevel="0" max="6" min="5" style="1" width="14"/>
  </cols>
  <sheetData>
    <row r="1" customFormat="false" ht="17.25" hidden="false" customHeight="true" outlineLevel="0" collapsed="false">
      <c r="A1" s="44" t="s">
        <v>546</v>
      </c>
      <c r="B1" s="44"/>
      <c r="C1" s="44"/>
      <c r="D1" s="44"/>
      <c r="E1" s="44"/>
      <c r="F1" s="44"/>
    </row>
    <row r="2" customFormat="false" ht="23.25" hidden="false" customHeight="true" outlineLevel="0" collapsed="false">
      <c r="A2" s="45" t="s">
        <v>547</v>
      </c>
      <c r="B2" s="46" t="s">
        <v>548</v>
      </c>
      <c r="C2" s="46"/>
      <c r="D2" s="46"/>
      <c r="E2" s="46"/>
      <c r="F2" s="46"/>
    </row>
    <row r="3" customFormat="false" ht="15" hidden="false" customHeight="true" outlineLevel="0" collapsed="false">
      <c r="A3" s="45" t="s">
        <v>549</v>
      </c>
      <c r="B3" s="46" t="s">
        <v>550</v>
      </c>
      <c r="C3" s="46"/>
      <c r="D3" s="46"/>
      <c r="E3" s="46"/>
      <c r="F3" s="46"/>
    </row>
    <row r="5" customFormat="false" ht="15" hidden="false" customHeight="true" outlineLevel="0" collapsed="false">
      <c r="A5" s="28" t="s">
        <v>227</v>
      </c>
      <c r="B5" s="28" t="s">
        <v>228</v>
      </c>
      <c r="C5" s="28" t="s">
        <v>551</v>
      </c>
      <c r="D5" s="28" t="s">
        <v>552</v>
      </c>
      <c r="E5" s="28" t="s">
        <v>553</v>
      </c>
      <c r="F5" s="28" t="s">
        <v>554</v>
      </c>
    </row>
    <row r="6" customFormat="false" ht="15" hidden="false" customHeight="true" outlineLevel="0" collapsed="false">
      <c r="A6" s="47" t="s">
        <v>269</v>
      </c>
      <c r="B6" s="47" t="s">
        <v>270</v>
      </c>
      <c r="C6" s="47" t="s">
        <v>47</v>
      </c>
      <c r="D6" s="47" t="s">
        <v>76</v>
      </c>
      <c r="E6" s="48" t="n">
        <v>14</v>
      </c>
      <c r="F6" s="48" t="s">
        <v>127</v>
      </c>
    </row>
    <row r="7" customFormat="false" ht="15" hidden="false" customHeight="true" outlineLevel="0" collapsed="false">
      <c r="A7" s="47" t="s">
        <v>275</v>
      </c>
      <c r="B7" s="47" t="s">
        <v>276</v>
      </c>
      <c r="C7" s="47" t="s">
        <v>47</v>
      </c>
      <c r="D7" s="47" t="s">
        <v>76</v>
      </c>
      <c r="E7" s="48" t="n">
        <v>13</v>
      </c>
      <c r="F7" s="48" t="s">
        <v>127</v>
      </c>
    </row>
    <row r="10" customFormat="false" ht="17.25" hidden="false" customHeight="true" outlineLevel="0" collapsed="false">
      <c r="A10" s="44" t="s">
        <v>555</v>
      </c>
      <c r="B10" s="44"/>
      <c r="C10" s="44"/>
      <c r="D10" s="44"/>
      <c r="E10" s="44"/>
      <c r="F10" s="44"/>
    </row>
    <row r="11" customFormat="false" ht="23.25" hidden="false" customHeight="true" outlineLevel="0" collapsed="false">
      <c r="A11" s="45" t="s">
        <v>547</v>
      </c>
      <c r="B11" s="46" t="s">
        <v>556</v>
      </c>
      <c r="C11" s="46"/>
      <c r="D11" s="46"/>
      <c r="E11" s="46"/>
      <c r="F11" s="46"/>
    </row>
    <row r="12" customFormat="false" ht="15" hidden="false" customHeight="true" outlineLevel="0" collapsed="false">
      <c r="A12" s="45" t="s">
        <v>549</v>
      </c>
      <c r="B12" s="46" t="s">
        <v>557</v>
      </c>
      <c r="C12" s="46"/>
      <c r="D12" s="46"/>
      <c r="E12" s="46"/>
      <c r="F12" s="46"/>
    </row>
    <row r="14" customFormat="false" ht="15" hidden="false" customHeight="true" outlineLevel="0" collapsed="false">
      <c r="A14" s="28" t="s">
        <v>227</v>
      </c>
      <c r="B14" s="28" t="s">
        <v>228</v>
      </c>
      <c r="C14" s="28" t="s">
        <v>551</v>
      </c>
      <c r="D14" s="28" t="s">
        <v>552</v>
      </c>
      <c r="E14" s="28" t="s">
        <v>553</v>
      </c>
      <c r="F14" s="28" t="s">
        <v>554</v>
      </c>
    </row>
    <row r="15" customFormat="false" ht="23.25" hidden="false" customHeight="true" outlineLevel="0" collapsed="false">
      <c r="A15" s="47" t="s">
        <v>294</v>
      </c>
      <c r="B15" s="47" t="s">
        <v>295</v>
      </c>
      <c r="C15" s="47" t="s">
        <v>296</v>
      </c>
      <c r="D15" s="47" t="s">
        <v>292</v>
      </c>
      <c r="E15" s="48" t="n">
        <v>17</v>
      </c>
      <c r="F15" s="48" t="s">
        <v>127</v>
      </c>
    </row>
    <row r="16" customFormat="false" ht="23.25" hidden="false" customHeight="true" outlineLevel="0" collapsed="false">
      <c r="A16" s="47" t="s">
        <v>300</v>
      </c>
      <c r="B16" s="47" t="s">
        <v>301</v>
      </c>
      <c r="C16" s="47" t="s">
        <v>302</v>
      </c>
      <c r="D16" s="47" t="s">
        <v>158</v>
      </c>
      <c r="E16" s="48" t="n">
        <v>11</v>
      </c>
      <c r="F16" s="48" t="s">
        <v>127</v>
      </c>
    </row>
    <row r="17" customFormat="false" ht="15" hidden="false" customHeight="true" outlineLevel="0" collapsed="false">
      <c r="A17" s="47" t="s">
        <v>307</v>
      </c>
      <c r="B17" s="47" t="s">
        <v>308</v>
      </c>
      <c r="C17" s="47" t="s">
        <v>309</v>
      </c>
      <c r="D17" s="47" t="s">
        <v>158</v>
      </c>
      <c r="E17" s="48" t="n">
        <v>12</v>
      </c>
      <c r="F17" s="48" t="s">
        <v>127</v>
      </c>
    </row>
    <row r="20" customFormat="false" ht="17.25" hidden="false" customHeight="true" outlineLevel="0" collapsed="false">
      <c r="A20" s="44" t="s">
        <v>558</v>
      </c>
      <c r="B20" s="44"/>
      <c r="C20" s="44"/>
      <c r="D20" s="44"/>
      <c r="E20" s="44"/>
      <c r="F20" s="44"/>
    </row>
    <row r="21" customFormat="false" ht="34.5" hidden="false" customHeight="true" outlineLevel="0" collapsed="false">
      <c r="A21" s="45" t="s">
        <v>547</v>
      </c>
      <c r="B21" s="46" t="s">
        <v>559</v>
      </c>
      <c r="C21" s="46"/>
      <c r="D21" s="46"/>
      <c r="E21" s="46"/>
      <c r="F21" s="46"/>
    </row>
    <row r="22" customFormat="false" ht="15" hidden="false" customHeight="true" outlineLevel="0" collapsed="false">
      <c r="A22" s="45" t="s">
        <v>549</v>
      </c>
      <c r="B22" s="46" t="s">
        <v>560</v>
      </c>
      <c r="C22" s="46"/>
      <c r="D22" s="46"/>
      <c r="E22" s="46"/>
      <c r="F22" s="46"/>
    </row>
    <row r="24" customFormat="false" ht="15" hidden="false" customHeight="true" outlineLevel="0" collapsed="false">
      <c r="A24" s="28" t="s">
        <v>227</v>
      </c>
      <c r="B24" s="28" t="s">
        <v>228</v>
      </c>
      <c r="C24" s="28" t="s">
        <v>551</v>
      </c>
      <c r="D24" s="28" t="s">
        <v>552</v>
      </c>
      <c r="E24" s="28" t="s">
        <v>553</v>
      </c>
      <c r="F24" s="28" t="s">
        <v>554</v>
      </c>
    </row>
    <row r="25" customFormat="false" ht="23.25" hidden="false" customHeight="true" outlineLevel="0" collapsed="false">
      <c r="A25" s="47" t="s">
        <v>313</v>
      </c>
      <c r="B25" s="47" t="s">
        <v>314</v>
      </c>
      <c r="C25" s="47" t="s">
        <v>315</v>
      </c>
      <c r="D25" s="47" t="s">
        <v>158</v>
      </c>
      <c r="E25" s="48" t="n">
        <v>15</v>
      </c>
      <c r="F25" s="48" t="s">
        <v>127</v>
      </c>
    </row>
    <row r="26" customFormat="false" ht="23.25" hidden="false" customHeight="true" outlineLevel="0" collapsed="false">
      <c r="A26" s="47" t="s">
        <v>322</v>
      </c>
      <c r="B26" s="47" t="s">
        <v>323</v>
      </c>
      <c r="C26" s="47" t="s">
        <v>315</v>
      </c>
      <c r="D26" s="47" t="s">
        <v>292</v>
      </c>
      <c r="E26" s="48" t="n">
        <v>19</v>
      </c>
      <c r="F26" s="48" t="s">
        <v>280</v>
      </c>
    </row>
    <row r="27" customFormat="false" ht="15" hidden="false" customHeight="true" outlineLevel="0" collapsed="false">
      <c r="A27" s="47" t="s">
        <v>330</v>
      </c>
      <c r="B27" s="47" t="s">
        <v>331</v>
      </c>
      <c r="C27" s="47" t="s">
        <v>332</v>
      </c>
      <c r="D27" s="47" t="s">
        <v>158</v>
      </c>
      <c r="E27" s="48" t="n">
        <v>10</v>
      </c>
      <c r="F27" s="48" t="s">
        <v>127</v>
      </c>
    </row>
  </sheetData>
  <mergeCells count="9">
    <mergeCell ref="A1:F1"/>
    <mergeCell ref="B2:F2"/>
    <mergeCell ref="B3:F3"/>
    <mergeCell ref="A10:F10"/>
    <mergeCell ref="B11:F11"/>
    <mergeCell ref="B12:F12"/>
    <mergeCell ref="A20:F20"/>
    <mergeCell ref="B21:F21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22.05" hidden="false" customHeight="false" outlineLevel="0" collapsed="false">
      <c r="A1" s="49" t="s">
        <v>561</v>
      </c>
    </row>
    <row r="2" customFormat="false" ht="15" hidden="false" customHeight="false" outlineLevel="0" collapsed="false">
      <c r="A2" s="50" t="s">
        <v>562</v>
      </c>
    </row>
    <row r="3" customFormat="false" ht="15" hidden="false" customHeight="false" outlineLevel="0" collapsed="false">
      <c r="A3" s="4"/>
    </row>
    <row r="4" customFormat="false" ht="15" hidden="false" customHeight="false" outlineLevel="0" collapsed="false">
      <c r="A4" s="51" t="s">
        <v>563</v>
      </c>
    </row>
    <row r="5" customFormat="false" ht="15" hidden="false" customHeight="false" outlineLevel="0" collapsed="false">
      <c r="A5" s="4" t="s">
        <v>564</v>
      </c>
    </row>
    <row r="6" customFormat="false" ht="15" hidden="false" customHeight="false" outlineLevel="0" collapsed="false">
      <c r="A6" s="4" t="s">
        <v>565</v>
      </c>
    </row>
    <row r="7" customFormat="false" ht="15" hidden="false" customHeight="false" outlineLevel="0" collapsed="false">
      <c r="A7" s="4" t="s">
        <v>566</v>
      </c>
    </row>
    <row r="8" customFormat="false" ht="15" hidden="false" customHeight="false" outlineLevel="0" collapsed="false">
      <c r="A8" s="4" t="s">
        <v>567</v>
      </c>
    </row>
    <row r="9" customFormat="false" ht="15" hidden="false" customHeight="false" outlineLevel="0" collapsed="false">
      <c r="A9" s="4" t="s">
        <v>568</v>
      </c>
    </row>
    <row r="10" customFormat="false" ht="15" hidden="false" customHeight="false" outlineLevel="0" collapsed="false">
      <c r="A10" s="4"/>
    </row>
    <row r="11" customFormat="false" ht="15" hidden="false" customHeight="false" outlineLevel="0" collapsed="false">
      <c r="A11" s="51" t="s">
        <v>569</v>
      </c>
    </row>
    <row r="12" customFormat="false" ht="15" hidden="false" customHeight="false" outlineLevel="0" collapsed="false">
      <c r="A12" s="4" t="s">
        <v>570</v>
      </c>
    </row>
    <row r="13" customFormat="false" ht="15" hidden="false" customHeight="false" outlineLevel="0" collapsed="false">
      <c r="A13" s="4" t="s">
        <v>571</v>
      </c>
    </row>
    <row r="14" customFormat="false" ht="15" hidden="false" customHeight="false" outlineLevel="0" collapsed="false">
      <c r="A14" s="4"/>
    </row>
    <row r="15" customFormat="false" ht="15" hidden="false" customHeight="false" outlineLevel="0" collapsed="false">
      <c r="A15" s="51" t="s">
        <v>572</v>
      </c>
    </row>
    <row r="16" customFormat="false" ht="15" hidden="false" customHeight="false" outlineLevel="0" collapsed="false">
      <c r="A16" s="4" t="s">
        <v>573</v>
      </c>
    </row>
    <row r="17" customFormat="false" ht="15" hidden="false" customHeight="false" outlineLevel="0" collapsed="false">
      <c r="A17" s="4" t="s">
        <v>574</v>
      </c>
    </row>
    <row r="18" customFormat="false" ht="15" hidden="false" customHeight="false" outlineLevel="0" collapsed="false">
      <c r="A18" s="4"/>
    </row>
    <row r="19" customFormat="false" ht="15" hidden="false" customHeight="false" outlineLevel="0" collapsed="false">
      <c r="A19" s="51" t="s">
        <v>575</v>
      </c>
    </row>
    <row r="20" customFormat="false" ht="15" hidden="false" customHeight="false" outlineLevel="0" collapsed="false">
      <c r="A20" s="4" t="s">
        <v>576</v>
      </c>
    </row>
    <row r="21" customFormat="false" ht="15" hidden="false" customHeight="false" outlineLevel="0" collapsed="false">
      <c r="A21" s="4" t="s">
        <v>577</v>
      </c>
    </row>
    <row r="22" customFormat="false" ht="15" hidden="false" customHeight="false" outlineLevel="0" collapsed="false">
      <c r="A22" s="4"/>
    </row>
    <row r="23" customFormat="false" ht="15" hidden="false" customHeight="false" outlineLevel="0" collapsed="false">
      <c r="A23" s="51" t="s">
        <v>578</v>
      </c>
    </row>
    <row r="24" customFormat="false" ht="15" hidden="false" customHeight="false" outlineLevel="0" collapsed="false">
      <c r="A24" s="4" t="s">
        <v>579</v>
      </c>
    </row>
    <row r="25" customFormat="false" ht="15" hidden="false" customHeight="false" outlineLevel="0" collapsed="false">
      <c r="A25" s="4" t="s">
        <v>580</v>
      </c>
    </row>
    <row r="26" customFormat="false" ht="15" hidden="false" customHeight="false" outlineLevel="0" collapsed="false">
      <c r="A26" s="4"/>
    </row>
    <row r="27" customFormat="false" ht="15" hidden="false" customHeight="false" outlineLevel="0" collapsed="false">
      <c r="A27" s="51" t="s">
        <v>581</v>
      </c>
    </row>
    <row r="28" customFormat="false" ht="15" hidden="false" customHeight="false" outlineLevel="0" collapsed="false">
      <c r="A28" s="4" t="s">
        <v>582</v>
      </c>
    </row>
    <row r="29" customFormat="false" ht="15" hidden="false" customHeight="false" outlineLevel="0" collapsed="false">
      <c r="A29" s="4" t="s">
        <v>583</v>
      </c>
    </row>
    <row r="30" customFormat="false" ht="15" hidden="false" customHeight="false" outlineLevel="0" collapsed="false">
      <c r="A30" s="4"/>
    </row>
    <row r="31" customFormat="false" ht="15" hidden="false" customHeight="false" outlineLevel="0" collapsed="false">
      <c r="A31" s="51" t="s">
        <v>584</v>
      </c>
    </row>
    <row r="32" customFormat="false" ht="15" hidden="false" customHeight="false" outlineLevel="0" collapsed="false">
      <c r="A32" s="4" t="s">
        <v>585</v>
      </c>
    </row>
    <row r="33" customFormat="false" ht="15" hidden="false" customHeight="false" outlineLevel="0" collapsed="false">
      <c r="A33" s="4" t="s">
        <v>586</v>
      </c>
    </row>
    <row r="34" customFormat="false" ht="15" hidden="false" customHeight="false" outlineLevel="0" collapsed="false">
      <c r="A34" s="4"/>
    </row>
    <row r="35" customFormat="false" ht="15" hidden="false" customHeight="false" outlineLevel="0" collapsed="false">
      <c r="A35" s="51" t="s">
        <v>587</v>
      </c>
    </row>
    <row r="36" customFormat="false" ht="15" hidden="false" customHeight="false" outlineLevel="0" collapsed="false">
      <c r="A36" s="4" t="s">
        <v>588</v>
      </c>
    </row>
    <row r="37" customFormat="false" ht="15" hidden="false" customHeight="false" outlineLevel="0" collapsed="false">
      <c r="A37" s="4" t="s">
        <v>589</v>
      </c>
    </row>
    <row r="38" customFormat="false" ht="15" hidden="false" customHeight="false" outlineLevel="0" collapsed="false">
      <c r="A38" s="4" t="s">
        <v>590</v>
      </c>
    </row>
    <row r="39" customFormat="false" ht="15" hidden="false" customHeight="false" outlineLevel="0" collapsed="false">
      <c r="A39" s="4" t="s">
        <v>591</v>
      </c>
    </row>
    <row r="40" customFormat="false" ht="15" hidden="false" customHeight="false" outlineLevel="0" collapsed="false">
      <c r="A40" s="4"/>
    </row>
    <row r="41" customFormat="false" ht="15" hidden="false" customHeight="false" outlineLevel="0" collapsed="false">
      <c r="A41" s="51" t="s">
        <v>592</v>
      </c>
    </row>
    <row r="42" customFormat="false" ht="15" hidden="false" customHeight="false" outlineLevel="0" collapsed="false">
      <c r="A42" s="4" t="s">
        <v>593</v>
      </c>
    </row>
    <row r="43" customFormat="false" ht="15" hidden="false" customHeight="false" outlineLevel="0" collapsed="false">
      <c r="A43" s="4" t="s">
        <v>594</v>
      </c>
    </row>
    <row r="44" customFormat="false" ht="15" hidden="false" customHeight="false" outlineLevel="0" collapsed="false">
      <c r="A44" s="4"/>
    </row>
    <row r="45" customFormat="false" ht="15" hidden="false" customHeight="false" outlineLevel="0" collapsed="false">
      <c r="A45" s="51" t="s">
        <v>595</v>
      </c>
    </row>
    <row r="46" customFormat="false" ht="15" hidden="false" customHeight="false" outlineLevel="0" collapsed="false">
      <c r="A46" s="4" t="s">
        <v>596</v>
      </c>
    </row>
    <row r="47" customFormat="false" ht="15" hidden="false" customHeight="false" outlineLevel="0" collapsed="false">
      <c r="A47" s="4" t="s">
        <v>597</v>
      </c>
    </row>
    <row r="48" customFormat="false" ht="15" hidden="false" customHeight="false" outlineLevel="0" collapsed="false">
      <c r="A48" s="4"/>
    </row>
    <row r="49" customFormat="false" ht="15" hidden="false" customHeight="false" outlineLevel="0" collapsed="false">
      <c r="A49" s="51" t="s">
        <v>598</v>
      </c>
    </row>
    <row r="50" customFormat="false" ht="15" hidden="false" customHeight="false" outlineLevel="0" collapsed="false">
      <c r="A50" s="4" t="s">
        <v>599</v>
      </c>
    </row>
    <row r="51" customFormat="false" ht="15" hidden="false" customHeight="false" outlineLevel="0" collapsed="false">
      <c r="A51" s="4" t="s">
        <v>600</v>
      </c>
    </row>
    <row r="52" customFormat="false" ht="15" hidden="false" customHeight="false" outlineLevel="0" collapsed="false">
      <c r="A52" s="4" t="s">
        <v>601</v>
      </c>
    </row>
    <row r="53" customFormat="false" ht="15" hidden="false" customHeight="false" outlineLevel="0" collapsed="false">
      <c r="A53" s="4" t="s">
        <v>602</v>
      </c>
    </row>
    <row r="54" customFormat="false" ht="15" hidden="false" customHeight="false" outlineLevel="0" collapsed="false">
      <c r="A54" s="4" t="s">
        <v>603</v>
      </c>
    </row>
    <row r="55" customFormat="false" ht="15" hidden="false" customHeight="false" outlineLevel="0" collapsed="false">
      <c r="A55" s="4"/>
    </row>
    <row r="56" customFormat="false" ht="15" hidden="false" customHeight="false" outlineLevel="0" collapsed="false">
      <c r="A56" s="51" t="s">
        <v>604</v>
      </c>
    </row>
    <row r="57" customFormat="false" ht="15" hidden="false" customHeight="false" outlineLevel="0" collapsed="false">
      <c r="A57" s="4" t="s">
        <v>605</v>
      </c>
    </row>
    <row r="58" customFormat="false" ht="15" hidden="false" customHeight="false" outlineLevel="0" collapsed="false">
      <c r="A58" s="4" t="s">
        <v>606</v>
      </c>
    </row>
    <row r="59" customFormat="false" ht="15" hidden="false" customHeight="false" outlineLevel="0" collapsed="false">
      <c r="A59" s="4" t="s">
        <v>607</v>
      </c>
    </row>
    <row r="60" customFormat="false" ht="15" hidden="false" customHeight="false" outlineLevel="0" collapsed="false">
      <c r="A60" s="4" t="s">
        <v>608</v>
      </c>
    </row>
    <row r="61" customFormat="false" ht="15" hidden="false" customHeight="false" outlineLevel="0" collapsed="false">
      <c r="A61" s="4" t="s">
        <v>609</v>
      </c>
    </row>
    <row r="62" customFormat="false" ht="15" hidden="false" customHeight="false" outlineLevel="0" collapsed="false">
      <c r="A62" s="4" t="s">
        <v>610</v>
      </c>
    </row>
    <row r="63" customFormat="false" ht="15" hidden="false" customHeight="false" outlineLevel="0" collapsed="false">
      <c r="A63" s="4" t="s">
        <v>611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2026-05-11T17:57:28Z</dcterms:created>
  <dc:creator>openpyxl</dc:creator>
  <dc:description/>
  <dc:language>en-US</dc:language>
  <cp:lastModifiedBy/>
  <dcterms:modified xsi:type="dcterms:W3CDTF">2026-05-11T18:10:41Z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