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figuration" sheetId="2" state="visible" r:id="rId4"/>
    <sheet name="Presets" sheetId="3" state="visible" r:id="rId5"/>
    <sheet name="Attribute Dictionary" sheetId="4" state="visible" r:id="rId6"/>
    <sheet name="Attribute Procedure" sheetId="5" state="visible" r:id="rId7"/>
    <sheet name="Patent Portfolio" sheetId="6" state="visible" r:id="rId8"/>
    <sheet name="Bundle Rules" sheetId="7" state="visible" r:id="rId9"/>
    <sheet name="Bundle Assignment" sheetId="8" state="visible" r:id="rId10"/>
    <sheet name="Bundle Quality Scorecard" sheetId="9" state="visible" r:id="rId11"/>
    <sheet name="Sample Bundles" sheetId="10" state="visible" r:id="rId12"/>
    <sheet name="Bundle Composition Strategy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<sst xmlns="http://schemas.openxmlformats.org/spreadsheetml/2006/main" count="1986" uniqueCount="996">
  <si>
    <t xml:space="preserve">PATENT PORTFOLIO BUNDLING TEMPLATE</t>
  </si>
  <si>
    <t xml:space="preserve">A technical-attribute-based framework for grouping patents into sellable bundles</t>
  </si>
  <si>
    <t xml:space="preserve">PURPOSE</t>
  </si>
  <si>
    <t xml:space="preserve">Score each patent across technical attributes, then auto-route patents into one or more sellable bundle types based on logical rules. The framework is purely technical — no valuation, no pricing.</t>
  </si>
  <si>
    <t xml:space="preserve">SHEETS IN THIS WORKBOOK</t>
  </si>
  <si>
    <t xml:space="preserve">1. README — This page. Overview and instructions.</t>
  </si>
  <si>
    <t xml:space="preserve">2. Attribute Dictionary — Definitions and scoring scales for every attribute.</t>
  </si>
  <si>
    <t xml:space="preserve">3. Patent Portfolio — Master data sheet. One row per patent. Fill this in.</t>
  </si>
  <si>
    <t xml:space="preserve">4. Bundle Rules — The 21 bundle types and the routing rule that qualifies a patent for each.</t>
  </si>
  <si>
    <t xml:space="preserve">5. Bundle Assignment — Auto-computed: which bundles each patent qualifies for.</t>
  </si>
  <si>
    <t xml:space="preserve">6. Bundle Quality Scorecard — Auto-computed: quality indicators per bundle.</t>
  </si>
  <si>
    <t xml:space="preserve">7. Sample Bundles — Worked examples showing how three bundles look in practice.</t>
  </si>
  <si>
    <t xml:space="preserve">HOW TO USE</t>
  </si>
  <si>
    <t xml:space="preserve">Step 1: Read the Attribute Dictionary to understand the scoring scales.</t>
  </si>
  <si>
    <t xml:space="preserve">Step 2: Open Patent Portfolio. Replace the 12 sample rows with your own patents. Use the dropdowns where provided.</t>
  </si>
  <si>
    <t xml:space="preserve">Step 3: Review Bundle Assignment — each patent shows which of the 21 bundles it qualifies for, with TRUE/FALSE flags.</t>
  </si>
  <si>
    <t xml:space="preserve">Step 4: Review Bundle Quality Scorecard — aggregate metrics tell you which bundles are strong, weak, or too small.</t>
  </si>
  <si>
    <t xml:space="preserve">Step 5: Iterate. Merge small bundles, split large ones, refine attribute scores.</t>
  </si>
  <si>
    <t xml:space="preserve">COLOR LEGEND (Patent Portfolio sheet)</t>
  </si>
  <si>
    <t xml:space="preserve">Group A (dark blue) — Technology classification attributes</t>
  </si>
  <si>
    <t xml:space="preserve">Group B (medium blue) — Standards &amp; ecosystem attributes</t>
  </si>
  <si>
    <t xml:space="preserve">Group C (light blue) — Claim &amp; scope attributes</t>
  </si>
  <si>
    <t xml:space="preserve">Group D (pale blue) — Detectability &amp; enforcement attributes</t>
  </si>
  <si>
    <t xml:space="preserve">Group E (dark green) — Family &amp; lifecycle attributes</t>
  </si>
  <si>
    <t xml:space="preserve">Group F (medium green) — Geographic attributes</t>
  </si>
  <si>
    <t xml:space="preserve">Group G (light green) — Strategic &amp; thematic attributes</t>
  </si>
  <si>
    <t xml:space="preserve">NOTES</t>
  </si>
  <si>
    <t xml:space="preserve">• The 12 sample patents are illustrative only. They span wireless, battery, computer vision, and materials to demonstrate how diverse portfolios map to bundles.</t>
  </si>
  <si>
    <t xml:space="preserve">• All cells with formulas are black text. All input cells use blue text. Lookup/cross-sheet links use green text where applicable.</t>
  </si>
  <si>
    <t xml:space="preserve">• A patent typically qualifies for multiple bundles. Use the Bundle Assignment sheet to decide final placement (multi-list, anchor-assign, or tiered).</t>
  </si>
  <si>
    <t xml:space="preserve">v2 ADDITIONS</t>
  </si>
  <si>
    <t xml:space="preserve">Group H attributes — Patent Quality &amp; Vulnerability (claim strength, prior-art exposure, prosecution history, divided-infringement risk, citation counts, litigation history, chain of title, EoU availability, encumbrance).</t>
  </si>
  <si>
    <t xml:space="preserve">Group I attributes — Market/Buyer Signals (product-mapping confidence, implementation maturity, adjacent-market re-read, workaround complexity).</t>
  </si>
  <si>
    <t xml:space="preserve">Bundle types 22-33 — Anchor-and-Halo, Picket-Fence, Strong-Core+Tail, Continuation-Live, EoU-Backed, Battle-Tested, Clean-Title, High-Citation, Adjacent Re-Read, Salvage Volume, Pre-Expiry, Provenance-Coherent.</t>
  </si>
  <si>
    <t xml:space="preserve">Scorecard gates — Weakest H1, Invalidity exposure %, EoU-ready %, Survived %, Continuation-optionality %.</t>
  </si>
  <si>
    <t xml:space="preserve">New "Bundle Composition Strategy" sheet — tiered structure, anchor-first, storyline, complementary-weakness, modular, carve-in/out, reserve, buyer-profile, continuation-optionality overlays.</t>
  </si>
  <si>
    <t xml:space="preserve">v3 ADDITIONS — Pattern A Configurability</t>
  </si>
  <si>
    <t xml:space="preserve">Configuration sheet — dropdown at the top picks a preset (Active Preset cell); Edit Mode toggle lets you override individual values from the Manual Override column. All routing rules and Scorecard formulas read from this sheet.</t>
  </si>
  <si>
    <t xml:space="preserve">Presets sheet — 6 starter presets (All ON, NPE / Counter-Assertion, Operating Company / FTO, Defensive Aggregator, Standards Licensee, EV Powertrain Sale) plus 4 empty "Custom Preset" slots you can fill in and rename.</t>
  </si>
  <si>
    <t xml:space="preserve">Disabled bundles — Bundle Assignment columns and Scorecard rows show "[DISABLED]" in the header/name and are visibly grayed out. Cells return blanks instead of TRUE/FALSE so they don't inflate the per-patent Total. Re-enable by setting the toggle back to Yes.</t>
  </si>
  <si>
    <t xml:space="preserve">Disabled gates — Scorecard gate columns work the same way: header gets [DISABLED] marker, cells go blank, column is grayed.</t>
  </si>
  <si>
    <t xml:space="preserve">Configurable thresholds — SEP cutoff, detectability cutoffs, family size minimum, citation threshold, pre-expiry window, salvage cutoffs, and STRONG-flag thresholds are all on the Configuration sheet and can be tuned per analysis.</t>
  </si>
  <si>
    <t xml:space="preserve">HOW TO USE THE CONFIGURATION</t>
  </si>
  <si>
    <t xml:space="preserve">1. Go to the Configuration sheet.</t>
  </si>
  <si>
    <t xml:space="preserve">2. Pick a preset from the "Active Preset" dropdown at the top (cell B4). Everything recomputes immediately.</t>
  </si>
  <si>
    <t xml:space="preserve">3. To tweak individual values: set "Edit Mode" (B5) to Yes. Now the Active Value column reads from the Manual Override column. Edit the override cells as needed.</t>
  </si>
  <si>
    <t xml:space="preserve">4. To save your custom configuration as a preset: with the values you want set on the Configuration sheet, go to the Presets sheet and paste them into a "Custom Preset" column. Rename the column header. Done.</t>
  </si>
  <si>
    <t xml:space="preserve">5. Set Edit Mode back to No and pick your new preset from the dropdown.</t>
  </si>
  <si>
    <t xml:space="preserve">v4 ADDITION — Attribute Derivation Procedure</t>
  </si>
  <si>
    <t xml:space="preserve">New "Attribute Procedure" sheet sits between Attribute Dictionary and Patent Portfolio. It contains the field-by-field procedure for populating the 40 attributes from raw patent data — what to look up, where to look it up, and how to score the rubric-based fields.</t>
  </si>
  <si>
    <t xml:space="preserve">The sheet has four sections: (1) Type legend, (2) Recommended 10-step workflow, (3) Master per-attribute procedure table (one row per attribute with where to find / how to derive / data source), (4) Free vs Paid data source reference, (5) Practical notes on calibration and effort allocation.</t>
  </si>
  <si>
    <t xml:space="preserve">Use this sheet as the long-form reference. Keep using the Attribute Dictionary for quick scale/values lookups while entering data on the Patent Portfolio sheet.</t>
  </si>
  <si>
    <t xml:space="preserve">CONFIGURATION</t>
  </si>
  <si>
    <t xml:space="preserve">Pick a preset, or switch to Edit Mode to override individual values. All Bundle Assignment and Scorecard formulas read from this sheet.</t>
  </si>
  <si>
    <t xml:space="preserve">Active Preset:</t>
  </si>
  <si>
    <t xml:space="preserve">All ON (default)</t>
  </si>
  <si>
    <t xml:space="preserve">← Pick from Presets sheet. Changing this updates all Active Values below.</t>
  </si>
  <si>
    <t xml:space="preserve">Edit Mode:</t>
  </si>
  <si>
    <t xml:space="preserve">No</t>
  </si>
  <si>
    <t xml:space="preserve">← Yes = use Manual Override column. No = use selected preset.</t>
  </si>
  <si>
    <t xml:space="preserve">Summary:</t>
  </si>
  <si>
    <t xml:space="preserve">Parameter</t>
  </si>
  <si>
    <t xml:space="preserve">Description</t>
  </si>
  <si>
    <t xml:space="preserve">Active Value (use this in formulas)</t>
  </si>
  <si>
    <t xml:space="preserve">From Preset</t>
  </si>
  <si>
    <t xml:space="preserve">Manual Override</t>
  </si>
  <si>
    <t xml:space="preserve">BUNDLE TOGGLES (Yes = bundle is active in this analysis)</t>
  </si>
  <si>
    <t xml:space="preserve">B1_enabled</t>
  </si>
  <si>
    <t xml:space="preserve">Bundle 1 — Tech Domain</t>
  </si>
  <si>
    <t xml:space="preserve">Yes</t>
  </si>
  <si>
    <t xml:space="preserve">B2_enabled</t>
  </si>
  <si>
    <t xml:space="preserve">Bundle 2 — SEP</t>
  </si>
  <si>
    <t xml:space="preserve">B3_enabled</t>
  </si>
  <si>
    <t xml:space="preserve">Bundle 3 — Product Architecture</t>
  </si>
  <si>
    <t xml:space="preserve">B4_enabled</t>
  </si>
  <si>
    <t xml:space="preserve">Bundle 4 — Stack Layer</t>
  </si>
  <si>
    <t xml:space="preserve">B5_enabled</t>
  </si>
  <si>
    <t xml:space="preserve">Bundle 5 — Use-Case</t>
  </si>
  <si>
    <t xml:space="preserve">B6_enabled</t>
  </si>
  <si>
    <t xml:space="preserve">Bundle 6 — Manufacturing / Process</t>
  </si>
  <si>
    <t xml:space="preserve">B7_enabled</t>
  </si>
  <si>
    <t xml:space="preserve">Bundle 7 — Materials &amp; Chemistry</t>
  </si>
  <si>
    <t xml:space="preserve">B8_enabled</t>
  </si>
  <si>
    <t xml:space="preserve">Bundle 8 — Algorithm / Software</t>
  </si>
  <si>
    <t xml:space="preserve">B9_enabled</t>
  </si>
  <si>
    <t xml:space="preserve">Bundle 9 — Interoperability</t>
  </si>
  <si>
    <t xml:space="preserve">B10_enabled</t>
  </si>
  <si>
    <t xml:space="preserve">Bundle 10 — Generational Roadmap</t>
  </si>
  <si>
    <t xml:space="preserve">B11_enabled</t>
  </si>
  <si>
    <t xml:space="preserve">Bundle 11 — Claim-Type</t>
  </si>
  <si>
    <t xml:space="preserve">B12_enabled</t>
  </si>
  <si>
    <t xml:space="preserve">Bundle 12 — Detectability</t>
  </si>
  <si>
    <t xml:space="preserve">B13_enabled</t>
  </si>
  <si>
    <t xml:space="preserve">Bundle 13 — Geographic</t>
  </si>
  <si>
    <t xml:space="preserve">B14_enabled</t>
  </si>
  <si>
    <t xml:space="preserve">Bundle 14 — Family-Tree</t>
  </si>
  <si>
    <t xml:space="preserve">B15_enabled</t>
  </si>
  <si>
    <t xml:space="preserve">Bundle 15 — Lifecycle / Term</t>
  </si>
  <si>
    <t xml:space="preserve">B16_enabled</t>
  </si>
  <si>
    <t xml:space="preserve">Bundle 16 — Foundational + Improvement</t>
  </si>
  <si>
    <t xml:space="preserve">B17_enabled</t>
  </si>
  <si>
    <t xml:space="preserve">Bundle 17 — Cross-Industry</t>
  </si>
  <si>
    <t xml:space="preserve">B18_enabled</t>
  </si>
  <si>
    <t xml:space="preserve">Bundle 18 — Convergent Theme</t>
  </si>
  <si>
    <t xml:space="preserve">B19_enabled</t>
  </si>
  <si>
    <t xml:space="preserve">Bundle 19 — Defensive / Counter-Assert.</t>
  </si>
  <si>
    <t xml:space="preserve">B20_enabled</t>
  </si>
  <si>
    <t xml:space="preserve">Bundle 20 — Whitespace / Design-Around</t>
  </si>
  <si>
    <t xml:space="preserve">B21_enabled</t>
  </si>
  <si>
    <t xml:space="preserve">Bundle 21 — Prosecution-Status</t>
  </si>
  <si>
    <t xml:space="preserve">B22_enabled</t>
  </si>
  <si>
    <t xml:space="preserve">Bundle 22 — Anchor-and-Halo</t>
  </si>
  <si>
    <t xml:space="preserve">B23_enabled</t>
  </si>
  <si>
    <t xml:space="preserve">Bundle 23 — Picket-Fence</t>
  </si>
  <si>
    <t xml:space="preserve">B24_enabled</t>
  </si>
  <si>
    <t xml:space="preserve">Bundle 24 — Strong-Core + Tail</t>
  </si>
  <si>
    <t xml:space="preserve">B25_enabled</t>
  </si>
  <si>
    <t xml:space="preserve">Bundle 25 — Continuation-Live</t>
  </si>
  <si>
    <t xml:space="preserve">B26_enabled</t>
  </si>
  <si>
    <t xml:space="preserve">Bundle 26 — EoU-Backed</t>
  </si>
  <si>
    <t xml:space="preserve">B27_enabled</t>
  </si>
  <si>
    <t xml:space="preserve">Bundle 27 — Battle-Tested</t>
  </si>
  <si>
    <t xml:space="preserve">B28_enabled</t>
  </si>
  <si>
    <t xml:space="preserve">Bundle 28 — Clean-Title</t>
  </si>
  <si>
    <t xml:space="preserve">B29_enabled</t>
  </si>
  <si>
    <t xml:space="preserve">Bundle 29 — High-Citation</t>
  </si>
  <si>
    <t xml:space="preserve">B30_enabled</t>
  </si>
  <si>
    <t xml:space="preserve">Bundle 30 — Adjacent Re-Read</t>
  </si>
  <si>
    <t xml:space="preserve">B31_enabled</t>
  </si>
  <si>
    <t xml:space="preserve">Bundle 31 — Salvage / Volume Lot</t>
  </si>
  <si>
    <t xml:space="preserve">B32_enabled</t>
  </si>
  <si>
    <t xml:space="preserve">Bundle 32 — Pre-Expiry</t>
  </si>
  <si>
    <t xml:space="preserve">B33_enabled</t>
  </si>
  <si>
    <t xml:space="preserve">Bundle 33 — Provenance-Coherent</t>
  </si>
  <si>
    <t xml:space="preserve">THRESHOLDS (numeric values referenced in routing rules)</t>
  </si>
  <si>
    <t xml:space="preserve">SEP_B1_cutoff</t>
  </si>
  <si>
    <t xml:space="preserve">B2 SEP bundle: minimum B1 SEP potential (default 2)</t>
  </si>
  <si>
    <t xml:space="preserve">Interface_B3_cutoff</t>
  </si>
  <si>
    <t xml:space="preserve">B9 Interop bundle: minimum B3 interface role (default 2)</t>
  </si>
  <si>
    <t xml:space="preserve">Detect_D1_cutoff</t>
  </si>
  <si>
    <t xml:space="preserve">B12 Detectability: D1 external-detect cutoff (default 2)</t>
  </si>
  <si>
    <t xml:space="preserve">Detect_D2_cutoff</t>
  </si>
  <si>
    <t xml:space="preserve">B12 Detectability: D2 teardown cutoff (default 2)</t>
  </si>
  <si>
    <t xml:space="preserve">Family_E1_min</t>
  </si>
  <si>
    <t xml:space="preserve">B14 Family bundle: minimum E1 family size (default 2)</t>
  </si>
  <si>
    <t xml:space="preserve">CrossIndustry_G3_cutoff</t>
  </si>
  <si>
    <t xml:space="preserve">B17 Cross-Industry: minimum G3 cross-industry score (default 2)</t>
  </si>
  <si>
    <t xml:space="preserve">Defensive_D3_cutoff</t>
  </si>
  <si>
    <t xml:space="preserve">B19 Defensive: minimum D3 reads-on-products (default 2)</t>
  </si>
  <si>
    <t xml:space="preserve">Whitespace_C4_cutoff</t>
  </si>
  <si>
    <t xml:space="preserve">B20 Whitespace: minimum C4 design-around difficulty (default 2)</t>
  </si>
  <si>
    <t xml:space="preserve">Anchor_H1_cutoff</t>
  </si>
  <si>
    <t xml:space="preserve">B22 Anchor+Halo: minimum H1 claim strength for anchor (default 2)</t>
  </si>
  <si>
    <t xml:space="preserve">HighCitation_H5_min</t>
  </si>
  <si>
    <t xml:space="preserve">B29 High-Citation: minimum H5 forward citations (default 15)</t>
  </si>
  <si>
    <t xml:space="preserve">PreExpiry_min_years</t>
  </si>
  <si>
    <t xml:space="preserve">B32 Pre-Expiry: minimum remaining term in years (default 1)</t>
  </si>
  <si>
    <t xml:space="preserve">PreExpiry_max_years</t>
  </si>
  <si>
    <t xml:space="preserve">B32 Pre-Expiry: maximum remaining term in years (default 4)</t>
  </si>
  <si>
    <t xml:space="preserve">Salvage_H1_max</t>
  </si>
  <si>
    <t xml:space="preserve">B31 Salvage: maximum H1 (default 1)</t>
  </si>
  <si>
    <t xml:space="preserve">Salvage_E4_max</t>
  </si>
  <si>
    <t xml:space="preserve">B31 Salvage: maximum remaining term in years (default 5)</t>
  </si>
  <si>
    <t xml:space="preserve">Salvage_H2_max</t>
  </si>
  <si>
    <t xml:space="preserve">B31 Salvage: maximum H2 prior-art exposure (default 1)</t>
  </si>
  <si>
    <t xml:space="preserve">Strength_depth_min</t>
  </si>
  <si>
    <t xml:space="preserve">Scorecard STRONG flag: minimum coverage depth (default 4)</t>
  </si>
  <si>
    <t xml:space="preserve">Strength_detect_min</t>
  </si>
  <si>
    <t xml:space="preserve">Scorecard STRONG flag: minimum avg detectability (default 2)</t>
  </si>
  <si>
    <t xml:space="preserve">Strength_term_min</t>
  </si>
  <si>
    <t xml:space="preserve">Scorecard STRONG flag: minimum avg remaining term (default 10)</t>
  </si>
  <si>
    <t xml:space="preserve">QUALITY GATES (Yes = gate column shown on Scorecard)</t>
  </si>
  <si>
    <t xml:space="preserve">Gate_WeakestH1</t>
  </si>
  <si>
    <t xml:space="preserve">Show "Weakest H1 in bundle" column</t>
  </si>
  <si>
    <t xml:space="preserve">Gate_InvalidityExposure</t>
  </si>
  <si>
    <t xml:space="preserve">Show "Invalidity exposure %" column</t>
  </si>
  <si>
    <t xml:space="preserve">Gate_EoUReady</t>
  </si>
  <si>
    <t xml:space="preserve">Show "EoU-ready %" column</t>
  </si>
  <si>
    <t xml:space="preserve">Gate_Survived</t>
  </si>
  <si>
    <t xml:space="preserve">Show "Survived %" column</t>
  </si>
  <si>
    <t xml:space="preserve">Gate_ContOptionality</t>
  </si>
  <si>
    <t xml:space="preserve">Show "Continuation-optionality %" column</t>
  </si>
  <si>
    <t xml:space="preserve">NPE / Counter-Assertion</t>
  </si>
  <si>
    <t xml:space="preserve">Operating Company / FTO</t>
  </si>
  <si>
    <t xml:space="preserve">Defensive Aggregator</t>
  </si>
  <si>
    <t xml:space="preserve">Standards Licensee</t>
  </si>
  <si>
    <t xml:space="preserve">EV Powertrain Sale</t>
  </si>
  <si>
    <t xml:space="preserve">Custom Preset 1</t>
  </si>
  <si>
    <t xml:space="preserve">Custom Preset 2</t>
  </si>
  <si>
    <t xml:space="preserve">Custom Preset 3</t>
  </si>
  <si>
    <t xml:space="preserve">Custom Preset 4</t>
  </si>
  <si>
    <t xml:space="preserve">_description</t>
  </si>
  <si>
    <t xml:space="preserve">Short description of the preset</t>
  </si>
  <si>
    <t xml:space="preserve">Every bundle and gate enabled, all thresholds at default. Baseline view.</t>
  </si>
  <si>
    <t xml:space="preserve">Focus on assertion-ready assets: detectability, EoU, survived challenges, defensive reads, salvage lots.</t>
  </si>
  <si>
    <t xml:space="preserve">Focus on subsystem coverage, interfaces, claim breadth, continuation optionality. Skips litigation-focused bundles.</t>
  </si>
  <si>
    <t xml:space="preserve">Volume-driven: salvage, geographic breadth, claim-type variety, prosecution mix.</t>
  </si>
  <si>
    <t xml:space="preserve">Tight focus on standards-essential, interoperability, generational, geographic, battle-tested assets.</t>
  </si>
  <si>
    <t xml:space="preserve">EV-focused: subsystems, materials, manufacturing, thermal, generational. Skips wireless/SEP/AI bundles.</t>
  </si>
  <si>
    <t xml:space="preserve">(empty — overwrite this column with your own configuration)</t>
  </si>
  <si>
    <t xml:space="preserve">BUNDLE TOGGLES (Yes = enabled, No = disabled)</t>
  </si>
  <si>
    <t xml:space="preserve">THRESHOLDS (numeric values used in routing rules)</t>
  </si>
  <si>
    <t xml:space="preserve">QUALITY GATES (Yes = column shown on Scorecard, No = column blanked)</t>
  </si>
  <si>
    <t xml:space="preserve">HOW TO USE THE PRESETS SHEET</t>
  </si>
  <si>
    <t xml:space="preserve">• The "Active Preset" dropdown on the Configuration sheet picks one column from this sheet.</t>
  </si>
  <si>
    <t xml:space="preserve">• Columns C-H are starter presets — useful as-is or as templates.</t>
  </si>
  <si>
    <t xml:space="preserve">• Columns I-L are empty "Custom Preset" slots — overwrite their values to define your own.</t>
  </si>
  <si>
    <t xml:space="preserve">• To rename a preset: edit row 1 of its column. The dropdown on the Configuration sheet updates automatically.</t>
  </si>
  <si>
    <t xml:space="preserve">• To save your current Configuration as a new preset:</t>
  </si>
  <si>
    <t xml:space="preserve">  1. On the Configuration sheet, set Edit Mode = Yes and configure all toggles/thresholds the way you want.</t>
  </si>
  <si>
    <t xml:space="preserve">  2. Come back to this sheet. In the Custom Preset column you want to use, paste-special each value section by section, or type values directly.</t>
  </si>
  <si>
    <t xml:space="preserve">  3. Rename the column header (row 1) to your preset name.</t>
  </si>
  <si>
    <t xml:space="preserve">  4. Back on Configuration: set Edit Mode = No and select your new preset from the dropdown.</t>
  </si>
  <si>
    <t xml:space="preserve">• You can add more preset columns by extending to columns M onward — just update the dropdown range on the Configuration sheet.</t>
  </si>
  <si>
    <t xml:space="preserve">Group</t>
  </si>
  <si>
    <t xml:space="preserve">Code</t>
  </si>
  <si>
    <t xml:space="preserve">Attribute</t>
  </si>
  <si>
    <t xml:space="preserve">Scale / Values</t>
  </si>
  <si>
    <t xml:space="preserve">Example</t>
  </si>
  <si>
    <t xml:space="preserve">A. Technology Classification</t>
  </si>
  <si>
    <t xml:space="preserve">A1</t>
  </si>
  <si>
    <t xml:space="preserve">Primary technology domain</t>
  </si>
  <si>
    <t xml:space="preserve">Main CPC/IPC classification or internal taxonomy tag.</t>
  </si>
  <si>
    <t xml:space="preserve">Categorical text</t>
  </si>
  <si>
    <t xml:space="preserve">Wireless PHY</t>
  </si>
  <si>
    <t xml:space="preserve">A2</t>
  </si>
  <si>
    <t xml:space="preserve">Secondary domains</t>
  </si>
  <si>
    <t xml:space="preserve">Cross-applicable technical areas the patent also touches.</t>
  </si>
  <si>
    <t xml:space="preserve">Comma-separated tags</t>
  </si>
  <si>
    <t xml:space="preserve">Beamforming, MIMO</t>
  </si>
  <si>
    <t xml:space="preserve">A3</t>
  </si>
  <si>
    <t xml:space="preserve">Stack layer</t>
  </si>
  <si>
    <t xml:space="preserve">Horizontal layer of the technology stack.</t>
  </si>
  <si>
    <t xml:space="preserve">Hardware / Firmware / OS / Middleware / App / Cloud / UI</t>
  </si>
  <si>
    <t xml:space="preserve">Hardware</t>
  </si>
  <si>
    <t xml:space="preserve">A4</t>
  </si>
  <si>
    <t xml:space="preserve">Product subsystem</t>
  </si>
  <si>
    <t xml:space="preserve">Which subsystem(s) of an end-product it covers.</t>
  </si>
  <si>
    <t xml:space="preserve">Free-text / list</t>
  </si>
  <si>
    <t xml:space="preserve">Battery management</t>
  </si>
  <si>
    <t xml:space="preserve">A5</t>
  </si>
  <si>
    <t xml:space="preserve">Use-case</t>
  </si>
  <si>
    <t xml:space="preserve">Real-world problem(s) it solves.</t>
  </si>
  <si>
    <t xml:space="preserve">Indoor positioning</t>
  </si>
  <si>
    <t xml:space="preserve">B. Standards &amp; Ecosystem</t>
  </si>
  <si>
    <t xml:space="preserve">B1</t>
  </si>
  <si>
    <t xml:space="preserve">SEP potential</t>
  </si>
  <si>
    <t xml:space="preserve">Standard-essential potential.</t>
  </si>
  <si>
    <t xml:space="preserve">0 (none) → 3 (declared/strong mapping)</t>
  </si>
  <si>
    <t xml:space="preserve">3</t>
  </si>
  <si>
    <t xml:space="preserve">B2</t>
  </si>
  <si>
    <t xml:space="preserve">Standard tagged</t>
  </si>
  <si>
    <t xml:space="preserve">Specific standard(s) the patent maps to.</t>
  </si>
  <si>
    <t xml:space="preserve">3GPP 5G NR</t>
  </si>
  <si>
    <t xml:space="preserve">B3</t>
  </si>
  <si>
    <t xml:space="preserve">Interface role</t>
  </si>
  <si>
    <t xml:space="preserve">Role as an interoperability/interface technology.</t>
  </si>
  <si>
    <t xml:space="preserve">0 (internal only) → 3 (mandatory interface)</t>
  </si>
  <si>
    <t xml:space="preserve">2</t>
  </si>
  <si>
    <t xml:space="preserve">C. Claim &amp; Scope</t>
  </si>
  <si>
    <t xml:space="preserve">C1</t>
  </si>
  <si>
    <t xml:space="preserve">Claim type</t>
  </si>
  <si>
    <t xml:space="preserve">Dominant claim type.</t>
  </si>
  <si>
    <t xml:space="preserve">Apparatus / Method / System / CRM / Design</t>
  </si>
  <si>
    <t xml:space="preserve">Method</t>
  </si>
  <si>
    <t xml:space="preserve">C2</t>
  </si>
  <si>
    <t xml:space="preserve">Claim breadth</t>
  </si>
  <si>
    <t xml:space="preserve">How broad/foundational the independent claims are.</t>
  </si>
  <si>
    <t xml:space="preserve">0 (narrow) → 3 (foundational/pioneer)</t>
  </si>
  <si>
    <t xml:space="preserve">C3</t>
  </si>
  <si>
    <t xml:space="preserve">Independent claim count</t>
  </si>
  <si>
    <t xml:space="preserve">Number of independent claims.</t>
  </si>
  <si>
    <t xml:space="preserve">Integer</t>
  </si>
  <si>
    <t xml:space="preserve">C4</t>
  </si>
  <si>
    <t xml:space="preserve">Design-around difficulty</t>
  </si>
  <si>
    <t xml:space="preserve">How hard it is to design around the claims.</t>
  </si>
  <si>
    <t xml:space="preserve">0 (easy) → 3 (hard)</t>
  </si>
  <si>
    <t xml:space="preserve">D. Detectability</t>
  </si>
  <si>
    <t xml:space="preserve">D1</t>
  </si>
  <si>
    <t xml:space="preserve">External detectability</t>
  </si>
  <si>
    <t xml:space="preserve">Detectable via observable product behavior / UX / spec sheet.</t>
  </si>
  <si>
    <t xml:space="preserve">0 (not visible) → 3 (visible without teardown)</t>
  </si>
  <si>
    <t xml:space="preserve">D2</t>
  </si>
  <si>
    <t xml:space="preserve">Teardown detectability</t>
  </si>
  <si>
    <t xml:space="preserve">Detectable via product teardown / reverse engineering.</t>
  </si>
  <si>
    <t xml:space="preserve">0 → 3</t>
  </si>
  <si>
    <t xml:space="preserve">D3</t>
  </si>
  <si>
    <t xml:space="preserve">Reads-on-known-products</t>
  </si>
  <si>
    <t xml:space="preserve">Confirmed read on known commercial products.</t>
  </si>
  <si>
    <t xml:space="preserve">0 (none) → 3 (multiple confirmed)</t>
  </si>
  <si>
    <t xml:space="preserve">E. Family &amp; Lifecycle</t>
  </si>
  <si>
    <t xml:space="preserve">E1</t>
  </si>
  <si>
    <t xml:space="preserve">Family size</t>
  </si>
  <si>
    <t xml:space="preserve">Total count of family members (parent + continuations + foreign).</t>
  </si>
  <si>
    <t xml:space="preserve">7</t>
  </si>
  <si>
    <t xml:space="preserve">E2</t>
  </si>
  <si>
    <t xml:space="preserve">Prosecution status</t>
  </si>
  <si>
    <t xml:space="preserve">Status of the patent.</t>
  </si>
  <si>
    <t xml:space="preserve">Pending / Granted / Mixed</t>
  </si>
  <si>
    <t xml:space="preserve">Granted</t>
  </si>
  <si>
    <t xml:space="preserve">E3</t>
  </si>
  <si>
    <t xml:space="preserve">Continuation available</t>
  </si>
  <si>
    <t xml:space="preserve">Whether any child application is still pending.</t>
  </si>
  <si>
    <t xml:space="preserve">Yes / No</t>
  </si>
  <si>
    <t xml:space="preserve">E4</t>
  </si>
  <si>
    <t xml:space="preserve">Remaining term (years)</t>
  </si>
  <si>
    <t xml:space="preserve">Years until earliest family member expires.</t>
  </si>
  <si>
    <t xml:space="preserve">14</t>
  </si>
  <si>
    <t xml:space="preserve">E5</t>
  </si>
  <si>
    <t xml:space="preserve">Maintenance status</t>
  </si>
  <si>
    <t xml:space="preserve">Whether maintenance fees are paid and family is active.</t>
  </si>
  <si>
    <t xml:space="preserve">Active / Lapsed / At-risk</t>
  </si>
  <si>
    <t xml:space="preserve">Active</t>
  </si>
  <si>
    <t xml:space="preserve">F. Geographic</t>
  </si>
  <si>
    <t xml:space="preserve">F1</t>
  </si>
  <si>
    <t xml:space="preserve">Jurisdictions</t>
  </si>
  <si>
    <t xml:space="preserve">Jurisdictions where the patent is granted.</t>
  </si>
  <si>
    <t xml:space="preserve">Comma-separated</t>
  </si>
  <si>
    <t xml:space="preserve">US, EP, CN, JP</t>
  </si>
  <si>
    <t xml:space="preserve">F2</t>
  </si>
  <si>
    <t xml:space="preserve">Trilateral coverage flag</t>
  </si>
  <si>
    <t xml:space="preserve">Granted in at least US + EP + at least one of CN/JP/KR.</t>
  </si>
  <si>
    <t xml:space="preserve">F3</t>
  </si>
  <si>
    <t xml:space="preserve">Major-market coverage score</t>
  </si>
  <si>
    <t xml:space="preserve">Strength of coverage across major economies.</t>
  </si>
  <si>
    <t xml:space="preserve">G. Strategic &amp; Thematic</t>
  </si>
  <si>
    <t xml:space="preserve">G1</t>
  </si>
  <si>
    <t xml:space="preserve">Convergence theme</t>
  </si>
  <si>
    <t xml:space="preserve">Hot convergence theme tags (AI+health, edge AI, AR/VR, etc.).</t>
  </si>
  <si>
    <t xml:space="preserve">Edge AI</t>
  </si>
  <si>
    <t xml:space="preserve">G2</t>
  </si>
  <si>
    <t xml:space="preserve">Generation</t>
  </si>
  <si>
    <t xml:space="preserve">Technology generation tag.</t>
  </si>
  <si>
    <t xml:space="preserve">Legacy / Current / Next-gen</t>
  </si>
  <si>
    <t xml:space="preserve">Current</t>
  </si>
  <si>
    <t xml:space="preserve">G3</t>
  </si>
  <si>
    <t xml:space="preserve">Cross-industry applicability</t>
  </si>
  <si>
    <t xml:space="preserve">How many industries the patent could read on.</t>
  </si>
  <si>
    <t xml:space="preserve">0 (single) → 3 (4+ industries)</t>
  </si>
  <si>
    <t xml:space="preserve">H. Patent Quality &amp; Vulnerability</t>
  </si>
  <si>
    <t xml:space="preserve">H1</t>
  </si>
  <si>
    <t xml:space="preserve">Claim strength rating</t>
  </si>
  <si>
    <t xml:space="preserve">Overall enforceability based on claim language clarity and dependent-claim depth.</t>
  </si>
  <si>
    <t xml:space="preserve">0 (vague/narrow) → 3 (clean, well-anchored)</t>
  </si>
  <si>
    <t xml:space="preserve">H2</t>
  </si>
  <si>
    <t xml:space="preserve">Prior-art exposure</t>
  </si>
  <si>
    <t xml:space="preserve">Known prior art that could invalidate the patent; PTAB/IPR/EPO opposition risk.</t>
  </si>
  <si>
    <t xml:space="preserve">0 (high invalidity risk) → 3 (clean)</t>
  </si>
  <si>
    <t xml:space="preserve">H3</t>
  </si>
  <si>
    <t xml:space="preserve">Prosecution history risk</t>
  </si>
  <si>
    <t xml:space="preserve">File-wrapper estoppel exposure from narrowing arguments made during prosecution.</t>
  </si>
  <si>
    <t xml:space="preserve">0 (heavy estoppel) → 3 (clean prosecution)</t>
  </si>
  <si>
    <t xml:space="preserve">H4</t>
  </si>
  <si>
    <t xml:space="preserve">Divided infringement risk</t>
  </si>
  <si>
    <t xml:space="preserve">Whether infringement requires acts by multiple parties (multi-actor reduces enforceability).</t>
  </si>
  <si>
    <t xml:space="preserve">0 (multi-party only) → 3 (single-actor)</t>
  </si>
  <si>
    <t xml:space="preserve">H5</t>
  </si>
  <si>
    <t xml:space="preserve">Forward citation count</t>
  </si>
  <si>
    <t xml:space="preserve">Number of times this patent has been cited by later filings (technical influence signal).</t>
  </si>
  <si>
    <t xml:space="preserve">12</t>
  </si>
  <si>
    <t xml:space="preserve">H6</t>
  </si>
  <si>
    <t xml:space="preserve">Backward citation density</t>
  </si>
  <si>
    <t xml:space="preserve">Density of prior art cited during prosecution.</t>
  </si>
  <si>
    <t xml:space="preserve">34</t>
  </si>
  <si>
    <t xml:space="preserve">H7</t>
  </si>
  <si>
    <t xml:space="preserve">Litigation/PTAB history</t>
  </si>
  <si>
    <t xml:space="preserve">Has the patent or family been litigated or challenged? Outcome?</t>
  </si>
  <si>
    <t xml:space="preserve">None / Survived / Pending / Lost-claims</t>
  </si>
  <si>
    <t xml:space="preserve">Survived</t>
  </si>
  <si>
    <t xml:space="preserve">H8</t>
  </si>
  <si>
    <t xml:space="preserve">Chain-of-title cleanliness</t>
  </si>
  <si>
    <t xml:space="preserve">Quality of the ownership chain: assignments, prior co-ownership, security interests.</t>
  </si>
  <si>
    <t xml:space="preserve">Clean / Minor gaps / Encumbered</t>
  </si>
  <si>
    <t xml:space="preserve">Clean</t>
  </si>
  <si>
    <t xml:space="preserve">H9</t>
  </si>
  <si>
    <t xml:space="preserve">EoU / claim-chart availability</t>
  </si>
  <si>
    <t xml:space="preserve">Evidence-of-Use claim chart available mapping claims to product or standard.</t>
  </si>
  <si>
    <t xml:space="preserve">None / Partial / Full</t>
  </si>
  <si>
    <t xml:space="preserve">Full</t>
  </si>
  <si>
    <t xml:space="preserve">H10</t>
  </si>
  <si>
    <t xml:space="preserve">Encumbrance status</t>
  </si>
  <si>
    <t xml:space="preserve">Existing licenses, liens, or prior commitments affecting transferability.</t>
  </si>
  <si>
    <t xml:space="preserve">None / Non-exclusive licensed / Exclusive licensed / Encumbered</t>
  </si>
  <si>
    <t xml:space="preserve">None</t>
  </si>
  <si>
    <t xml:space="preserve">I. Market/Buyer Signals</t>
  </si>
  <si>
    <t xml:space="preserve">I1</t>
  </si>
  <si>
    <t xml:space="preserve">Product-mapping confidence</t>
  </si>
  <si>
    <t xml:space="preserve">Confidence with which the patent reads on identifiable commercial products.</t>
  </si>
  <si>
    <t xml:space="preserve">I2</t>
  </si>
  <si>
    <t xml:space="preserve">Implementation maturity</t>
  </si>
  <si>
    <t xml:space="preserve">Whether the invention was prototyped / productized vs. remained an idea.</t>
  </si>
  <si>
    <t xml:space="preserve">Idea-only / Prototyped / Productized</t>
  </si>
  <si>
    <t xml:space="preserve">Productized</t>
  </si>
  <si>
    <t xml:space="preserve">I3</t>
  </si>
  <si>
    <t xml:space="preserve">Adjacent-market re-read</t>
  </si>
  <si>
    <t xml:space="preserve">Whether claims can be re-mapped to products in industries beyond the original target.</t>
  </si>
  <si>
    <t xml:space="preserve">I4</t>
  </si>
  <si>
    <t xml:space="preserve">Workaround complexity</t>
  </si>
  <si>
    <t xml:space="preserve">Engineering effort needed for a competitor to design around the claims.</t>
  </si>
  <si>
    <t xml:space="preserve">0 (trivial) → 3 (deep redesign)</t>
  </si>
  <si>
    <t xml:space="preserve">ATTRIBUTE DERIVATION PROCEDURE</t>
  </si>
  <si>
    <t xml:space="preserve">A field-by-field procedure for populating the 40-attribute scoring model from raw patent data. Sits alongside the Attribute Dictionary as the long-form reference.</t>
  </si>
  <si>
    <t xml:space="preserve">TYPE LEGEND</t>
  </si>
  <si>
    <t xml:space="preserve">Direct lookup</t>
  </si>
  <si>
    <t xml:space="preserve">Pull the value straight from a patent document field or database; no judgment required.</t>
  </si>
  <si>
    <t xml:space="preserve">Computed</t>
  </si>
  <si>
    <t xml:space="preserve">Apply an arithmetic formula or boolean rule to other already-collected fields.</t>
  </si>
  <si>
    <t xml:space="preserve">Derived (rubric)</t>
  </si>
  <si>
    <t xml:space="preserve">Apply a scoring rubric to claim text or specification language. Requires reading and judgment.</t>
  </si>
  <si>
    <t xml:space="preserve">Derived (rubric + SME)</t>
  </si>
  <si>
    <t xml:space="preserve">Rubric-based but should be cross-checked with a domain expert or patent counsel.</t>
  </si>
  <si>
    <t xml:space="preserve">RECOMMENDED WORKFLOW — 10 steps (run in order; steps 1-3 mostly automatable, steps 4-10 require reading &amp; judgment)</t>
  </si>
  <si>
    <t xml:space="preserve">#</t>
  </si>
  <si>
    <t xml:space="preserve">Step</t>
  </si>
  <si>
    <t xml:space="preserve">What to do</t>
  </si>
  <si>
    <t xml:space="preserve">Fields populated</t>
  </si>
  <si>
    <t xml:space="preserve">Pull bibliographic &amp; family data</t>
  </si>
  <si>
    <t xml:space="preserve">For each patent: get the front page, claims, abstract, family tree, citations, assignments, and prosecution status. Use Google Patents + Espacenet + USPTO Patent Center.</t>
  </si>
  <si>
    <t xml:space="preserve">A1, A2, C1, C3, E1–E5, F1, H5, H6, H8</t>
  </si>
  <si>
    <t xml:space="preserve">Read claims and specification</t>
  </si>
  <si>
    <t xml:space="preserve">Read the first independent claim of each patent + the Background / Field-of-Invention. This is the irreplaceable manual step.</t>
  </si>
  <si>
    <t xml:space="preserve">A3, A4, A5, C2, C4, B3</t>
  </si>
  <si>
    <t xml:space="preserve">Check SEP declarations</t>
  </si>
  <si>
    <t xml:space="preserve">For wireless / video / connectivity patents: check ETSI IPR, IEEE-SA, ITU declarations against the family.</t>
  </si>
  <si>
    <t xml:space="preserve">B1, B2</t>
  </si>
  <si>
    <t xml:space="preserve">Score detectability</t>
  </si>
  <si>
    <t xml:space="preserve">For each claim, judge external vs. teardown detectability with the rubric. Cross-check teardowns where available.</t>
  </si>
  <si>
    <t xml:space="preserve">D1, D2</t>
  </si>
  <si>
    <t xml:space="preserve">Map to products</t>
  </si>
  <si>
    <t xml:space="preserve">Identify which commercial products read on each patent. Build a quick read-on list. This is the highest-leverage step for buyer value.</t>
  </si>
  <si>
    <t xml:space="preserve">D3, I1</t>
  </si>
  <si>
    <t xml:space="preserve">Compute geography</t>
  </si>
  <si>
    <t xml:space="preserve">From the family list, derive trilateral flag and major-market score.</t>
  </si>
  <si>
    <t xml:space="preserve">F2, F3 (auto from F1)</t>
  </si>
  <si>
    <t xml:space="preserve">Tag themes and generations</t>
  </si>
  <si>
    <t xml:space="preserve">Apply your convergence-theme dictionary and generation labels.</t>
  </si>
  <si>
    <t xml:space="preserve">G1, G2, G3</t>
  </si>
  <si>
    <t xml:space="preserve">Quality &amp; vulnerability review</t>
  </si>
  <si>
    <t xml:space="preserve">Patent-counsel-grade review: claim strength, prior-art exposure, prosecution estoppel, divided-infringement, litigation history. Most labor-intensive but most decisive for buyer due diligence.</t>
  </si>
  <si>
    <t xml:space="preserve">H1, H2, H3, H4, H7</t>
  </si>
  <si>
    <t xml:space="preserve">EoU &amp; encumbrance audit</t>
  </si>
  <si>
    <t xml:space="preserve">Check internal claim-chart library; check encumbrance records.</t>
  </si>
  <si>
    <t xml:space="preserve">H9, H10</t>
  </si>
  <si>
    <t xml:space="preserve">Market signals review</t>
  </si>
  <si>
    <t xml:space="preserve">Implementation maturity (was it productized?), adjacent re-read potential, workaround complexity. SME-driven.</t>
  </si>
  <si>
    <t xml:space="preserve">I2, I3, I4</t>
  </si>
  <si>
    <t xml:space="preserve">MASTER ATTRIBUTE PROCEDURE TABLE — one row per attribute (40 attributes total)</t>
  </si>
  <si>
    <t xml:space="preserve">Grp</t>
  </si>
  <si>
    <t xml:space="preserve">Type</t>
  </si>
  <si>
    <t xml:space="preserve">Where to find</t>
  </si>
  <si>
    <t xml:space="preserve">How to derive / compute</t>
  </si>
  <si>
    <t xml:space="preserve">Best data source</t>
  </si>
  <si>
    <t xml:space="preserve">A</t>
  </si>
  <si>
    <t xml:space="preserve">Front page of the patent: CPC main classification (most specific subgroup), or IPC. Also check the title and abstract for confirmation.</t>
  </si>
  <si>
    <t xml:space="preserve">Take the CPC main code and translate it to a human-readable domain tag using a fixed taxonomy (e.g., CPC H04W → "Wireless networking"; CPC H01M → "Battery cells"). Maintain a CPC→tag mapping spreadsheet so values stay consistent across the portfolio.</t>
  </si>
  <si>
    <t xml:space="preserve">Google Patents, USPTO PatentsView, Espacenet, EPO Open Patent Services, Lens.org. CPC scheme reference: cpc.uspto.gov</t>
  </si>
  <si>
    <t xml:space="preserve">CPC classifications other than the main one (front page lists multiple). Also pull keywords from the abstract and the first independent claim.</t>
  </si>
  <si>
    <t xml:space="preserve">List every additional CPC subgroup beyond A1. Optionally enrich with 2-3 keyword tags drawn from the abstract (e.g., "MIMO", "beamforming", "edge inference").</t>
  </si>
  <si>
    <t xml:space="preserve">Google Patents, Espacenet, Lens.org. For keyword extraction at scale: use a simple TF-IDF over the abstract against the rest of your portfolio.</t>
  </si>
  <si>
    <t xml:space="preserve">Read the first independent claim and the "Field of the Invention" / "Background" section.</t>
  </si>
  <si>
    <t xml:space="preserve">Apply a 7-bucket rubric. Hardware: physical device, circuit, or material composition. Firmware: low-level code embedded in hardware. OS: kernel/driver level. Middleware: protocol stacks, libraries, frameworks. App: end-user application logic. Cloud: server-side service or backend. UI: visual interface or interaction pattern. Pick the dominant layer; if the claim mixes layers, pick where the novelty lives.</t>
  </si>
  <si>
    <t xml:space="preserve">Patent specification. No external database — judgment-based against the rubric.</t>
  </si>
  <si>
    <t xml:space="preserve">Read the first independent claim, the "Detailed Description" preamble, and any "Embodiments" section listing real-world products.</t>
  </si>
  <si>
    <t xml:space="preserve">Map the claim subject matter to a subsystem of an identifiable end product. Example: for an EV — "battery cell", "battery pack", "BMS", "traction inverter", "thermal mgmt", "charging port", "motor", "regen brake controller". Maintain a per-industry subsystem dictionary so tags are consistent.</t>
  </si>
  <si>
    <t xml:space="preserve">Patent specification + product architecture knowledge (engineering team / SME input).</t>
  </si>
  <si>
    <t xml:space="preserve">"Field of the Invention", "Background", and the "Detailed Description" — look for problem statements ("there is a need to...", "addresses the problem of...").</t>
  </si>
  <si>
    <t xml:space="preserve">Phrase the use-case as a customer-facing problem (e.g., "indoor positioning", "battery fast-charging", "fraud detection in payments", "low-latency video streaming"). Maintain a portfolio-wide use-case dictionary; reuse tags rather than coining new ones for each patent.</t>
  </si>
  <si>
    <t xml:space="preserve">Patent specification. Use natural-language extraction from the Background section. Cross-check against market reports if needed.</t>
  </si>
  <si>
    <t xml:space="preserve">B</t>
  </si>
  <si>
    <t xml:space="preserve">Check (a) SEP databases for any declaration on this family, (b) the claim language for standards-spec phrasing, (c) any prior 3GPP / IEEE / ITU letters of assurance.</t>
  </si>
  <si>
    <t xml:space="preserve">Score 0-3. 3: declared SEP in an SSO database, OR claim language directly mirrors a normative spec section. 2: claim reads on a specific clause of a known standard but no formal declaration. 1: standard-adjacent but normative essentiality is debatable. 0: no standard tie. For 5G/Wi-Fi/Bluetooth/USB-C/H.26x patents, always run a claim-vs-spec mapping before assigning ≥2.</t>
  </si>
  <si>
    <t xml:space="preserve">ETSI IPR Online Database (search.ipr.etsi.org), IEEE-SA, ITU, IETF declarations, Unified Patents SEP database, IPlytics, Amplified.ai. Pair with claim-charts where available.</t>
  </si>
  <si>
    <t xml:space="preserve">Same sources as B1. Read the actual SSO declaration if one exists.</t>
  </si>
  <si>
    <t xml:space="preserve">Record the exact standard identifier (e.g., "3GPP TS 38.211 (5G NR PHY)", "IEEE 802.11be (Wi-Fi 7)", "USB PD 3.1", "ITU-T H.266/VVC"). If multiple standards are implicated, list all. Blank if B1 = 0.</t>
  </si>
  <si>
    <t xml:space="preserve">ETSI IPR database (full declaration text usually names the spec). Otherwise infer from claim text + standards expert review.</t>
  </si>
  <si>
    <t xml:space="preserve">Read the first independent claim. Look for protocol/handshake/format/connector language.</t>
  </si>
  <si>
    <t xml:space="preserve">Score 0-3. 3: claim sits at a mandatory interface between two systems (e.g., wire protocol, connector pinout, RPC format). 2: claim covers a widely-used interoperability mechanism that is not technically mandatory but is de-facto standard. 1: claim involves an interface but the interface is internal to one product. 0: no interface dimension.</t>
  </si>
  <si>
    <t xml:space="preserve">Patent specification + SME interpretation. Cross-check whether the interface is named in any public spec.</t>
  </si>
  <si>
    <t xml:space="preserve">C</t>
  </si>
  <si>
    <t xml:space="preserve">Read the preamble of each independent claim.</t>
  </si>
  <si>
    <t xml:space="preserve">Classify the dominant independent claim type. Apparatus: "an apparatus comprising…", "a device comprising…". Method: "a method comprising the steps of…". System: "a system for X comprising…". CRM: "a non-transitory computer-readable medium storing instructions that, when executed…". Design: design patents (D-numbered, drawings only). If mixed, pick the most enforceable type given the product target.</t>
  </si>
  <si>
    <t xml:space="preserve">Patent claims section (always front-of-patent in granted patents).</t>
  </si>
  <si>
    <t xml:space="preserve">Read each independent claim. Count words, count specific limitations, look for "wherein" clauses.</t>
  </si>
  <si>
    <t xml:space="preserve">Score 0-3. 3 (pioneer/foundational): few elements, abstract/general language, no narrowing wherein clauses, broad genus. 2 (broad): moderate element count, some structural narrowing. 1 (narrow): many specific element constraints, specific value ranges, named structural features. 0 (very narrow/picture claim): tied to one specific implementation. Rule of thumb: shorter independent claims with fewer limitations are usually broader.</t>
  </si>
  <si>
    <t xml:space="preserve">Patent claims + judgment. Tools like ClaimMaster, LexisNexis PatentAdvisor, or simple word-count heuristics can prefilter.</t>
  </si>
  <si>
    <t xml:space="preserve">Direct lookup (count)</t>
  </si>
  <si>
    <t xml:space="preserve">Claims section. Independent claims are those that do not refer to another claim ("a method comprising…" rather than "the method of claim 1, wherein…").</t>
  </si>
  <si>
    <t xml:space="preserve">Simple count. Look for claims whose first word is not "The" referring back to a prior claim.</t>
  </si>
  <si>
    <t xml:space="preserve">Patent claims section. Most patent APIs (PatentsView, EPO OPS) return claim text in structured form.</t>
  </si>
  <si>
    <t xml:space="preserve">Read all independent claims. Look at the size of the genus claimed, the number of dependent claims covering variants, and the breadth of the disclosure.</t>
  </si>
  <si>
    <t xml:space="preserve">Score 0-3. 3 (hard): independent claim covers a broad genus AND dependent claims systematically cover variants AND the specification suggests further unclaimed variants enabling future continuations. 2: covers main routes but leaves specific alternatives. 1: claim is one of several obvious alternatives. 0: trivial workaround exists. Engineering review strongly recommended for any patent scoring ≥2.</t>
  </si>
  <si>
    <t xml:space="preserve">Patent claims + specification + engineering SME review. There is no automated way to do this well — always sanity-check with a domain expert.</t>
  </si>
  <si>
    <t xml:space="preserve">D</t>
  </si>
  <si>
    <t xml:space="preserve">Read the claim and ask: can I confirm infringement by observing the product without opening it?</t>
  </si>
  <si>
    <t xml:space="preserve">Score 0-3. 3: visible in UI, marketed feature, public spec sheet, or measurable from outputs (e.g., a specific protocol behavior on the wire). 2: detectable from network traffic capture or external instrumentation. 1: detectable only with significant external testing. 0: requires teardown or internal access.</t>
  </si>
  <si>
    <t xml:space="preserve">Patent claims + product knowledge. Use the SSO spec or product manuals to confirm whether a feature is externally observable.</t>
  </si>
  <si>
    <t xml:space="preserve">Read the claim and ask: if I tear down the product, can I see the claimed element?</t>
  </si>
  <si>
    <t xml:space="preserve">Score 0-3. 3: visible in standard teardown (circuit traces, chip die markings, mechanical components). 2: detectable with electrical probing or chip-level reverse engineering. 1: detectable only with deep RE (decapping, firmware dump). 0: process-internal — no teardown reveals it (e.g., a manufacturing process step). Apparatus and chip-layout claims usually score 2-3; pure-software-method claims usually 0-1.</t>
  </si>
  <si>
    <t xml:space="preserve">Patent claims + RE feasibility judgment. TechInsights and Chipworks reports can validate teardown observability for chips.</t>
  </si>
  <si>
    <t xml:space="preserve">Direct mapping (research)</t>
  </si>
  <si>
    <t xml:space="preserve">Match claim elements against features of specific commercial products. Build a claim chart.</t>
  </si>
  <si>
    <t xml:space="preserve">Score 0-3 based on number of confirmed reads. 3: 4+ commercial products confirmed to infringe. 2: 2-3 confirmed. 1: 1 confirmed or strong suspicion. 0: no known target. Always document the products in a separate EoU/Claim-Chart artifact (see H9).</t>
  </si>
  <si>
    <t xml:space="preserve">Product teardowns (TechInsights, iFixit, Chipworks), product manuals, marketing collateral, prior litigation complaints, IPlytics product-mapping, expert SME review.</t>
  </si>
  <si>
    <t xml:space="preserve">E</t>
  </si>
  <si>
    <t xml:space="preserve">Family view on Espacenet, Google Patents "Family" tab, or PatBase family report. Includes parent + continuations + divisionals + CIPs + foreign counterparts.</t>
  </si>
  <si>
    <t xml:space="preserve">Count all family members across jurisdictions. Use DOCDB simple family or INPADOC extended family — pick one definition and apply it consistently. INPADOC is broader.</t>
  </si>
  <si>
    <t xml:space="preserve">Espacenet (free), PatBase, Derwent Innovation, Google Patents (Family tab), Patsnap.</t>
  </si>
  <si>
    <t xml:space="preserve">USPTO PAIR for US, EPO Register for EP, equivalent national registers for other jurisdictions. Or aggregated view in Espacenet / Patsnap.</t>
  </si>
  <si>
    <t xml:space="preserve">If all family members are granted → "Granted". If at least one is still pending → "Pending" or "Mixed". If a continuation is pending alongside granted parents → "Mixed". Choose "Mixed" if both granted and pending exist.</t>
  </si>
  <si>
    <t xml:space="preserve">USPTO Patent Center (formerly PAIR), EPO Register, JPO J-PlatPat, CNIPA, KIPRIS.</t>
  </si>
  <si>
    <t xml:space="preserve">Direct lookup (boolean)</t>
  </si>
  <si>
    <t xml:space="preserve">Check the family tree on USPTO Patent Center / Espacenet for any pending child application linked to this patent or its parent.</t>
  </si>
  <si>
    <t xml:space="preserve">Yes if at least one continuation, divisional, or CIP application is currently pending and has not been abandoned. No otherwise. Note: a recently filed continuation is the most valuable signal — flag patents with continuations filed within the last 12 months.</t>
  </si>
  <si>
    <t xml:space="preserve">USPTO Patent Center, EPO Register, family trees in Espacenet/Patsnap.</t>
  </si>
  <si>
    <t xml:space="preserve">Earliest patent expiry date in the family. For US: priority date + 20 years, adjusted for PTA (Patent Term Adjustment) and PTE (Patent Term Extension).</t>
  </si>
  <si>
    <t xml:space="preserve">Remaining_term = (expiry_date − today) in years, rounded. Use the EARLIEST expiry in the family for conservative scoring. For US patents granted from applications filed after June 8, 1995: expiry = filing_date + 20 years + PTA. Cross-check PAIR for PTA disclaimers and terminal disclaimers.</t>
  </si>
  <si>
    <t xml:space="preserve">USPTO PAIR, EPO Register, INPADOC. Patsnap and Derwent auto-compute expiry with adjustments.</t>
  </si>
  <si>
    <t xml:space="preserve">USPTO maintenance fee status (free lookup), EPO renewals register, national equivalents.</t>
  </si>
  <si>
    <t xml:space="preserve">Active: all maintenance fees paid up to current period. At-risk: a maintenance fee window is open and unpaid. Lapsed: maintenance fee deadline missed and grace period expired. Track this PER family member, not just the lead patent — a lapsed counterpart in a key jurisdiction is critical.</t>
  </si>
  <si>
    <t xml:space="preserve">USPTO Maintenance Fee Status (patentcenter.uspto.gov), EPO renewals, national patent office registers.</t>
  </si>
  <si>
    <t xml:space="preserve">F</t>
  </si>
  <si>
    <t xml:space="preserve">Direct lookup (list)</t>
  </si>
  <si>
    <t xml:space="preserve">Family view on Espacenet / Patsnap. Lists all countries where a family member is granted (not just filed).</t>
  </si>
  <si>
    <t xml:space="preserve">List all jurisdictions where at least one family member is currently GRANTED and active (not lapsed). Use 2-letter country codes: US, EP, CN, JP, KR, IN, DE, GB, FR, BR, CA, AU, etc. Note: EP coverage is composite — list EP and also which national validations exist if known.</t>
  </si>
  <si>
    <t xml:space="preserve">Espacenet, Patsnap, Derwent, Google Patents Family tab.</t>
  </si>
  <si>
    <t xml:space="preserve">Derived (boolean from F1)</t>
  </si>
  <si>
    <t xml:space="preserve">Derived from F1.</t>
  </si>
  <si>
    <t xml:space="preserve">Yes if patent is granted in US AND EP AND at least one of {CN, JP, KR}. No otherwise. This is the standard "trilateral+" definition; adjust if your buyer pool cares about specific markets (e.g., add IN for South Asia-focused buyers).</t>
  </si>
  <si>
    <t xml:space="preserve">Computed from F1.</t>
  </si>
  <si>
    <t xml:space="preserve">Derived (rubric from F1)</t>
  </si>
  <si>
    <t xml:space="preserve">Score 0-3 by counting major-market grants. 3: granted in 4+ of {US, EP, CN, JP, KR}. 2: granted in 3. 1: granted in 2. 0: granted in 0-1. Adjust major-market list based on buyer (e.g., add IN, BR for emerging-market focused buyers).</t>
  </si>
  <si>
    <t xml:space="preserve">G</t>
  </si>
  <si>
    <t xml:space="preserve">Derived (tag)</t>
  </si>
  <si>
    <t xml:space="preserve">Read the abstract, claim, and detailed description. Match against a maintained list of current convergence themes.</t>
  </si>
  <si>
    <t xml:space="preserve">Tag the patent with one or more themes from a fixed dictionary you maintain. Example dictionary: "AI+healthcare", "edge AI", "AR/VR", "AI+chip-design", "Robotics+CV", "Quantum", "Sustainability+materials", "AI+industrial", "Web3", "Spatial computing". Keep the dictionary stable — coin a new tag only when several patents converge on a new theme.</t>
  </si>
  <si>
    <t xml:space="preserve">Patent specification + your maintained convergence-theme dictionary. Cross-check with market intelligence sources (Gartner Hype Cycles, McKinsey emerging tech reports).</t>
  </si>
  <si>
    <t xml:space="preserve">Read the abstract and detailed description; check whether the patent maps to a specific technology generation (e.g., 4G vs 5G vs 6G, Wi-Fi 5 vs Wi-Fi 7, USB 2.0 vs USB 3.x vs USB4, 28nm vs 5nm).</t>
  </si>
  <si>
    <t xml:space="preserve">Legacy: tied to a superseded generation still in service but on decline. Current: tied to the dominant deployed generation. Next-gen: tied to the emerging or pre-deployment generation. For non-generation-tagged tech (materials, basic algorithms), leave blank.</t>
  </si>
  <si>
    <t xml:space="preserve">Patent specification + standards roadmap knowledge. Use generation transition timelines from analyst reports (Counterpoint, Omdia, IDC).</t>
  </si>
  <si>
    <t xml:space="preserve">Read the independent claim. Ask: in how many distinct industries could this claim plausibly read on a real product?</t>
  </si>
  <si>
    <t xml:space="preserve">Score 0-3 by count of plausible target industries. 0: single industry only. 1: 2 industries. 2: 3 industries. 3: 4+ industries. Use a fixed industry list (Consumer Electronics, Automotive, Healthcare, Industrial/Manufacturing, Telecom, Energy, Aerospace, FinTech, AgTech, Defense). Cross-check by searching forward citations: if citing patents come from diverse CPC areas, the patent likely has cross-industry pull.</t>
  </si>
  <si>
    <t xml:space="preserve">Patent claims + forward-citation CPC distribution + SME review.</t>
  </si>
  <si>
    <t xml:space="preserve">H</t>
  </si>
  <si>
    <t xml:space="preserve">Read all independent claims for language clarity; look at dependent claim depth; check the specification for support.</t>
  </si>
  <si>
    <t xml:space="preserve">Score 0-3. 3: claim language clean and definite, key terms have clear antecedent basis, dependent claims provide layered fallbacks, specification fully supports. 2: minor ambiguity but enforceable. 1: vague terms, weak antecedent basis, thin dependent layer. 0: ambiguous, indefinite, or claims poorly supported by specification. Engage patent counsel for any patent scoring ≥2 if it is going into a Premium tier bundle.</t>
  </si>
  <si>
    <t xml:space="preserve">Patent claims + specification + patent counsel review. Tools: ClaimMaster, LexisNexis PatentAdvisor for prefilter; final score requires legal review.</t>
  </si>
  <si>
    <t xml:space="preserve">Derived (search-based)</t>
  </si>
  <si>
    <t xml:space="preserve">Run a targeted prior-art search on the independent claim using key claim terms + publication date constraints.</t>
  </si>
  <si>
    <t xml:space="preserve">Score 0-3. 3: clean — focused PA search returns no closely matching references predating priority date. 2: minor prior art found but distinguishable on at least one independent-claim element. 1: significant prior art on most elements; novelty under threat. 0: prior art reads on the claim — high invalidity risk. Always check IPR/PTAB history (H7) for known challenges. For valuable patents, commission a formal invalidity search.</t>
  </si>
  <si>
    <t xml:space="preserve">Google Patents PA search, Patsnap, PatBase, LexisNexis IP Analytics, Innography. For high-stakes: commission a formal Patentability / Invalidity search from a search firm (Cardinal, Landon IP, Questel).</t>
  </si>
  <si>
    <t xml:space="preserve">Derived (file-wrapper review)</t>
  </si>
  <si>
    <t xml:space="preserve">Pull the full file wrapper from USPTO PAIR (US) or EPO Register. Read office actions and applicant responses.</t>
  </si>
  <si>
    <t xml:space="preserve">Score 0-3. 3: clean prosecution — allowance without significant claim narrowing, no §103 rejections argued around with narrowing amendments. 2: claims narrowed once to overcome prior art, but narrowing is peripheral. 1: significant narrowing arguments tied to claim terms still in the granted claims (heavy estoppel). 0: pattern of arguments creating broad estoppel; equivalents doctrine likely barred. This requires a patent attorney review.</t>
  </si>
  <si>
    <t xml:space="preserve">USPTO Patent Center file wrapper, EPO Register file inspection. Patent counsel review recommended.</t>
  </si>
  <si>
    <t xml:space="preserve">Derived (claim analysis)</t>
  </si>
  <si>
    <t xml:space="preserve">Read each independent method claim. Identify who performs each step.</t>
  </si>
  <si>
    <t xml:space="preserve">Score 0-3. 3: all claim steps performed by a single actor (apparatus claims usually score 3 by default). 2: claim steps performed by a single actor with minor user interaction. 1: claim steps require two parties (e.g., client + server with no clear "single mastermind"). 0: explicit multi-party performance with no joint enterprise. Method claims that span client + server + third-party services often score 0-1. Post-Akamai v. Limelight US law allows joint-infringement liability in narrow circumstances — patent counsel review for any 0-1 score.</t>
  </si>
  <si>
    <t xml:space="preserve">Patent claims + patent counsel analysis. Federal Circuit case law on joint infringement evolves; require legal review.</t>
  </si>
  <si>
    <t xml:space="preserve">Google Patents "Cited by" count, USPTO PatentsView API, Lens.org, PatBase.</t>
  </si>
  <si>
    <t xml:space="preserve">Pull total forward citations across all jurisdictions for the family. Normalize for age: a 3-year-old patent with 30 citations is more influential than a 15-year-old patent with 50. Track both raw count and normalized "citations per year since publication".</t>
  </si>
  <si>
    <t xml:space="preserve">Google Patents (free), PatentsView API (free), Lens.org (free), Patsnap, Derwent.</t>
  </si>
  <si>
    <t xml:space="preserve">Front page of the patent: "References Cited" — both applicant-cited and examiner-cited.</t>
  </si>
  <si>
    <t xml:space="preserve">Count total cited references on the front page. Higher count usually indicates a crowded art area (potential novelty pressure). Useful as a sanity-check against H2 — a patent with 50+ backward citations in a narrow domain has elevated prior-art exposure.</t>
  </si>
  <si>
    <t xml:space="preserve">Patent front page, Google Patents, PatentsView.</t>
  </si>
  <si>
    <t xml:space="preserve">Lex Machina (US litigation), Darts-IP (global litigation), USPTO PTAB Trials database, RPX, Unified Patents.</t>
  </si>
  <si>
    <t xml:space="preserve">None: no litigation or post-grant challenge. Survived: at least one IPR/PGR/EPO opposition resulted in final written decision with claims maintained. Pending: an active IPR/litigation. Lost-claims: at least one independent claim was invalidated or canceled by a final decision. Always check the actual outcome status — "instituted" is not "lost".</t>
  </si>
  <si>
    <t xml:space="preserve">Lex Machina (paid), Darts-IP (paid), USPTO PTAB (free at uspto.gov/ptab), RPX Insight, Unified Patents Portal, PACER for district court records.</t>
  </si>
  <si>
    <t xml:space="preserve">USPTO Assignment Search (free), EPO Register assignments, national patent office assignment records. Pull the full assignment chain from inventor(s) to current owner.</t>
  </si>
  <si>
    <t xml:space="preserve">Clean: complete assignment chain from all inventors to current owner, all properly recorded, no gaps. Minor gaps: chain is reconstructible but missing recorded assignments (e.g., an employment-agreement assignment that was never recorded). Encumbered: prior co-owners not joined, unresolved inventor disputes, prior security interests not released. Engage IP counsel for any non-Clean rating before bundling.</t>
  </si>
  <si>
    <t xml:space="preserve">USPTO Assignment Search (assignment.uspto.gov), EPO Register, national assignment databases. Real estate/UCC searches for security interests.</t>
  </si>
  <si>
    <t xml:space="preserve">Internal artifact check</t>
  </si>
  <si>
    <t xml:space="preserve">Your internal claim-chart library / matter management. Check whether an Evidence-of-Use document exists mapping the claim to a named product or standard.</t>
  </si>
  <si>
    <t xml:space="preserve">None: no claim chart exists. Partial: chart maps the independent claim elements to a product but lacks secondary references / element-level evidence. Full: complete HD claim chart with every claim element tied to product documentation, source code (where available), or spec section. For SEP patents the EoU usually maps to a standard clause rather than a product.</t>
  </si>
  <si>
    <t xml:space="preserve">Internal claim-chart files. If none exist, commission claim charts for anchor patents before going to market — this is a major value driver.</t>
  </si>
  <si>
    <t xml:space="preserve">Internal license register, prior settlement agreements, UCC filings, prior security agreements, RAND/FRAND commitments to SSOs.</t>
  </si>
  <si>
    <t xml:space="preserve">None: no licenses, liens, commitments, or carve-outs. Non-exclusive licensed: one or more non-exclusive licenses exist but rights to assert against unlicensed parties remain. Exclusive licensed: exclusive license exists — only the licensee can assert. Encumbered: liens, security interests, court orders, or covenants-not-to-sue limiting assertion. Always disclose to buyers; failure to disclose can void the sale.</t>
  </si>
  <si>
    <t xml:space="preserve">Internal license register, internal counsel review, UCC search at the secretary of state, IP collateral records, SSO declarations.</t>
  </si>
  <si>
    <t xml:space="preserve">I</t>
  </si>
  <si>
    <t xml:space="preserve">Same artifacts as D3 plus any internal claim charts. Ask: how confidently can we name commercial products that infringe?</t>
  </si>
  <si>
    <t xml:space="preserve">Score 0-3. 3: high — claim chart exists naming specific commercial products with element-level mapping. 2: moderate — known to map to product category but no specific SKU. 1: speculative — claim language suggests product fit but no confirmed mapping. 0: no current product fit identified.</t>
  </si>
  <si>
    <t xml:space="preserve">Internal claim-chart artifacts + product teardown research + SME review.</t>
  </si>
  <si>
    <t xml:space="preserve">Derived (specification + history)</t>
  </si>
  <si>
    <t xml:space="preserve">Specification: does it describe working examples? File history: were prototype demos referenced? Inventor publications and product history.</t>
  </si>
  <si>
    <t xml:space="preserve">Idea-only: specification describes a concept with no working example or experimental data. Prototyped: specification or external sources reference a working prototype, lab demo, or research publication. Productized: a commercial product implementing the claim exists (either from the patentee or a third party). Cite the evidence in a note column.</t>
  </si>
  <si>
    <t xml:space="preserve">Patent specification, inventor publications (Google Scholar, IEEE Xplore), product announcements, press releases.</t>
  </si>
  <si>
    <t xml:space="preserve">Read the independent claim; identify the named industry / use-case it was drafted for; ask whether the claim can be re-mapped to products in a different industry.</t>
  </si>
  <si>
    <t xml:space="preserve">Score 0-3. 3: claim language is industry-agnostic and clearly reads on 2+ adjacent industries beyond the patentee's. 2: re-read plausible in one adjacent industry with no claim contortion. 1: re-read possible but requires aggressive interpretation. 0: claim language ties it to one industry. Adjacent re-reads typically come from horizontal technologies (sensing, networking, AI methods).</t>
  </si>
  <si>
    <t xml:space="preserve">Patent claims + market knowledge + SME review across industries. Cross-check by examining whether forward citations come from different industry CPCs.</t>
  </si>
  <si>
    <t xml:space="preserve">Derived (rubric + engineering SME)</t>
  </si>
  <si>
    <t xml:space="preserve">Read the claim. Ask an engineer: "If a competitor needed to ship a competing product without infringing, how much redesign is needed?"</t>
  </si>
  <si>
    <t xml:space="preserve">Score 0-3. 3: deep redesign — claim covers the natural/efficient approach; alternatives are expensive or technically inferior. 2: significant redesign — alternatives exist but are commercially undesirable. 1: minor redesign — straightforward alternative is available. 0: trivial workaround — designers can easily substitute. Strongly correlates with C4 design-around difficulty but considered separately because C4 is about claim language whereas I4 is about commercial impact.</t>
  </si>
  <si>
    <t xml:space="preserve">Patent claims + engineering SME review. The most reliable answer comes from an engineer who has actually shipped products in the space.</t>
  </si>
  <si>
    <t xml:space="preserve">DATA SOURCE REFERENCE — free and paid sources used across the procedure</t>
  </si>
  <si>
    <t xml:space="preserve">Tier</t>
  </si>
  <si>
    <t xml:space="preserve">Source</t>
  </si>
  <si>
    <t xml:space="preserve">URL</t>
  </si>
  <si>
    <t xml:space="preserve">What it gives you</t>
  </si>
  <si>
    <t xml:space="preserve">Free</t>
  </si>
  <si>
    <t xml:space="preserve">Google Patents</t>
  </si>
  <si>
    <t xml:space="preserve">patents.google.com</t>
  </si>
  <si>
    <t xml:space="preserve">Bibliographic, family, citations, claims, full text. Best free starting point.</t>
  </si>
  <si>
    <t xml:space="preserve">Espacenet</t>
  </si>
  <si>
    <t xml:space="preserve">worldwide.espacenet.com</t>
  </si>
  <si>
    <t xml:space="preserve">EPO's global patent search; best for family view (INPADOC).</t>
  </si>
  <si>
    <t xml:space="preserve">USPTO Patent Center</t>
  </si>
  <si>
    <t xml:space="preserve">patentcenter.uspto.gov</t>
  </si>
  <si>
    <t xml:space="preserve">US file wrapper, prosecution history, maintenance fees, assignments.</t>
  </si>
  <si>
    <t xml:space="preserve">PatentsView</t>
  </si>
  <si>
    <t xml:space="preserve">patentsview.org</t>
  </si>
  <si>
    <t xml:space="preserve">USPTO bulk data API. Excellent for programmatic scoring across a portfolio.</t>
  </si>
  <si>
    <t xml:space="preserve">Lens.org</t>
  </si>
  <si>
    <t xml:space="preserve">lens.org</t>
  </si>
  <si>
    <t xml:space="preserve">Free patent + scholarly search; good for forward-citation analysis.</t>
  </si>
  <si>
    <t xml:space="preserve">EPO Register</t>
  </si>
  <si>
    <t xml:space="preserve">register.epo.org</t>
  </si>
  <si>
    <t xml:space="preserve">EP file wrapper, oppositions, renewals.</t>
  </si>
  <si>
    <t xml:space="preserve">USPTO PTAB Database</t>
  </si>
  <si>
    <t xml:space="preserve">developer.uspto.gov/ptab-api</t>
  </si>
  <si>
    <t xml:space="preserve">IPR/PGR/CBM filings and outcomes.</t>
  </si>
  <si>
    <t xml:space="preserve">ETSI IPR Database</t>
  </si>
  <si>
    <t xml:space="preserve">ipr.etsi.org</t>
  </si>
  <si>
    <t xml:space="preserve">SEP declarations for 3GPP / ETSI standards.</t>
  </si>
  <si>
    <t xml:space="preserve">USPTO Assignment Search</t>
  </si>
  <si>
    <t xml:space="preserve">assignment.uspto.gov</t>
  </si>
  <si>
    <t xml:space="preserve">Chain of title for US patents.</t>
  </si>
  <si>
    <t xml:space="preserve">Paid</t>
  </si>
  <si>
    <t xml:space="preserve">Patsnap</t>
  </si>
  <si>
    <t xml:space="preserve">patsnap.com</t>
  </si>
  <si>
    <t xml:space="preserve">Integrated platform: family, citations, litigation, valuation. Strong for portfolio-scale analysis.</t>
  </si>
  <si>
    <t xml:space="preserve">Derwent Innovation (Clarivate)</t>
  </si>
  <si>
    <t xml:space="preserve">clarivate.com</t>
  </si>
  <si>
    <t xml:space="preserve">Premium curated abstracts and family data; strong for prior art.</t>
  </si>
  <si>
    <t xml:space="preserve">PatBase</t>
  </si>
  <si>
    <t xml:space="preserve">patbase.com</t>
  </si>
  <si>
    <t xml:space="preserve">Family-centric search; gold standard for accurate family definitions.</t>
  </si>
  <si>
    <t xml:space="preserve">IPlytics</t>
  </si>
  <si>
    <t xml:space="preserve">iplytics.com</t>
  </si>
  <si>
    <t xml:space="preserve">SEP analytics, product-mapping intelligence.</t>
  </si>
  <si>
    <t xml:space="preserve">Lex Machina</t>
  </si>
  <si>
    <t xml:space="preserve">lexmachina.com</t>
  </si>
  <si>
    <t xml:space="preserve">US litigation analytics and outcomes.</t>
  </si>
  <si>
    <t xml:space="preserve">Darts-IP</t>
  </si>
  <si>
    <t xml:space="preserve">darts-ip.com</t>
  </si>
  <si>
    <t xml:space="preserve">Global patent litigation database.</t>
  </si>
  <si>
    <t xml:space="preserve">RPX Insight</t>
  </si>
  <si>
    <t xml:space="preserve">rpxcorp.com</t>
  </si>
  <si>
    <t xml:space="preserve">NPE litigation, market intelligence.</t>
  </si>
  <si>
    <t xml:space="preserve">Unified Patents Portal</t>
  </si>
  <si>
    <t xml:space="preserve">unifiedpatents.com</t>
  </si>
  <si>
    <t xml:space="preserve">PTAB activity, NPE assertion trends.</t>
  </si>
  <si>
    <t xml:space="preserve">TechInsights / Chipworks</t>
  </si>
  <si>
    <t xml:space="preserve">techinsights.com</t>
  </si>
  <si>
    <t xml:space="preserve">Authoritative chip teardowns — vital for D2/D3/I1.</t>
  </si>
  <si>
    <t xml:space="preserve">iFixit</t>
  </si>
  <si>
    <t xml:space="preserve">ifixit.com</t>
  </si>
  <si>
    <t xml:space="preserve">Consumer product teardowns (free + paid tiers).</t>
  </si>
  <si>
    <t xml:space="preserve">PRACTICAL NOTES</t>
  </si>
  <si>
    <t xml:space="preserve">Scoring consistency</t>
  </si>
  <si>
    <t xml:space="preserve">For every 0-3 rubric attribute, calibrate by scoring 5-10 sample patents first as a team, then locking the calibration before processing the rest. Otherwise scores drift across reviewers. Maintain a portfolio-specific data dictionary for A1, A4, A5, G1 so tags are reused rather than re-coined for each patent. Inconsistent tags break the routing rules.</t>
  </si>
  <si>
    <t xml:space="preserve">Time and effort allocation</t>
  </si>
  <si>
    <t xml:space="preserve">On a 50-patent portfolio: Steps 1-3 (data pull) take ~1 hour total when automated. Steps 4-7 (claim reading, rubric scoring) take ~30 min per patent. Step 8 (quality and vulnerability) takes ~45 min per patent and benefits from patent-counsel involvement. Step 9 (EoU and encumbrance) varies wildly — anywhere from 5 min to several hours depending on internal artifact availability.</t>
  </si>
  <si>
    <t xml:space="preserve">Where to invest in claim charts</t>
  </si>
  <si>
    <t xml:space="preserve">Don't build EoU claim charts for the whole portfolio. Build them for: anchor patents (H1=3), patents likely to land in EoU-Backed (Bundle 26) or Battle-Tested (Bundle 27), and anything destined for the Premium tier. Charts are expensive — invest them where they shift bundle value the most.</t>
  </si>
  <si>
    <t xml:space="preserve">Automation pointers</t>
  </si>
  <si>
    <t xml:space="preserve">PatentsView API + Espacenet OPS API together cover ~80% of the Direct Lookup fields programmatically. A simple Python script can populate A1, A2, B2, C1, C3, E1-E5, F1, H5, H6, H8 across the entire Patent Portfolio sheet in one batch. Reserve manual work for the rubric-based and SME-based attributes.</t>
  </si>
  <si>
    <t xml:space="preserve">Threshold calibration warning</t>
  </si>
  <si>
    <t xml:space="preserve">The numeric thresholds on the Configuration sheet (SEP cutoff, citation minimum, etc.) only make sense if your 0-3 scores are calibrated. If two reviewers would give the same patent different H1 scores, the threshold-based routing produces noise. Run a calibration session before bulk scoring.</t>
  </si>
  <si>
    <t xml:space="preserve">Identification</t>
  </si>
  <si>
    <t xml:space="preserve">B. Standards</t>
  </si>
  <si>
    <t xml:space="preserve">G. Strategic</t>
  </si>
  <si>
    <t xml:space="preserve">Patent ID</t>
  </si>
  <si>
    <t xml:space="preserve">Title</t>
  </si>
  <si>
    <t xml:space="preserve">A1 Primary domain</t>
  </si>
  <si>
    <t xml:space="preserve">A2 Secondary domains</t>
  </si>
  <si>
    <t xml:space="preserve">A3 Stack layer</t>
  </si>
  <si>
    <t xml:space="preserve">A4 Subsystem</t>
  </si>
  <si>
    <t xml:space="preserve">A5 Use-case</t>
  </si>
  <si>
    <t xml:space="preserve">B1 SEP potential (0-3)</t>
  </si>
  <si>
    <t xml:space="preserve">B2 Standard</t>
  </si>
  <si>
    <t xml:space="preserve">B3 Interface role (0-3)</t>
  </si>
  <si>
    <t xml:space="preserve">C1 Claim type</t>
  </si>
  <si>
    <t xml:space="preserve">C2 Claim breadth (0-3)</t>
  </si>
  <si>
    <t xml:space="preserve">C3 Indep. claim count</t>
  </si>
  <si>
    <t xml:space="preserve">C4 Design-around diff. (0-3)</t>
  </si>
  <si>
    <t xml:space="preserve">D1 External detect. (0-3)</t>
  </si>
  <si>
    <t xml:space="preserve">D2 Teardown detect. (0-3)</t>
  </si>
  <si>
    <t xml:space="preserve">D3 Reads-on-products (0-3)</t>
  </si>
  <si>
    <t xml:space="preserve">E1 Family size</t>
  </si>
  <si>
    <t xml:space="preserve">E2 Prosecution</t>
  </si>
  <si>
    <t xml:space="preserve">E3 Continuation</t>
  </si>
  <si>
    <t xml:space="preserve">E4 Remaining term (yrs)</t>
  </si>
  <si>
    <t xml:space="preserve">E5 Maint. status</t>
  </si>
  <si>
    <t xml:space="preserve">F1 Jurisdictions</t>
  </si>
  <si>
    <t xml:space="preserve">F2 Trilateral (Y/N)</t>
  </si>
  <si>
    <t xml:space="preserve">F3 Major-market score (0-3)</t>
  </si>
  <si>
    <t xml:space="preserve">G1 Convergence theme</t>
  </si>
  <si>
    <t xml:space="preserve">G2 Generation</t>
  </si>
  <si>
    <t xml:space="preserve">G3 Cross-industry (0-3)</t>
  </si>
  <si>
    <t xml:space="preserve">H1 Claim strength (0-3)</t>
  </si>
  <si>
    <t xml:space="preserve">H2 Prior-art exposure (0-3)</t>
  </si>
  <si>
    <t xml:space="preserve">H3 Prosecution risk (0-3)</t>
  </si>
  <si>
    <t xml:space="preserve">H4 Divided-infrgmnt (0-3)</t>
  </si>
  <si>
    <t xml:space="preserve">H5 Fwd citations</t>
  </si>
  <si>
    <t xml:space="preserve">H6 Bwd citations</t>
  </si>
  <si>
    <t xml:space="preserve">H7 Lit/PTAB history</t>
  </si>
  <si>
    <t xml:space="preserve">H8 Chain-of-title</t>
  </si>
  <si>
    <t xml:space="preserve">H9 EoU available</t>
  </si>
  <si>
    <t xml:space="preserve">H10 Encumbrance</t>
  </si>
  <si>
    <t xml:space="preserve">I1 Product-map conf. (0-3)</t>
  </si>
  <si>
    <t xml:space="preserve">I2 Impl. maturity</t>
  </si>
  <si>
    <t xml:space="preserve">I3 Adjacent re-read (0-3)</t>
  </si>
  <si>
    <t xml:space="preserve">I4 Workaround complex. (0-3)</t>
  </si>
  <si>
    <t xml:space="preserve">P-001</t>
  </si>
  <si>
    <t xml:space="preserve">Beamforming pilot signaling for 5G NR</t>
  </si>
  <si>
    <t xml:space="preserve">MIMO, beamforming</t>
  </si>
  <si>
    <t xml:space="preserve">Radio frontend</t>
  </si>
  <si>
    <t xml:space="preserve">Cellular comms</t>
  </si>
  <si>
    <t xml:space="preserve">US, EP, CN, JP, KR</t>
  </si>
  <si>
    <t xml:space="preserve">P-002</t>
  </si>
  <si>
    <t xml:space="preserve">Polar code decoder architecture</t>
  </si>
  <si>
    <t xml:space="preserve">Error correction</t>
  </si>
  <si>
    <t xml:space="preserve">Baseband processor</t>
  </si>
  <si>
    <t xml:space="preserve">Apparatus</t>
  </si>
  <si>
    <t xml:space="preserve">US, EP, CN, KR</t>
  </si>
  <si>
    <t xml:space="preserve">Partial</t>
  </si>
  <si>
    <t xml:space="preserve">P-003</t>
  </si>
  <si>
    <t xml:space="preserve">Adaptive Wi-Fi 7 channel sounding</t>
  </si>
  <si>
    <t xml:space="preserve">OFDMA</t>
  </si>
  <si>
    <t xml:space="preserve">Firmware</t>
  </si>
  <si>
    <t xml:space="preserve">WLAN module</t>
  </si>
  <si>
    <t xml:space="preserve">Indoor connectivity</t>
  </si>
  <si>
    <t xml:space="preserve">IEEE 802.11be</t>
  </si>
  <si>
    <t xml:space="preserve">Mixed</t>
  </si>
  <si>
    <t xml:space="preserve">US, EP, CN</t>
  </si>
  <si>
    <t xml:space="preserve">Next-gen</t>
  </si>
  <si>
    <t xml:space="preserve">Prototyped</t>
  </si>
  <si>
    <t xml:space="preserve">P-004</t>
  </si>
  <si>
    <t xml:space="preserve">Solid-state electrolyte composition for EV batteries</t>
  </si>
  <si>
    <t xml:space="preserve">Battery materials</t>
  </si>
  <si>
    <t xml:space="preserve">Solid-state, ionics</t>
  </si>
  <si>
    <t xml:space="preserve">Battery cell</t>
  </si>
  <si>
    <t xml:space="preserve">EV propulsion</t>
  </si>
  <si>
    <t xml:space="preserve">P-005</t>
  </si>
  <si>
    <t xml:space="preserve">Battery thermal management with phase-change material</t>
  </si>
  <si>
    <t xml:space="preserve">Thermal mgmt</t>
  </si>
  <si>
    <t xml:space="preserve">BMS, materials</t>
  </si>
  <si>
    <t xml:space="preserve">Battery pack</t>
  </si>
  <si>
    <t xml:space="preserve">System</t>
  </si>
  <si>
    <t xml:space="preserve">Non-exclusive licensed</t>
  </si>
  <si>
    <t xml:space="preserve">P-006</t>
  </si>
  <si>
    <t xml:space="preserve">SiC MOSFET inverter control method</t>
  </si>
  <si>
    <t xml:space="preserve">Power electronics</t>
  </si>
  <si>
    <t xml:space="preserve">Wide-bandgap</t>
  </si>
  <si>
    <t xml:space="preserve">Traction inverter</t>
  </si>
  <si>
    <t xml:space="preserve">Minor gaps</t>
  </si>
  <si>
    <t xml:space="preserve">P-007</t>
  </si>
  <si>
    <t xml:space="preserve">On-device CNN quantization for low-power inference</t>
  </si>
  <si>
    <t xml:space="preserve">CV algorithm</t>
  </si>
  <si>
    <t xml:space="preserve">Edge AI, ML</t>
  </si>
  <si>
    <t xml:space="preserve">App</t>
  </si>
  <si>
    <t xml:space="preserve">Vision pipeline</t>
  </si>
  <si>
    <t xml:space="preserve">Smart cameras</t>
  </si>
  <si>
    <t xml:space="preserve">CRM</t>
  </si>
  <si>
    <t xml:space="preserve">Pending</t>
  </si>
  <si>
    <t xml:space="preserve">P-008</t>
  </si>
  <si>
    <t xml:space="preserve">Transformer attention pruning for vision models</t>
  </si>
  <si>
    <t xml:space="preserve">AI optimization</t>
  </si>
  <si>
    <t xml:space="preserve">Inference engine</t>
  </si>
  <si>
    <t xml:space="preserve">Visual analytics</t>
  </si>
  <si>
    <t xml:space="preserve">US, EP</t>
  </si>
  <si>
    <t xml:space="preserve">Edge AI, AI+health</t>
  </si>
  <si>
    <t xml:space="preserve">Idea-only</t>
  </si>
  <si>
    <t xml:space="preserve">P-009</t>
  </si>
  <si>
    <t xml:space="preserve">Visual SLAM for indoor robot navigation</t>
  </si>
  <si>
    <t xml:space="preserve">Robotics SW</t>
  </si>
  <si>
    <t xml:space="preserve">SLAM, CV</t>
  </si>
  <si>
    <t xml:space="preserve">Middleware</t>
  </si>
  <si>
    <t xml:space="preserve">Navigation stack</t>
  </si>
  <si>
    <t xml:space="preserve">US, EP, JP</t>
  </si>
  <si>
    <t xml:space="preserve">Robotics, edge AI</t>
  </si>
  <si>
    <t xml:space="preserve">P-010</t>
  </si>
  <si>
    <t xml:space="preserve">USB-C power delivery handshake extension</t>
  </si>
  <si>
    <t xml:space="preserve">Interconnect</t>
  </si>
  <si>
    <t xml:space="preserve">Power delivery</t>
  </si>
  <si>
    <t xml:space="preserve">Charging interface</t>
  </si>
  <si>
    <t xml:space="preserve">Universal charging</t>
  </si>
  <si>
    <t xml:space="preserve">USB PD 3.x</t>
  </si>
  <si>
    <t xml:space="preserve">P-011</t>
  </si>
  <si>
    <t xml:space="preserve">Atomic layer deposition recipe for high-k dielectric</t>
  </si>
  <si>
    <t xml:space="preserve">Semiconductor process</t>
  </si>
  <si>
    <t xml:space="preserve">ALD, fab</t>
  </si>
  <si>
    <t xml:space="preserve">Front-end-of-line</t>
  </si>
  <si>
    <t xml:space="preserve">IC manufacturing</t>
  </si>
  <si>
    <t xml:space="preserve">US, EP, CN, JP, KR, TW</t>
  </si>
  <si>
    <t xml:space="preserve">P-012</t>
  </si>
  <si>
    <t xml:space="preserve">Predictive maintenance ML for industrial pumps</t>
  </si>
  <si>
    <t xml:space="preserve">Industrial AI</t>
  </si>
  <si>
    <t xml:space="preserve">Predictive analytics</t>
  </si>
  <si>
    <t xml:space="preserve">Cloud</t>
  </si>
  <si>
    <t xml:space="preserve">Asset monitoring</t>
  </si>
  <si>
    <t xml:space="preserve">Predictive maintenance</t>
  </si>
  <si>
    <t xml:space="preserve">AI+industrial</t>
  </si>
  <si>
    <t xml:space="preserve">Bundle Type</t>
  </si>
  <si>
    <t xml:space="preserve">Value Proposition</t>
  </si>
  <si>
    <t xml:space="preserve">Routing Rule (technical qualification)</t>
  </si>
  <si>
    <t xml:space="preserve">Primary attributes used</t>
  </si>
  <si>
    <t xml:space="preserve">Technology Domain</t>
  </si>
  <si>
    <t xml:space="preserve">Concentrated coverage in one technical field; useful for entering or fortifying a domain position.</t>
  </si>
  <si>
    <t xml:space="preserve">Patents share the same A1 (primary domain) tag.</t>
  </si>
  <si>
    <t xml:space="preserve">Standard-Essential (SEP)</t>
  </si>
  <si>
    <t xml:space="preserve">Bundle of assets every implementer of the standard must license or design around.</t>
  </si>
  <si>
    <t xml:space="preserve">B1 ≥ 2 AND share same B2 standard.</t>
  </si>
  <si>
    <t xml:space="preserve">Product Architecture</t>
  </si>
  <si>
    <t xml:space="preserve">"Build a product" kit — full vertical coverage across subsystems of one end-product.</t>
  </si>
  <si>
    <t xml:space="preserve">Collectively span ≥ 3 distinct A4 subsystems of one product family.</t>
  </si>
  <si>
    <t xml:space="preserve">Stack Layer</t>
  </si>
  <si>
    <t xml:space="preserve">Targets buyers operating at a specific layer of the technology stack.</t>
  </si>
  <si>
    <t xml:space="preserve">Patents share the same A3 (stack layer).</t>
  </si>
  <si>
    <t xml:space="preserve">Use-Case / Application</t>
  </si>
  <si>
    <t xml:space="preserve">All tools to address one customer problem, even if underlying tech is heterogeneous.</t>
  </si>
  <si>
    <t xml:space="preserve">Patents share at least one A5 (use-case) tag.</t>
  </si>
  <si>
    <t xml:space="preserve">Manufacturing / Process</t>
  </si>
  <si>
    <t xml:space="preserve">Targets fabs, contract manufacturers, equipment makers needing freedom to operate on production methods.</t>
  </si>
  <si>
    <t xml:space="preserve">A1 is a "process" / manufacturing domain (e.g., contains "process" or "fab") AND C1 = Method.</t>
  </si>
  <si>
    <t xml:space="preserve">A1, C1</t>
  </si>
  <si>
    <t xml:space="preserve">Materials &amp; Chemistry</t>
  </si>
  <si>
    <t xml:space="preserve">Focused IP shield around composition, synthesis, and use of a material system.</t>
  </si>
  <si>
    <t xml:space="preserve">A1 is a materials/chemistry domain AND C1 ∈ {Apparatus, Method}.</t>
  </si>
  <si>
    <t xml:space="preserve">Algorithm / Software Method</t>
  </si>
  <si>
    <t xml:space="preserve">Implementation-agnostic methods deployable across many products.</t>
  </si>
  <si>
    <t xml:space="preserve">A3 ∈ {App, Middleware, Cloud} AND C1 ∈ {Method, CRM}.</t>
  </si>
  <si>
    <t xml:space="preserve">A3, C1</t>
  </si>
  <si>
    <t xml:space="preserve">Interoperability / Interface</t>
  </si>
  <si>
    <t xml:space="preserve">Critical chokepoints for any player whose product must talk to others.</t>
  </si>
  <si>
    <t xml:space="preserve">B3 ≥ 2.</t>
  </si>
  <si>
    <t xml:space="preserve">Generational Roadmap</t>
  </si>
  <si>
    <t xml:space="preserve">Buyer picks legacy (cheap defensive) or next-gen (forward-looking offensive).</t>
  </si>
  <si>
    <t xml:space="preserve">Group by G2 (Legacy / Current / Next-gen).</t>
  </si>
  <si>
    <t xml:space="preserve">Claim-Type</t>
  </si>
  <si>
    <t xml:space="preserve">Different enforcement profiles; buyers pick by litigation/licensing strategy.</t>
  </si>
  <si>
    <t xml:space="preserve">Group by C1.</t>
  </si>
  <si>
    <t xml:space="preserve">Detectability</t>
  </si>
  <si>
    <t xml:space="preserve">Litigation-ready bundle — infringement is easy to spot.</t>
  </si>
  <si>
    <t xml:space="preserve">D1 ≥ 2 OR D2 ≥ 2.</t>
  </si>
  <si>
    <t xml:space="preserve">Geographic</t>
  </si>
  <si>
    <t xml:space="preserve">Aligned with the buyer's market footprint and enforcement venues.</t>
  </si>
  <si>
    <t xml:space="preserve">F2 = Yes OR share a defined F1 jurisdiction set.</t>
  </si>
  <si>
    <t xml:space="preserve">F1, F2</t>
  </si>
  <si>
    <t xml:space="preserve">Family-Tree</t>
  </si>
  <si>
    <t xml:space="preserve">Complete families together — parent + continuations + foreign counterparts; avoids fragmented ownership.</t>
  </si>
  <si>
    <t xml:space="preserve">E1 ≥ 2 (bundle by family ID; here approximated by E1 threshold).</t>
  </si>
  <si>
    <t xml:space="preserve">Lifecycle / Remaining Term</t>
  </si>
  <si>
    <t xml:space="preserve">Long-life = strategic; short-life = immediate licensing.</t>
  </si>
  <si>
    <t xml:space="preserve">Bucket by E4: Long (&gt;15), Mid (8-15), Short (&lt;8).</t>
  </si>
  <si>
    <t xml:space="preserve">Foundational + Improvement Stack</t>
  </si>
  <si>
    <t xml:space="preserve">Combines blocking broad claims with defensive narrow follow-ons — design-around becomes hard.</t>
  </si>
  <si>
    <t xml:space="preserve">C2 = 3 (pioneer) + C2 ≤ 1 (improvements) within same A1.</t>
  </si>
  <si>
    <t xml:space="preserve">A1, C2</t>
  </si>
  <si>
    <t xml:space="preserve">Cross-Industry Applicability</t>
  </si>
  <si>
    <t xml:space="preserve">Maximises addressable buyer pool — many industries are potential acquirers.</t>
  </si>
  <si>
    <t xml:space="preserve">G3 ≥ 2.</t>
  </si>
  <si>
    <t xml:space="preserve">Convergent / Emerging Theme</t>
  </si>
  <si>
    <t xml:space="preserve">Aligns with current investment trends; commands attention from active builders.</t>
  </si>
  <si>
    <t xml:space="preserve">Share G1 (convergence theme tag).</t>
  </si>
  <si>
    <t xml:space="preserve">Defensive / Counter-Assertion</t>
  </si>
  <si>
    <t xml:space="preserve">Counter-assertion ammunition — defined by who the patents read on, not just the technology.</t>
  </si>
  <si>
    <t xml:space="preserve">D3 ≥ 2 against the same target entity (qualified by D3 threshold).</t>
  </si>
  <si>
    <t xml:space="preserve">Whitespace / Design-Around</t>
  </si>
  <si>
    <t xml:space="preserve">Closes escape routes around a known core patent / feature.</t>
  </si>
  <si>
    <t xml:space="preserve">Same A1 AND C4 ≥ 2.</t>
  </si>
  <si>
    <t xml:space="preserve">A1, C4</t>
  </si>
  <si>
    <t xml:space="preserve">Prosecution-Status</t>
  </si>
  <si>
    <t xml:space="preserve">Pending applications offer claim-tailoring flexibility for buyers targeting a specific product.</t>
  </si>
  <si>
    <t xml:space="preserve">Group by E2/E3 (e.g., Pending OR E3 = Yes).</t>
  </si>
  <si>
    <t xml:space="preserve">E2, E3</t>
  </si>
  <si>
    <t xml:space="preserve">Anchor-and-Halo</t>
  </si>
  <si>
    <t xml:space="preserve">One or two strong "anchor" patents fortified by narrower halo patents that close design-around routes. Buyer gets a fortified zone, not a single exposed asset.</t>
  </si>
  <si>
    <t xml:space="preserve">At least 1 anchor in bundle with H1=3 AND C2&gt;=2 AND D2&gt;=2. Halo patents share A1 with the anchor and have H1&gt;=1.</t>
  </si>
  <si>
    <t xml:space="preserve">H1, C2, D2, A1</t>
  </si>
  <si>
    <t xml:space="preserve">Picket-Fence / Cluster-Around-Standard</t>
  </si>
  <si>
    <t xml:space="preserve">Multiple narrow patents collectively encircling a known commercial technology or specification — fence formed by the group, not any one patent.</t>
  </si>
  <si>
    <t xml:space="preserve">Patents share A1 or B2 AND each has C4&gt;=1 AND collectively count &gt;=4.</t>
  </si>
  <si>
    <t xml:space="preserve">A1, B2, C4, count</t>
  </si>
  <si>
    <t xml:space="preserve">Strong-Core + Quality-Diluted Tail</t>
  </si>
  <si>
    <t xml:space="preserve">A small set of high-quality assets carries the bundle while a tail provides volume and continuation optionality. Tail patents that would not sell alone find a home alongside anchors.</t>
  </si>
  <si>
    <t xml:space="preserve">Bundle contains both high-quality (H1&gt;=2) and lower-quality (H1&lt;=1) patents within the same A1.</t>
  </si>
  <si>
    <t xml:space="preserve">H1, A1</t>
  </si>
  <si>
    <t xml:space="preserve">Continuation-Live / Claim-Tailorable</t>
  </si>
  <si>
    <t xml:space="preserve">Every patent in the bundle has a live continuation or pending child. Buyer can shape future claims to match a specific target product.</t>
  </si>
  <si>
    <t xml:space="preserve">E3 = "Yes" for all patents in the bundle.</t>
  </si>
  <si>
    <t xml:space="preserve">EoU-Backed / Litigation-Ready</t>
  </si>
  <si>
    <t xml:space="preserve">Every patent ships with an Evidence-of-Use claim chart already mapped to a named product or standard. Buyer skips claim charting and moves directly to assertion/licensing.</t>
  </si>
  <si>
    <t xml:space="preserve">H9 IN {"Partial", "Full"}.</t>
  </si>
  <si>
    <t xml:space="preserve">Survived-Challenge / Battle-Tested</t>
  </si>
  <si>
    <t xml:space="preserve">All patents have survived at least one validity challenge (IPR, EPO opposition, re-exam). Reduces buyer's invalidity risk.</t>
  </si>
  <si>
    <t xml:space="preserve">H7 = "Survived".</t>
  </si>
  <si>
    <t xml:space="preserve">Clean-Chain-of-Title</t>
  </si>
  <si>
    <t xml:space="preserve">All patents have clean ownership chains and no encumbrances. Transacts faster and with lower legal cost.</t>
  </si>
  <si>
    <t xml:space="preserve">H8 = "Clean" AND H10 = "None".</t>
  </si>
  <si>
    <t xml:space="preserve">H8, H10</t>
  </si>
  <si>
    <t xml:space="preserve">High-Citation / Technical-Influence</t>
  </si>
  <si>
    <t xml:space="preserve">Patents with forward citations above a domain threshold. Forward citations are a recognized signal of technical importance and point to obvious future target companies.</t>
  </si>
  <si>
    <t xml:space="preserve">H5 &gt;= threshold (default 15).</t>
  </si>
  <si>
    <t xml:space="preserve">Adjacent-Industry Re-Read</t>
  </si>
  <si>
    <t xml:space="preserve">Patents whose claims can be re-mapped onto products in industries different from the original target — gives the buyer a "second-life" thesis and opens new buyer pools.</t>
  </si>
  <si>
    <t xml:space="preserve">I3 &gt;= 2 AND G3 &gt;= 2.</t>
  </si>
  <si>
    <t xml:space="preserve">I3, G3</t>
  </si>
  <si>
    <t xml:space="preserve">Salvage / Defensive-Volume Lot</t>
  </si>
  <si>
    <t xml:space="preserve">Deliberate volume lot of weak, narrow, or near-expiry patents priced for defensive aggregators or counter-assertion stockpilers. Honest about what it is.</t>
  </si>
  <si>
    <t xml:space="preserve">H1 &lt;= 1 OR E4 &lt; 5 OR H2 &lt;= 1.</t>
  </si>
  <si>
    <t xml:space="preserve">H1, E4, H2</t>
  </si>
  <si>
    <t xml:space="preserve">Pre-Expiry / Last-Window</t>
  </si>
  <si>
    <t xml:space="preserve">Patents with 1-4 years of term remaining grouped for buyers running short-cycle licensing campaigns. Short term is a feature for litigation-finance buyers.</t>
  </si>
  <si>
    <t xml:space="preserve">E4 between 1 and 4.</t>
  </si>
  <si>
    <t xml:space="preserve">Provenance-Coherent</t>
  </si>
  <si>
    <t xml:space="preserve">Patents originating from the same R&amp;D program, inventor group, or acquired sub-business. Shared specifications and consistent terminology reduce claim-construction risk.</t>
  </si>
  <si>
    <t xml:space="preserve">Patents share A1 AND share A4 (proxy for common provenance in this template).</t>
  </si>
  <si>
    <t xml:space="preserve">A1, A4</t>
  </si>
  <si>
    <t xml:space="preserve">Patent</t>
  </si>
  <si>
    <t xml:space="preserve">Bundle Qualification (TRUE = patent qualifies for this bundle)</t>
  </si>
  <si>
    <t xml:space="preserve">Total</t>
  </si>
  <si>
    <t xml:space="preserve"># of bundles</t>
  </si>
  <si>
    <t xml:space="preserve">Coverage depth (# patents)</t>
  </si>
  <si>
    <t xml:space="preserve">Avg Detectability (D1+D2)/2</t>
  </si>
  <si>
    <t xml:space="preserve">Avg Remaining Term (E4)</t>
  </si>
  <si>
    <t xml:space="preserve">Trilateral % (F2=Yes)</t>
  </si>
  <si>
    <t xml:space="preserve">Continuation % (E3=Yes)</t>
  </si>
  <si>
    <t xml:space="preserve">% SEP-flagged (B1≥2)</t>
  </si>
  <si>
    <t xml:space="preserve">Pioneer count (C2=3)</t>
  </si>
  <si>
    <t xml:space="preserve">Strength flag</t>
  </si>
  <si>
    <t xml:space="preserve">BUNDLE A — 5G Wireless PHY SEP Cluster</t>
  </si>
  <si>
    <t xml:space="preserve">Value proposition:</t>
  </si>
  <si>
    <t xml:space="preserve">Buyer gets standards-relevant assets that any 5G NR implementer must license or design around. High enforcement leverage from teardown-detectable hardware claims, trilateral coverage, and one family with active continuation for claim shaping.</t>
  </si>
  <si>
    <t xml:space="preserve">Routing rule:</t>
  </si>
  <si>
    <t xml:space="preserve">B1 ≥ 2 AND share B2 = "3GPP 5G NR". (Bundle Rule #2 — Standard-Essential.)</t>
  </si>
  <si>
    <t xml:space="preserve">A1 Domain</t>
  </si>
  <si>
    <t xml:space="preserve">B2 Standard / G2 Gen.</t>
  </si>
  <si>
    <t xml:space="preserve">E4 Term (yrs)</t>
  </si>
  <si>
    <t xml:space="preserve">F2 Trilateral</t>
  </si>
  <si>
    <t xml:space="preserve">BUNDLE B — Electric Vehicle Powertrain Stack</t>
  </si>
  <si>
    <t xml:space="preserve">"Build-an-EV-powertrain" kit covering battery cell chemistry, pack-level thermal management, and traction inverter control. Cross-subsystem coverage across one product architecture; valuable to an EV OEM, Tier-1 supplier, or cell maker wanting end-to-end FTO.</t>
  </si>
  <si>
    <t xml:space="preserve">Patents collectively span ≥ 3 distinct A4 subsystems of the EV product family. (Bundle Rule #3 — Product Architecture.)</t>
  </si>
  <si>
    <t xml:space="preserve">BUNDLE C — Edge AI / Computer Vision Convergence</t>
  </si>
  <si>
    <t xml:space="preserve">Thematic bundle aligned with the edge-AI investment narrative. Spans algorithmic optimization (quantization, attention pruning) and applied robotics (visual SLAM). Implementation-agnostic methods deployable across smart cameras, robotics, AR/VR, and on-device inference products.</t>
  </si>
  <si>
    <t xml:space="preserve">Patents share G1 convergence theme tag (Edge AI). (Bundle Rule #18 — Convergent / Emerging Theme.)</t>
  </si>
  <si>
    <t xml:space="preserve">BUNDLE COMPOSITION STRATEGIES</t>
  </si>
  <si>
    <t xml:space="preserve">Compositional approaches that sit on top of the 33 bundle types — how to construct, position, and price bundles for a mixed-quality portfolio.</t>
  </si>
  <si>
    <t xml:space="preserve">1. TIERED STRUCTURE (Premium / Standard / Lot)</t>
  </si>
  <si>
    <t xml:space="preserve">For each technology domain, build three tiers from the same patent pool:</t>
  </si>
  <si>
    <t xml:space="preserve">• Premium tier: only patents with H1≥2 AND avg detectability≥2 AND F2=Yes AND E4≥10. Marketed individually with full claim charts.</t>
  </si>
  <si>
    <t xml:space="preserve">• Standard tier: mixed quality, used for thematic / use-case bundles. The workhorses.</t>
  </si>
  <si>
    <t xml:space="preserve">• Lot tier: weak, narrow, near-expiry, or unclassified patents — sold as defensive-volume lots.</t>
  </si>
  <si>
    <t xml:space="preserve">Value of tiering: isolates strong assets so weak ones do not drag the premium narrative down. Each tier has a distinct buyer profile.</t>
  </si>
  <si>
    <t xml:space="preserve">2. ANCHOR-FIRST BUNDLING</t>
  </si>
  <si>
    <t xml:space="preserve">Identify the top 5-10 strongest patents (H1=3, C2≥2, D2≥2). Build each bundle AROUND one anchor; surround it with related supporting patents.</t>
  </si>
  <si>
    <t xml:space="preserve">Every bundle must have a "lead patent" the buyer can latch onto. Bundles without an anchor are restructured or moved to the salvage lot.</t>
  </si>
  <si>
    <t xml:space="preserve">3. STORYLINE BUNDLING</t>
  </si>
  <si>
    <t xml:space="preserve">Group patents that together tell a single technical story: problem → core solution → variants → enhancements → use-case extensions.</t>
  </si>
  <si>
    <t xml:space="preserve">The bundle reads as a self-contained R&amp;D narrative rather than a list. Especially effective for emerging-tech themes (edge AI, EV powertrain, next-gen wireless).</t>
  </si>
  <si>
    <t xml:space="preserve">4. COMPLEMENTARY-WEAKNESS BUNDLING</t>
  </si>
  <si>
    <t xml:space="preserve">Pair patents whose weaknesses cancel: a broad-but-vulnerable patent with a narrow-but-bulletproof patent in the same area.</t>
  </si>
  <si>
    <t xml:space="preserve">If the broad one survives, the buyer has wide coverage. If it is invalidated, the narrow one still bites. The buyer is paying for redundancy.</t>
  </si>
  <si>
    <t xml:space="preserve">5. MODULAR BUNDLING</t>
  </si>
  <si>
    <t xml:space="preserve">Pre-compose 3-4 modules (e.g., RF front-end / baseband / network) that buyers can mix-and-match.</t>
  </si>
  <si>
    <t xml:space="preserve">One marketing pack addresses multiple buyer types. Each module is a stand-alone sellable unit, but composes into larger bundles for serious buyers.</t>
  </si>
  <si>
    <t xml:space="preserve">6. CARVE-IN vs. CARVE-OUT LOGIC</t>
  </si>
  <si>
    <t xml:space="preserve">For each bundle, explicitly mark which patents are CARVED IN (sold only as a unit) and which are FLOATING (could be added on request).</t>
  </si>
  <si>
    <t xml:space="preserve">Prevents buyers from cherry-picking only the best one or two patents.</t>
  </si>
  <si>
    <t xml:space="preserve">7. RESERVE STRATEGY</t>
  </si>
  <si>
    <t xml:space="preserve">Keep the strongest 1-2 patents in each domain out of any bundle. Sell those individually or hold for direct licensing.</t>
  </si>
  <si>
    <t xml:space="preserve">Bundles get tier-2 strength patents — still attractive but does not bleed peak assets at bundle pricing.</t>
  </si>
  <si>
    <t xml:space="preserve">8. CONDITIONAL / BUYER-PROFILE BUNDLING</t>
  </si>
  <si>
    <t xml:space="preserve">Same patents, three different bundle constructions for three buyer types:</t>
  </si>
  <si>
    <t xml:space="preserve">• Operating company: emphasize FTO and product subsystem coverage (Bundle types 3, 4, 9).</t>
  </si>
  <si>
    <t xml:space="preserve">• NPE / litigation buyer: emphasize detectability, EoU charts, survived challenges (Bundles 12, 19, 26, 27).</t>
  </si>
  <si>
    <t xml:space="preserve">• Defensive aggregator: emphasize volume, breadth, low-cost (Bundles 11, 13, 31).</t>
  </si>
  <si>
    <t xml:space="preserve">9. CONTINUATION-OPTIONALITY BUNDLING</t>
  </si>
  <si>
    <t xml:space="preserve">A premium overlay: any bundle that includes patents with E3=Yes gets marketed as "claim-tailorable" — buyer can shape future claims to match their target.</t>
  </si>
  <si>
    <t xml:space="preserve">This single attribute substantially shifts a bundle from "static IP" to "active platform" in buyer perception.</t>
  </si>
  <si>
    <t xml:space="preserve">10. PROVENANCE-COHERENT BUNDLING</t>
  </si>
  <si>
    <t xml:space="preserve">All patents in a bundle originate from the same R&amp;D program, inventor group, or sub-business.</t>
  </si>
  <si>
    <t xml:space="preserve">Shared specifications and consistent terminology reduce claim-construction risk. Critical when buyer experts must digest 30+ patents at once.</t>
  </si>
  <si>
    <t xml:space="preserve">BUNDLE-LEVEL QUALITY GATES (already computed on the Scorecard sheet)</t>
  </si>
  <si>
    <t xml:space="preserve">• Weakest H1 in bundle — bundle is only as strong as its weakest patent.</t>
  </si>
  <si>
    <t xml:space="preserve">• Invalidity exposure % — % of bundle with H2≤1. Above 30% triggers a quality-filter pass.</t>
  </si>
  <si>
    <t xml:space="preserve">• EoU-ready % — % with H9 not None.</t>
  </si>
  <si>
    <t xml:space="preserve">• Survived % — % with H7 = Survived.</t>
  </si>
  <si>
    <t xml:space="preserve">• Continuation-optionality % — % with E3 = Yes.</t>
  </si>
  <si>
    <t xml:space="preserve">PRACTICAL CHECKLIST BEFORE OFFERING A BUNDLE</t>
  </si>
  <si>
    <t xml:space="preserve">• Does the bundle have at least one anchor patent? If no, restructure.</t>
  </si>
  <si>
    <t xml:space="preserve">• Is invalidity exposure under 30%? If no, remove the weakest patents or move to salvage lot.</t>
  </si>
  <si>
    <t xml:space="preserve">• Does every patent have clean chain of title (H8=Clean)? If no, fix or disclose.</t>
  </si>
  <si>
    <t xml:space="preserve">• Is there a coherent technical story across the bundle? If no, split into smaller bundles.</t>
  </si>
  <si>
    <t xml:space="preserve">• Are EoU charts available for at least the anchor(s)? If no, prepare before market.</t>
  </si>
  <si>
    <t xml:space="preserve">• Is the bundle size commercially meaningful (≥3 patents)? Tiny bundles often need to be merged.</t>
  </si>
  <si>
    <t xml:space="preserve">• Is the buyer profile clear? Operating company, NPE, or defensive aggregator — write to that audience.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</si>
</sst>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"/>
    <numFmt numFmtId="167" formatCode="0.0"/>
    <numFmt numFmtId="168" formatCode="0.0%"/>
    <numFmt numFmtId="169" formatCode="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C65911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48235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C65911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i val="true"/>
      <sz val="9"/>
      <color rgb="FF1F4E78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DDEBF7"/>
        <bgColor rgb="FFE2EFDA"/>
      </patternFill>
    </fill>
    <fill>
      <patternFill patternType="solid">
        <fgColor rgb="FF404040"/>
        <bgColor rgb="FF595959"/>
      </patternFill>
    </fill>
    <fill>
      <patternFill patternType="solid">
        <fgColor rgb="FF1F4E78"/>
        <bgColor rgb="FF003366"/>
      </patternFill>
    </fill>
    <fill>
      <patternFill patternType="solid">
        <fgColor rgb="FF808080"/>
        <bgColor rgb="FF548235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DEBF7"/>
      </patternFill>
    </fill>
    <fill>
      <patternFill patternType="solid">
        <fgColor rgb="FF5B9BD5"/>
        <bgColor rgb="FF2E75B6"/>
      </patternFill>
    </fill>
    <fill>
      <patternFill patternType="solid">
        <fgColor rgb="FF9DC3E6"/>
        <bgColor rgb="FFBFBFBF"/>
      </patternFill>
    </fill>
    <fill>
      <patternFill patternType="solid">
        <fgColor rgb="FFBDD7EE"/>
        <bgColor rgb="FFC6E0B4"/>
      </patternFill>
    </fill>
    <fill>
      <patternFill patternType="solid">
        <fgColor rgb="FFA9D08E"/>
        <bgColor rgb="FFC6E0B4"/>
      </patternFill>
    </fill>
    <fill>
      <patternFill patternType="solid">
        <fgColor rgb="FFC6E0B4"/>
        <bgColor rgb="FFC6EFCE"/>
      </patternFill>
    </fill>
    <fill>
      <patternFill patternType="solid">
        <fgColor rgb="FFF4B084"/>
        <bgColor rgb="FFFFC7CE"/>
      </patternFill>
    </fill>
    <fill>
      <patternFill patternType="solid">
        <fgColor rgb="FFFFD966"/>
        <bgColor rgb="FFFFEB9C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i val="1"/>
        <color rgb="FFA6A6A6"/>
        <sz val="10"/>
      </font>
      <fill>
        <patternFill>
          <bgColor rgb="FFF2F2F2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5B9BD5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DC3E6"/>
      <rgbColor rgb="FFF4B084"/>
      <rgbColor rgb="FFC6E0B4"/>
      <rgbColor rgb="FFFFC7CE"/>
      <rgbColor rgb="FF2E75B6"/>
      <rgbColor rgb="FF33CCCC"/>
      <rgbColor rgb="FFA9D08E"/>
      <rgbColor rgb="FFFFD966"/>
      <rgbColor rgb="FFFF9900"/>
      <rgbColor rgb="FFC65911"/>
      <rgbColor rgb="FF595959"/>
      <rgbColor rgb="FFA6A6A6"/>
      <rgbColor rgb="FF003366"/>
      <rgbColor rgb="FF339966"/>
      <rgbColor rgb="FF003300"/>
      <rgbColor rgb="FF1A1A1A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23.25" hidden="false" customHeight="true" outlineLevel="0" collapsed="false">
      <c r="A5" s="4" t="s">
        <v>3</v>
      </c>
    </row>
    <row r="6" customFormat="false" ht="15" hidden="false" customHeight="true" outlineLevel="0" collapsed="false">
      <c r="A6" s="4"/>
    </row>
    <row r="7" customFormat="false" ht="15" hidden="false" customHeight="true" outlineLevel="0" collapsed="false">
      <c r="A7" s="5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4" t="s">
        <v>10</v>
      </c>
    </row>
    <row r="14" customFormat="false" ht="15" hidden="false" customHeight="true" outlineLevel="0" collapsed="false">
      <c r="A14" s="4" t="s">
        <v>11</v>
      </c>
    </row>
    <row r="15" customFormat="false" ht="15" hidden="false" customHeight="true" outlineLevel="0" collapsed="false">
      <c r="A15" s="4"/>
    </row>
    <row r="16" customFormat="false" ht="15" hidden="false" customHeight="true" outlineLevel="0" collapsed="false">
      <c r="A16" s="5" t="s">
        <v>12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4" t="s">
        <v>14</v>
      </c>
    </row>
    <row r="19" customFormat="false" ht="15" hidden="false" customHeight="true" outlineLevel="0" collapsed="false">
      <c r="A19" s="4" t="s">
        <v>15</v>
      </c>
    </row>
    <row r="20" customFormat="false" ht="15" hidden="false" customHeight="true" outlineLevel="0" collapsed="false">
      <c r="A20" s="4" t="s">
        <v>16</v>
      </c>
    </row>
    <row r="21" customFormat="false" ht="15" hidden="false" customHeight="true" outlineLevel="0" collapsed="false">
      <c r="A21" s="4" t="s">
        <v>17</v>
      </c>
    </row>
    <row r="22" customFormat="false" ht="15" hidden="false" customHeight="true" outlineLevel="0" collapsed="false">
      <c r="A22" s="4"/>
    </row>
    <row r="23" customFormat="false" ht="15" hidden="false" customHeight="true" outlineLevel="0" collapsed="false">
      <c r="A23" s="5" t="s">
        <v>18</v>
      </c>
    </row>
    <row r="24" customFormat="false" ht="15" hidden="false" customHeight="true" outlineLevel="0" collapsed="false">
      <c r="A24" s="4" t="s">
        <v>19</v>
      </c>
    </row>
    <row r="25" customFormat="false" ht="15" hidden="false" customHeight="true" outlineLevel="0" collapsed="false">
      <c r="A25" s="4" t="s">
        <v>20</v>
      </c>
    </row>
    <row r="26" customFormat="false" ht="15" hidden="false" customHeight="true" outlineLevel="0" collapsed="false">
      <c r="A26" s="4" t="s">
        <v>21</v>
      </c>
    </row>
    <row r="27" customFormat="false" ht="15" hidden="false" customHeight="true" outlineLevel="0" collapsed="false">
      <c r="A27" s="4" t="s">
        <v>22</v>
      </c>
    </row>
    <row r="28" customFormat="false" ht="15" hidden="false" customHeight="true" outlineLevel="0" collapsed="false">
      <c r="A28" s="4" t="s">
        <v>23</v>
      </c>
    </row>
    <row r="29" customFormat="false" ht="15" hidden="false" customHeight="true" outlineLevel="0" collapsed="false">
      <c r="A29" s="4" t="s">
        <v>24</v>
      </c>
    </row>
    <row r="30" customFormat="false" ht="15" hidden="false" customHeight="true" outlineLevel="0" collapsed="false">
      <c r="A30" s="4" t="s">
        <v>25</v>
      </c>
    </row>
    <row r="31" customFormat="false" ht="15" hidden="false" customHeight="true" outlineLevel="0" collapsed="false">
      <c r="A31" s="4"/>
    </row>
    <row r="32" customFormat="false" ht="15" hidden="false" customHeight="true" outlineLevel="0" collapsed="false">
      <c r="A32" s="5" t="s">
        <v>26</v>
      </c>
    </row>
    <row r="33" customFormat="false" ht="15" hidden="false" customHeight="true" outlineLevel="0" collapsed="false">
      <c r="A33" s="4" t="s">
        <v>27</v>
      </c>
    </row>
    <row r="34" customFormat="false" ht="15" hidden="false" customHeight="true" outlineLevel="0" collapsed="false">
      <c r="A34" s="4" t="s">
        <v>28</v>
      </c>
    </row>
    <row r="35" customFormat="false" ht="15" hidden="false" customHeight="true" outlineLevel="0" collapsed="false">
      <c r="A35" s="4" t="s">
        <v>29</v>
      </c>
    </row>
    <row r="37" customFormat="false" ht="15" hidden="false" customHeight="true" outlineLevel="0" collapsed="false">
      <c r="A37" s="5" t="s">
        <v>30</v>
      </c>
    </row>
    <row r="38" customFormat="false" ht="23.25" hidden="false" customHeight="true" outlineLevel="0" collapsed="false">
      <c r="A38" s="4" t="s">
        <v>31</v>
      </c>
    </row>
    <row r="39" customFormat="false" ht="15" hidden="false" customHeight="true" outlineLevel="0" collapsed="false">
      <c r="A39" s="4" t="s">
        <v>32</v>
      </c>
    </row>
    <row r="40" customFormat="false" ht="23.25" hidden="false" customHeight="true" outlineLevel="0" collapsed="false">
      <c r="A40" s="4" t="s">
        <v>33</v>
      </c>
    </row>
    <row r="41" customFormat="false" ht="15" hidden="false" customHeight="true" outlineLevel="0" collapsed="false">
      <c r="A41" s="4" t="s">
        <v>34</v>
      </c>
    </row>
    <row r="42" customFormat="false" ht="23.25" hidden="false" customHeight="true" outlineLevel="0" collapsed="false">
      <c r="A42" s="4" t="s">
        <v>35</v>
      </c>
    </row>
    <row r="44" customFormat="false" ht="15" hidden="false" customHeight="true" outlineLevel="0" collapsed="false">
      <c r="A44" s="5" t="s">
        <v>36</v>
      </c>
    </row>
    <row r="45" customFormat="false" ht="23.25" hidden="false" customHeight="true" outlineLevel="0" collapsed="false">
      <c r="A45" s="4" t="s">
        <v>37</v>
      </c>
    </row>
    <row r="46" customFormat="false" ht="23.25" hidden="false" customHeight="true" outlineLevel="0" collapsed="false">
      <c r="A46" s="4" t="s">
        <v>38</v>
      </c>
    </row>
    <row r="47" customFormat="false" ht="23.25" hidden="false" customHeight="true" outlineLevel="0" collapsed="false">
      <c r="A47" s="4" t="s">
        <v>39</v>
      </c>
    </row>
    <row r="48" customFormat="false" ht="15" hidden="false" customHeight="true" outlineLevel="0" collapsed="false">
      <c r="A48" s="4" t="s">
        <v>40</v>
      </c>
    </row>
    <row r="49" customFormat="false" ht="23.25" hidden="false" customHeight="true" outlineLevel="0" collapsed="false">
      <c r="A49" s="4" t="s">
        <v>41</v>
      </c>
    </row>
    <row r="51" customFormat="false" ht="15" hidden="false" customHeight="true" outlineLevel="0" collapsed="false">
      <c r="A51" s="5" t="s">
        <v>42</v>
      </c>
    </row>
    <row r="52" customFormat="false" ht="15" hidden="false" customHeight="true" outlineLevel="0" collapsed="false">
      <c r="A52" s="4" t="s">
        <v>43</v>
      </c>
    </row>
    <row r="53" customFormat="false" ht="15" hidden="false" customHeight="true" outlineLevel="0" collapsed="false">
      <c r="A53" s="4" t="s">
        <v>44</v>
      </c>
    </row>
    <row r="54" customFormat="false" ht="23.25" hidden="false" customHeight="true" outlineLevel="0" collapsed="false">
      <c r="A54" s="4" t="s">
        <v>45</v>
      </c>
    </row>
    <row r="55" customFormat="false" ht="23.25" hidden="false" customHeight="true" outlineLevel="0" collapsed="false">
      <c r="A55" s="4" t="s">
        <v>46</v>
      </c>
    </row>
    <row r="56" customFormat="false" ht="15" hidden="false" customHeight="true" outlineLevel="0" collapsed="false">
      <c r="A56" s="4" t="s">
        <v>47</v>
      </c>
    </row>
    <row r="58" customFormat="false" ht="15" hidden="false" customHeight="false" outlineLevel="0" collapsed="false">
      <c r="A58" s="6" t="s">
        <v>48</v>
      </c>
    </row>
    <row r="59" customFormat="false" ht="23.85" hidden="false" customHeight="false" outlineLevel="0" collapsed="false">
      <c r="A59" s="4" t="s">
        <v>49</v>
      </c>
    </row>
    <row r="60" customFormat="false" ht="23.85" hidden="false" customHeight="false" outlineLevel="0" collapsed="false">
      <c r="A60" s="4" t="s">
        <v>50</v>
      </c>
    </row>
    <row r="61" customFormat="false" ht="15" hidden="false" customHeight="false" outlineLevel="0" collapsed="false">
      <c r="A61" s="4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2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24" hidden="false" customHeight="true" outlineLevel="0" collapsed="false">
      <c r="A1" s="7" t="s">
        <v>52</v>
      </c>
      <c r="B1" s="7"/>
      <c r="C1" s="7"/>
      <c r="D1" s="7"/>
      <c r="E1" s="7"/>
      <c r="F1" s="7"/>
      <c r="G1" s="7"/>
    </row>
    <row r="2" customFormat="false" ht="37.5" hidden="false" customHeight="true" outlineLevel="0" collapsed="false">
      <c r="A2" s="8" t="s">
        <v>53</v>
      </c>
      <c r="B2" s="8"/>
      <c r="C2" s="8"/>
      <c r="D2" s="8"/>
      <c r="E2" s="8"/>
      <c r="F2" s="8"/>
      <c r="G2" s="8"/>
    </row>
    <row r="4" customFormat="false" ht="21.75" hidden="false" customHeight="true" outlineLevel="0" collapsed="false">
      <c r="A4" s="9" t="s">
        <v>54</v>
      </c>
      <c r="B4" s="10" t="s">
        <v>55</v>
      </c>
      <c r="C4" s="10"/>
      <c r="D4" s="10"/>
      <c r="E4" s="11" t="s">
        <v>56</v>
      </c>
      <c r="F4" s="11"/>
      <c r="G4" s="11"/>
      <c r="H4" s="11"/>
    </row>
    <row r="5" customFormat="false" ht="21.75" hidden="false" customHeight="true" outlineLevel="0" collapsed="false">
      <c r="A5" s="9" t="s">
        <v>57</v>
      </c>
      <c r="B5" s="10" t="s">
        <v>58</v>
      </c>
      <c r="C5" s="10"/>
      <c r="D5" s="10"/>
      <c r="E5" s="11" t="s">
        <v>59</v>
      </c>
      <c r="F5" s="11"/>
      <c r="G5" s="11"/>
      <c r="H5" s="11"/>
    </row>
    <row r="6" customFormat="false" ht="15" hidden="false" customHeight="true" outlineLevel="0" collapsed="false">
      <c r="A6" s="9" t="s">
        <v>60</v>
      </c>
      <c r="B6" s="12" t="str">
        <f aca="false">"Bundles active: "&amp;COUNTIF(C10:C42,"Yes")&amp;" of 33    |    Gates active: "&amp;COUNTIF(C63:C67,"Yes")&amp;" of 5    |    "&amp;IF($B$5="Yes","EDIT MODE — using Manual Override values","Using preset: "&amp;$B$4)</f>
        <v>Bundles active: 33 of 33    |    Gates active: 5 of 5    |    Using preset: All ON (default)</v>
      </c>
      <c r="C6" s="12"/>
      <c r="D6" s="12"/>
      <c r="E6" s="12"/>
      <c r="F6" s="12"/>
      <c r="G6" s="12"/>
      <c r="H6" s="12"/>
    </row>
    <row r="8" customFormat="false" ht="31.5" hidden="false" customHeight="true" outlineLevel="0" collapsed="false">
      <c r="A8" s="13" t="s">
        <v>61</v>
      </c>
      <c r="B8" s="13" t="s">
        <v>62</v>
      </c>
      <c r="C8" s="14" t="s">
        <v>63</v>
      </c>
      <c r="D8" s="15" t="s">
        <v>64</v>
      </c>
      <c r="E8" s="15" t="s">
        <v>65</v>
      </c>
    </row>
    <row r="9" customFormat="false" ht="15" hidden="false" customHeight="true" outlineLevel="0" collapsed="false">
      <c r="A9" s="16" t="s">
        <v>66</v>
      </c>
      <c r="B9" s="16"/>
      <c r="C9" s="16"/>
      <c r="D9" s="16"/>
      <c r="E9" s="16"/>
    </row>
    <row r="10" customFormat="false" ht="15" hidden="false" customHeight="true" outlineLevel="0" collapsed="false">
      <c r="A10" s="17" t="s">
        <v>67</v>
      </c>
      <c r="B10" s="18" t="s">
        <v>68</v>
      </c>
      <c r="C10" s="19" t="str">
        <f aca="false">IF($B$5="Yes",E10,D10)</f>
        <v>Yes</v>
      </c>
      <c r="D10" s="20" t="str">
        <f aca="false">INDEX(Presets!$C$4:$L$4,MATCH($B$4,Presets!$C$1:$L$1,0))</f>
        <v>Yes</v>
      </c>
      <c r="E10" s="10" t="s">
        <v>69</v>
      </c>
    </row>
    <row r="11" customFormat="false" ht="15" hidden="false" customHeight="true" outlineLevel="0" collapsed="false">
      <c r="A11" s="17" t="s">
        <v>70</v>
      </c>
      <c r="B11" s="18" t="s">
        <v>71</v>
      </c>
      <c r="C11" s="19" t="str">
        <f aca="false">IF($B$5="Yes",E11,D11)</f>
        <v>Yes</v>
      </c>
      <c r="D11" s="20" t="str">
        <f aca="false">INDEX(Presets!$C$5:$L$5,MATCH($B$4,Presets!$C$1:$L$1,0))</f>
        <v>Yes</v>
      </c>
      <c r="E11" s="10" t="s">
        <v>69</v>
      </c>
    </row>
    <row r="12" customFormat="false" ht="15" hidden="false" customHeight="true" outlineLevel="0" collapsed="false">
      <c r="A12" s="17" t="s">
        <v>72</v>
      </c>
      <c r="B12" s="18" t="s">
        <v>73</v>
      </c>
      <c r="C12" s="19" t="str">
        <f aca="false">IF($B$5="Yes",E12,D12)</f>
        <v>Yes</v>
      </c>
      <c r="D12" s="20" t="str">
        <f aca="false">INDEX(Presets!$C$6:$L$6,MATCH($B$4,Presets!$C$1:$L$1,0))</f>
        <v>Yes</v>
      </c>
      <c r="E12" s="10" t="s">
        <v>69</v>
      </c>
    </row>
    <row r="13" customFormat="false" ht="15" hidden="false" customHeight="true" outlineLevel="0" collapsed="false">
      <c r="A13" s="17" t="s">
        <v>74</v>
      </c>
      <c r="B13" s="18" t="s">
        <v>75</v>
      </c>
      <c r="C13" s="19" t="str">
        <f aca="false">IF($B$5="Yes",E13,D13)</f>
        <v>Yes</v>
      </c>
      <c r="D13" s="20" t="str">
        <f aca="false">INDEX(Presets!$C$7:$L$7,MATCH($B$4,Presets!$C$1:$L$1,0))</f>
        <v>Yes</v>
      </c>
      <c r="E13" s="10" t="s">
        <v>69</v>
      </c>
    </row>
    <row r="14" customFormat="false" ht="15" hidden="false" customHeight="true" outlineLevel="0" collapsed="false">
      <c r="A14" s="17" t="s">
        <v>76</v>
      </c>
      <c r="B14" s="18" t="s">
        <v>77</v>
      </c>
      <c r="C14" s="19" t="str">
        <f aca="false">IF($B$5="Yes",E14,D14)</f>
        <v>Yes</v>
      </c>
      <c r="D14" s="20" t="str">
        <f aca="false">INDEX(Presets!$C$8:$L$8,MATCH($B$4,Presets!$C$1:$L$1,0))</f>
        <v>Yes</v>
      </c>
      <c r="E14" s="10" t="s">
        <v>69</v>
      </c>
    </row>
    <row r="15" customFormat="false" ht="15" hidden="false" customHeight="true" outlineLevel="0" collapsed="false">
      <c r="A15" s="17" t="s">
        <v>78</v>
      </c>
      <c r="B15" s="18" t="s">
        <v>79</v>
      </c>
      <c r="C15" s="19" t="str">
        <f aca="false">IF($B$5="Yes",E15,D15)</f>
        <v>Yes</v>
      </c>
      <c r="D15" s="20" t="str">
        <f aca="false">INDEX(Presets!$C$9:$L$9,MATCH($B$4,Presets!$C$1:$L$1,0))</f>
        <v>Yes</v>
      </c>
      <c r="E15" s="10" t="s">
        <v>69</v>
      </c>
    </row>
    <row r="16" customFormat="false" ht="15" hidden="false" customHeight="true" outlineLevel="0" collapsed="false">
      <c r="A16" s="17" t="s">
        <v>80</v>
      </c>
      <c r="B16" s="18" t="s">
        <v>81</v>
      </c>
      <c r="C16" s="19" t="str">
        <f aca="false">IF($B$5="Yes",E16,D16)</f>
        <v>Yes</v>
      </c>
      <c r="D16" s="20" t="str">
        <f aca="false">INDEX(Presets!$C$10:$L$10,MATCH($B$4,Presets!$C$1:$L$1,0))</f>
        <v>Yes</v>
      </c>
      <c r="E16" s="10" t="s">
        <v>69</v>
      </c>
    </row>
    <row r="17" customFormat="false" ht="15" hidden="false" customHeight="true" outlineLevel="0" collapsed="false">
      <c r="A17" s="17" t="s">
        <v>82</v>
      </c>
      <c r="B17" s="18" t="s">
        <v>83</v>
      </c>
      <c r="C17" s="19" t="str">
        <f aca="false">IF($B$5="Yes",E17,D17)</f>
        <v>Yes</v>
      </c>
      <c r="D17" s="20" t="str">
        <f aca="false">INDEX(Presets!$C$11:$L$11,MATCH($B$4,Presets!$C$1:$L$1,0))</f>
        <v>Yes</v>
      </c>
      <c r="E17" s="10" t="s">
        <v>69</v>
      </c>
    </row>
    <row r="18" customFormat="false" ht="15" hidden="false" customHeight="true" outlineLevel="0" collapsed="false">
      <c r="A18" s="17" t="s">
        <v>84</v>
      </c>
      <c r="B18" s="18" t="s">
        <v>85</v>
      </c>
      <c r="C18" s="19" t="str">
        <f aca="false">IF($B$5="Yes",E18,D18)</f>
        <v>Yes</v>
      </c>
      <c r="D18" s="20" t="str">
        <f aca="false">INDEX(Presets!$C$12:$L$12,MATCH($B$4,Presets!$C$1:$L$1,0))</f>
        <v>Yes</v>
      </c>
      <c r="E18" s="10" t="s">
        <v>69</v>
      </c>
    </row>
    <row r="19" customFormat="false" ht="15" hidden="false" customHeight="true" outlineLevel="0" collapsed="false">
      <c r="A19" s="17" t="s">
        <v>86</v>
      </c>
      <c r="B19" s="18" t="s">
        <v>87</v>
      </c>
      <c r="C19" s="19" t="str">
        <f aca="false">IF($B$5="Yes",E19,D19)</f>
        <v>Yes</v>
      </c>
      <c r="D19" s="20" t="str">
        <f aca="false">INDEX(Presets!$C$13:$L$13,MATCH($B$4,Presets!$C$1:$L$1,0))</f>
        <v>Yes</v>
      </c>
      <c r="E19" s="10" t="s">
        <v>69</v>
      </c>
    </row>
    <row r="20" customFormat="false" ht="15" hidden="false" customHeight="true" outlineLevel="0" collapsed="false">
      <c r="A20" s="17" t="s">
        <v>88</v>
      </c>
      <c r="B20" s="18" t="s">
        <v>89</v>
      </c>
      <c r="C20" s="19" t="str">
        <f aca="false">IF($B$5="Yes",E20,D20)</f>
        <v>Yes</v>
      </c>
      <c r="D20" s="20" t="str">
        <f aca="false">INDEX(Presets!$C$14:$L$14,MATCH($B$4,Presets!$C$1:$L$1,0))</f>
        <v>Yes</v>
      </c>
      <c r="E20" s="10" t="s">
        <v>69</v>
      </c>
    </row>
    <row r="21" customFormat="false" ht="15" hidden="false" customHeight="true" outlineLevel="0" collapsed="false">
      <c r="A21" s="17" t="s">
        <v>90</v>
      </c>
      <c r="B21" s="18" t="s">
        <v>91</v>
      </c>
      <c r="C21" s="19" t="str">
        <f aca="false">IF($B$5="Yes",E21,D21)</f>
        <v>Yes</v>
      </c>
      <c r="D21" s="20" t="str">
        <f aca="false">INDEX(Presets!$C$15:$L$15,MATCH($B$4,Presets!$C$1:$L$1,0))</f>
        <v>Yes</v>
      </c>
      <c r="E21" s="10" t="s">
        <v>69</v>
      </c>
    </row>
    <row r="22" customFormat="false" ht="15" hidden="false" customHeight="true" outlineLevel="0" collapsed="false">
      <c r="A22" s="17" t="s">
        <v>92</v>
      </c>
      <c r="B22" s="18" t="s">
        <v>93</v>
      </c>
      <c r="C22" s="19" t="str">
        <f aca="false">IF($B$5="Yes",E22,D22)</f>
        <v>Yes</v>
      </c>
      <c r="D22" s="20" t="str">
        <f aca="false">INDEX(Presets!$C$16:$L$16,MATCH($B$4,Presets!$C$1:$L$1,0))</f>
        <v>Yes</v>
      </c>
      <c r="E22" s="10" t="s">
        <v>69</v>
      </c>
    </row>
    <row r="23" customFormat="false" ht="15" hidden="false" customHeight="true" outlineLevel="0" collapsed="false">
      <c r="A23" s="17" t="s">
        <v>94</v>
      </c>
      <c r="B23" s="18" t="s">
        <v>95</v>
      </c>
      <c r="C23" s="19" t="str">
        <f aca="false">IF($B$5="Yes",E23,D23)</f>
        <v>Yes</v>
      </c>
      <c r="D23" s="20" t="str">
        <f aca="false">INDEX(Presets!$C$17:$L$17,MATCH($B$4,Presets!$C$1:$L$1,0))</f>
        <v>Yes</v>
      </c>
      <c r="E23" s="10" t="s">
        <v>69</v>
      </c>
    </row>
    <row r="24" customFormat="false" ht="15" hidden="false" customHeight="true" outlineLevel="0" collapsed="false">
      <c r="A24" s="17" t="s">
        <v>96</v>
      </c>
      <c r="B24" s="18" t="s">
        <v>97</v>
      </c>
      <c r="C24" s="19" t="str">
        <f aca="false">IF($B$5="Yes",E24,D24)</f>
        <v>Yes</v>
      </c>
      <c r="D24" s="20" t="str">
        <f aca="false">INDEX(Presets!$C$18:$L$18,MATCH($B$4,Presets!$C$1:$L$1,0))</f>
        <v>Yes</v>
      </c>
      <c r="E24" s="10" t="s">
        <v>69</v>
      </c>
    </row>
    <row r="25" customFormat="false" ht="15" hidden="false" customHeight="true" outlineLevel="0" collapsed="false">
      <c r="A25" s="17" t="s">
        <v>98</v>
      </c>
      <c r="B25" s="18" t="s">
        <v>99</v>
      </c>
      <c r="C25" s="19" t="str">
        <f aca="false">IF($B$5="Yes",E25,D25)</f>
        <v>Yes</v>
      </c>
      <c r="D25" s="20" t="str">
        <f aca="false">INDEX(Presets!$C$19:$L$19,MATCH($B$4,Presets!$C$1:$L$1,0))</f>
        <v>Yes</v>
      </c>
      <c r="E25" s="10" t="s">
        <v>69</v>
      </c>
    </row>
    <row r="26" customFormat="false" ht="15" hidden="false" customHeight="true" outlineLevel="0" collapsed="false">
      <c r="A26" s="17" t="s">
        <v>100</v>
      </c>
      <c r="B26" s="18" t="s">
        <v>101</v>
      </c>
      <c r="C26" s="19" t="str">
        <f aca="false">IF($B$5="Yes",E26,D26)</f>
        <v>Yes</v>
      </c>
      <c r="D26" s="20" t="str">
        <f aca="false">INDEX(Presets!$C$20:$L$20,MATCH($B$4,Presets!$C$1:$L$1,0))</f>
        <v>Yes</v>
      </c>
      <c r="E26" s="10" t="s">
        <v>69</v>
      </c>
    </row>
    <row r="27" customFormat="false" ht="15" hidden="false" customHeight="true" outlineLevel="0" collapsed="false">
      <c r="A27" s="17" t="s">
        <v>102</v>
      </c>
      <c r="B27" s="18" t="s">
        <v>103</v>
      </c>
      <c r="C27" s="19" t="str">
        <f aca="false">IF($B$5="Yes",E27,D27)</f>
        <v>Yes</v>
      </c>
      <c r="D27" s="20" t="str">
        <f aca="false">INDEX(Presets!$C$21:$L$21,MATCH($B$4,Presets!$C$1:$L$1,0))</f>
        <v>Yes</v>
      </c>
      <c r="E27" s="10" t="s">
        <v>69</v>
      </c>
    </row>
    <row r="28" customFormat="false" ht="15" hidden="false" customHeight="true" outlineLevel="0" collapsed="false">
      <c r="A28" s="17" t="s">
        <v>104</v>
      </c>
      <c r="B28" s="18" t="s">
        <v>105</v>
      </c>
      <c r="C28" s="19" t="str">
        <f aca="false">IF($B$5="Yes",E28,D28)</f>
        <v>Yes</v>
      </c>
      <c r="D28" s="20" t="str">
        <f aca="false">INDEX(Presets!$C$22:$L$22,MATCH($B$4,Presets!$C$1:$L$1,0))</f>
        <v>Yes</v>
      </c>
      <c r="E28" s="10" t="s">
        <v>69</v>
      </c>
    </row>
    <row r="29" customFormat="false" ht="15" hidden="false" customHeight="true" outlineLevel="0" collapsed="false">
      <c r="A29" s="17" t="s">
        <v>106</v>
      </c>
      <c r="B29" s="18" t="s">
        <v>107</v>
      </c>
      <c r="C29" s="19" t="str">
        <f aca="false">IF($B$5="Yes",E29,D29)</f>
        <v>Yes</v>
      </c>
      <c r="D29" s="20" t="str">
        <f aca="false">INDEX(Presets!$C$23:$L$23,MATCH($B$4,Presets!$C$1:$L$1,0))</f>
        <v>Yes</v>
      </c>
      <c r="E29" s="10" t="s">
        <v>69</v>
      </c>
    </row>
    <row r="30" customFormat="false" ht="15" hidden="false" customHeight="true" outlineLevel="0" collapsed="false">
      <c r="A30" s="17" t="s">
        <v>108</v>
      </c>
      <c r="B30" s="18" t="s">
        <v>109</v>
      </c>
      <c r="C30" s="19" t="str">
        <f aca="false">IF($B$5="Yes",E30,D30)</f>
        <v>Yes</v>
      </c>
      <c r="D30" s="20" t="str">
        <f aca="false">INDEX(Presets!$C$24:$L$24,MATCH($B$4,Presets!$C$1:$L$1,0))</f>
        <v>Yes</v>
      </c>
      <c r="E30" s="10" t="s">
        <v>69</v>
      </c>
    </row>
    <row r="31" customFormat="false" ht="15" hidden="false" customHeight="true" outlineLevel="0" collapsed="false">
      <c r="A31" s="17" t="s">
        <v>110</v>
      </c>
      <c r="B31" s="18" t="s">
        <v>111</v>
      </c>
      <c r="C31" s="19" t="str">
        <f aca="false">IF($B$5="Yes",E31,D31)</f>
        <v>Yes</v>
      </c>
      <c r="D31" s="20" t="str">
        <f aca="false">INDEX(Presets!$C$25:$L$25,MATCH($B$4,Presets!$C$1:$L$1,0))</f>
        <v>Yes</v>
      </c>
      <c r="E31" s="10" t="s">
        <v>69</v>
      </c>
    </row>
    <row r="32" customFormat="false" ht="15" hidden="false" customHeight="true" outlineLevel="0" collapsed="false">
      <c r="A32" s="17" t="s">
        <v>112</v>
      </c>
      <c r="B32" s="18" t="s">
        <v>113</v>
      </c>
      <c r="C32" s="19" t="str">
        <f aca="false">IF($B$5="Yes",E32,D32)</f>
        <v>Yes</v>
      </c>
      <c r="D32" s="20" t="str">
        <f aca="false">INDEX(Presets!$C$26:$L$26,MATCH($B$4,Presets!$C$1:$L$1,0))</f>
        <v>Yes</v>
      </c>
      <c r="E32" s="10" t="s">
        <v>69</v>
      </c>
    </row>
    <row r="33" customFormat="false" ht="15" hidden="false" customHeight="true" outlineLevel="0" collapsed="false">
      <c r="A33" s="17" t="s">
        <v>114</v>
      </c>
      <c r="B33" s="18" t="s">
        <v>115</v>
      </c>
      <c r="C33" s="19" t="str">
        <f aca="false">IF($B$5="Yes",E33,D33)</f>
        <v>Yes</v>
      </c>
      <c r="D33" s="20" t="str">
        <f aca="false">INDEX(Presets!$C$27:$L$27,MATCH($B$4,Presets!$C$1:$L$1,0))</f>
        <v>Yes</v>
      </c>
      <c r="E33" s="10" t="s">
        <v>69</v>
      </c>
    </row>
    <row r="34" customFormat="false" ht="15" hidden="false" customHeight="true" outlineLevel="0" collapsed="false">
      <c r="A34" s="17" t="s">
        <v>116</v>
      </c>
      <c r="B34" s="18" t="s">
        <v>117</v>
      </c>
      <c r="C34" s="19" t="str">
        <f aca="false">IF($B$5="Yes",E34,D34)</f>
        <v>Yes</v>
      </c>
      <c r="D34" s="20" t="str">
        <f aca="false">INDEX(Presets!$C$28:$L$28,MATCH($B$4,Presets!$C$1:$L$1,0))</f>
        <v>Yes</v>
      </c>
      <c r="E34" s="10" t="s">
        <v>69</v>
      </c>
    </row>
    <row r="35" customFormat="false" ht="15" hidden="false" customHeight="true" outlineLevel="0" collapsed="false">
      <c r="A35" s="17" t="s">
        <v>118</v>
      </c>
      <c r="B35" s="18" t="s">
        <v>119</v>
      </c>
      <c r="C35" s="19" t="str">
        <f aca="false">IF($B$5="Yes",E35,D35)</f>
        <v>Yes</v>
      </c>
      <c r="D35" s="20" t="str">
        <f aca="false">INDEX(Presets!$C$29:$L$29,MATCH($B$4,Presets!$C$1:$L$1,0))</f>
        <v>Yes</v>
      </c>
      <c r="E35" s="10" t="s">
        <v>69</v>
      </c>
    </row>
    <row r="36" customFormat="false" ht="15" hidden="false" customHeight="true" outlineLevel="0" collapsed="false">
      <c r="A36" s="17" t="s">
        <v>120</v>
      </c>
      <c r="B36" s="18" t="s">
        <v>121</v>
      </c>
      <c r="C36" s="19" t="str">
        <f aca="false">IF($B$5="Yes",E36,D36)</f>
        <v>Yes</v>
      </c>
      <c r="D36" s="20" t="str">
        <f aca="false">INDEX(Presets!$C$30:$L$30,MATCH($B$4,Presets!$C$1:$L$1,0))</f>
        <v>Yes</v>
      </c>
      <c r="E36" s="10" t="s">
        <v>69</v>
      </c>
    </row>
    <row r="37" customFormat="false" ht="15" hidden="false" customHeight="true" outlineLevel="0" collapsed="false">
      <c r="A37" s="17" t="s">
        <v>122</v>
      </c>
      <c r="B37" s="18" t="s">
        <v>123</v>
      </c>
      <c r="C37" s="19" t="str">
        <f aca="false">IF($B$5="Yes",E37,D37)</f>
        <v>Yes</v>
      </c>
      <c r="D37" s="20" t="str">
        <f aca="false">INDEX(Presets!$C$31:$L$31,MATCH($B$4,Presets!$C$1:$L$1,0))</f>
        <v>Yes</v>
      </c>
      <c r="E37" s="10" t="s">
        <v>69</v>
      </c>
    </row>
    <row r="38" customFormat="false" ht="15" hidden="false" customHeight="true" outlineLevel="0" collapsed="false">
      <c r="A38" s="17" t="s">
        <v>124</v>
      </c>
      <c r="B38" s="18" t="s">
        <v>125</v>
      </c>
      <c r="C38" s="19" t="str">
        <f aca="false">IF($B$5="Yes",E38,D38)</f>
        <v>Yes</v>
      </c>
      <c r="D38" s="20" t="str">
        <f aca="false">INDEX(Presets!$C$32:$L$32,MATCH($B$4,Presets!$C$1:$L$1,0))</f>
        <v>Yes</v>
      </c>
      <c r="E38" s="10" t="s">
        <v>69</v>
      </c>
    </row>
    <row r="39" customFormat="false" ht="15" hidden="false" customHeight="true" outlineLevel="0" collapsed="false">
      <c r="A39" s="17" t="s">
        <v>126</v>
      </c>
      <c r="B39" s="18" t="s">
        <v>127</v>
      </c>
      <c r="C39" s="19" t="str">
        <f aca="false">IF($B$5="Yes",E39,D39)</f>
        <v>Yes</v>
      </c>
      <c r="D39" s="20" t="str">
        <f aca="false">INDEX(Presets!$C$33:$L$33,MATCH($B$4,Presets!$C$1:$L$1,0))</f>
        <v>Yes</v>
      </c>
      <c r="E39" s="10" t="s">
        <v>69</v>
      </c>
    </row>
    <row r="40" customFormat="false" ht="15" hidden="false" customHeight="true" outlineLevel="0" collapsed="false">
      <c r="A40" s="17" t="s">
        <v>128</v>
      </c>
      <c r="B40" s="18" t="s">
        <v>129</v>
      </c>
      <c r="C40" s="19" t="str">
        <f aca="false">IF($B$5="Yes",E40,D40)</f>
        <v>Yes</v>
      </c>
      <c r="D40" s="20" t="str">
        <f aca="false">INDEX(Presets!$C$34:$L$34,MATCH($B$4,Presets!$C$1:$L$1,0))</f>
        <v>Yes</v>
      </c>
      <c r="E40" s="10" t="s">
        <v>69</v>
      </c>
    </row>
    <row r="41" customFormat="false" ht="15" hidden="false" customHeight="true" outlineLevel="0" collapsed="false">
      <c r="A41" s="17" t="s">
        <v>130</v>
      </c>
      <c r="B41" s="18" t="s">
        <v>131</v>
      </c>
      <c r="C41" s="19" t="str">
        <f aca="false">IF($B$5="Yes",E41,D41)</f>
        <v>Yes</v>
      </c>
      <c r="D41" s="20" t="str">
        <f aca="false">INDEX(Presets!$C$35:$L$35,MATCH($B$4,Presets!$C$1:$L$1,0))</f>
        <v>Yes</v>
      </c>
      <c r="E41" s="10" t="s">
        <v>69</v>
      </c>
    </row>
    <row r="42" customFormat="false" ht="15" hidden="false" customHeight="true" outlineLevel="0" collapsed="false">
      <c r="A42" s="17" t="s">
        <v>132</v>
      </c>
      <c r="B42" s="18" t="s">
        <v>133</v>
      </c>
      <c r="C42" s="19" t="str">
        <f aca="false">IF($B$5="Yes",E42,D42)</f>
        <v>Yes</v>
      </c>
      <c r="D42" s="20" t="str">
        <f aca="false">INDEX(Presets!$C$36:$L$36,MATCH($B$4,Presets!$C$1:$L$1,0))</f>
        <v>Yes</v>
      </c>
      <c r="E42" s="10" t="s">
        <v>69</v>
      </c>
    </row>
    <row r="43" customFormat="false" ht="15" hidden="false" customHeight="true" outlineLevel="0" collapsed="false">
      <c r="A43" s="16" t="s">
        <v>134</v>
      </c>
      <c r="B43" s="16"/>
      <c r="C43" s="16"/>
      <c r="D43" s="16"/>
      <c r="E43" s="16"/>
    </row>
    <row r="44" customFormat="false" ht="15" hidden="false" customHeight="true" outlineLevel="0" collapsed="false">
      <c r="A44" s="17" t="s">
        <v>135</v>
      </c>
      <c r="B44" s="18" t="s">
        <v>136</v>
      </c>
      <c r="C44" s="21" t="n">
        <f aca="false">IF($B$5="Yes",E44,D44)</f>
        <v>2</v>
      </c>
      <c r="D44" s="20" t="n">
        <f aca="false">INDEX(Presets!$C$38:$L$38,MATCH($B$4,Presets!$C$1:$L$1,0))</f>
        <v>2</v>
      </c>
      <c r="E44" s="10" t="n">
        <v>2</v>
      </c>
    </row>
    <row r="45" customFormat="false" ht="15" hidden="false" customHeight="true" outlineLevel="0" collapsed="false">
      <c r="A45" s="17" t="s">
        <v>137</v>
      </c>
      <c r="B45" s="18" t="s">
        <v>138</v>
      </c>
      <c r="C45" s="21" t="n">
        <f aca="false">IF($B$5="Yes",E45,D45)</f>
        <v>2</v>
      </c>
      <c r="D45" s="20" t="n">
        <f aca="false">INDEX(Presets!$C$39:$L$39,MATCH($B$4,Presets!$C$1:$L$1,0))</f>
        <v>2</v>
      </c>
      <c r="E45" s="10" t="n">
        <v>2</v>
      </c>
    </row>
    <row r="46" customFormat="false" ht="15" hidden="false" customHeight="true" outlineLevel="0" collapsed="false">
      <c r="A46" s="17" t="s">
        <v>139</v>
      </c>
      <c r="B46" s="18" t="s">
        <v>140</v>
      </c>
      <c r="C46" s="21" t="n">
        <f aca="false">IF($B$5="Yes",E46,D46)</f>
        <v>2</v>
      </c>
      <c r="D46" s="20" t="n">
        <f aca="false">INDEX(Presets!$C$40:$L$40,MATCH($B$4,Presets!$C$1:$L$1,0))</f>
        <v>2</v>
      </c>
      <c r="E46" s="10" t="n">
        <v>2</v>
      </c>
    </row>
    <row r="47" customFormat="false" ht="15" hidden="false" customHeight="true" outlineLevel="0" collapsed="false">
      <c r="A47" s="17" t="s">
        <v>141</v>
      </c>
      <c r="B47" s="18" t="s">
        <v>142</v>
      </c>
      <c r="C47" s="21" t="n">
        <f aca="false">IF($B$5="Yes",E47,D47)</f>
        <v>2</v>
      </c>
      <c r="D47" s="20" t="n">
        <f aca="false">INDEX(Presets!$C$41:$L$41,MATCH($B$4,Presets!$C$1:$L$1,0))</f>
        <v>2</v>
      </c>
      <c r="E47" s="10" t="n">
        <v>2</v>
      </c>
    </row>
    <row r="48" customFormat="false" ht="15" hidden="false" customHeight="true" outlineLevel="0" collapsed="false">
      <c r="A48" s="17" t="s">
        <v>143</v>
      </c>
      <c r="B48" s="18" t="s">
        <v>144</v>
      </c>
      <c r="C48" s="21" t="n">
        <f aca="false">IF($B$5="Yes",E48,D48)</f>
        <v>2</v>
      </c>
      <c r="D48" s="20" t="n">
        <f aca="false">INDEX(Presets!$C$42:$L$42,MATCH($B$4,Presets!$C$1:$L$1,0))</f>
        <v>2</v>
      </c>
      <c r="E48" s="10" t="n">
        <v>2</v>
      </c>
    </row>
    <row r="49" customFormat="false" ht="23.25" hidden="false" customHeight="true" outlineLevel="0" collapsed="false">
      <c r="A49" s="17" t="s">
        <v>145</v>
      </c>
      <c r="B49" s="18" t="s">
        <v>146</v>
      </c>
      <c r="C49" s="21" t="n">
        <f aca="false">IF($B$5="Yes",E49,D49)</f>
        <v>2</v>
      </c>
      <c r="D49" s="20" t="n">
        <f aca="false">INDEX(Presets!$C$43:$L$43,MATCH($B$4,Presets!$C$1:$L$1,0))</f>
        <v>2</v>
      </c>
      <c r="E49" s="10" t="n">
        <v>2</v>
      </c>
    </row>
    <row r="50" customFormat="false" ht="15" hidden="false" customHeight="true" outlineLevel="0" collapsed="false">
      <c r="A50" s="17" t="s">
        <v>147</v>
      </c>
      <c r="B50" s="18" t="s">
        <v>148</v>
      </c>
      <c r="C50" s="21" t="n">
        <f aca="false">IF($B$5="Yes",E50,D50)</f>
        <v>2</v>
      </c>
      <c r="D50" s="20" t="n">
        <f aca="false">INDEX(Presets!$C$44:$L$44,MATCH($B$4,Presets!$C$1:$L$1,0))</f>
        <v>2</v>
      </c>
      <c r="E50" s="10" t="n">
        <v>2</v>
      </c>
    </row>
    <row r="51" customFormat="false" ht="23.25" hidden="false" customHeight="true" outlineLevel="0" collapsed="false">
      <c r="A51" s="17" t="s">
        <v>149</v>
      </c>
      <c r="B51" s="18" t="s">
        <v>150</v>
      </c>
      <c r="C51" s="21" t="n">
        <f aca="false">IF($B$5="Yes",E51,D51)</f>
        <v>2</v>
      </c>
      <c r="D51" s="20" t="n">
        <f aca="false">INDEX(Presets!$C$45:$L$45,MATCH($B$4,Presets!$C$1:$L$1,0))</f>
        <v>2</v>
      </c>
      <c r="E51" s="10" t="n">
        <v>2</v>
      </c>
    </row>
    <row r="52" customFormat="false" ht="23.25" hidden="false" customHeight="true" outlineLevel="0" collapsed="false">
      <c r="A52" s="17" t="s">
        <v>151</v>
      </c>
      <c r="B52" s="18" t="s">
        <v>152</v>
      </c>
      <c r="C52" s="21" t="n">
        <f aca="false">IF($B$5="Yes",E52,D52)</f>
        <v>2</v>
      </c>
      <c r="D52" s="20" t="n">
        <f aca="false">INDEX(Presets!$C$46:$L$46,MATCH($B$4,Presets!$C$1:$L$1,0))</f>
        <v>2</v>
      </c>
      <c r="E52" s="10" t="n">
        <v>2</v>
      </c>
    </row>
    <row r="53" customFormat="false" ht="15" hidden="false" customHeight="true" outlineLevel="0" collapsed="false">
      <c r="A53" s="17" t="s">
        <v>153</v>
      </c>
      <c r="B53" s="18" t="s">
        <v>154</v>
      </c>
      <c r="C53" s="21" t="n">
        <f aca="false">IF($B$5="Yes",E53,D53)</f>
        <v>15</v>
      </c>
      <c r="D53" s="20" t="n">
        <f aca="false">INDEX(Presets!$C$47:$L$47,MATCH($B$4,Presets!$C$1:$L$1,0))</f>
        <v>15</v>
      </c>
      <c r="E53" s="10" t="n">
        <v>15</v>
      </c>
    </row>
    <row r="54" customFormat="false" ht="15" hidden="false" customHeight="true" outlineLevel="0" collapsed="false">
      <c r="A54" s="17" t="s">
        <v>155</v>
      </c>
      <c r="B54" s="18" t="s">
        <v>156</v>
      </c>
      <c r="C54" s="21" t="n">
        <f aca="false">IF($B$5="Yes",E54,D54)</f>
        <v>1</v>
      </c>
      <c r="D54" s="20" t="n">
        <f aca="false">INDEX(Presets!$C$48:$L$48,MATCH($B$4,Presets!$C$1:$L$1,0))</f>
        <v>1</v>
      </c>
      <c r="E54" s="10" t="n">
        <v>1</v>
      </c>
    </row>
    <row r="55" customFormat="false" ht="15" hidden="false" customHeight="true" outlineLevel="0" collapsed="false">
      <c r="A55" s="17" t="s">
        <v>157</v>
      </c>
      <c r="B55" s="18" t="s">
        <v>158</v>
      </c>
      <c r="C55" s="21" t="n">
        <f aca="false">IF($B$5="Yes",E55,D55)</f>
        <v>4</v>
      </c>
      <c r="D55" s="20" t="n">
        <f aca="false">INDEX(Presets!$C$49:$L$49,MATCH($B$4,Presets!$C$1:$L$1,0))</f>
        <v>4</v>
      </c>
      <c r="E55" s="10" t="n">
        <v>4</v>
      </c>
    </row>
    <row r="56" customFormat="false" ht="15" hidden="false" customHeight="true" outlineLevel="0" collapsed="false">
      <c r="A56" s="17" t="s">
        <v>159</v>
      </c>
      <c r="B56" s="18" t="s">
        <v>160</v>
      </c>
      <c r="C56" s="21" t="n">
        <f aca="false">IF($B$5="Yes",E56,D56)</f>
        <v>1</v>
      </c>
      <c r="D56" s="20" t="n">
        <f aca="false">INDEX(Presets!$C$50:$L$50,MATCH($B$4,Presets!$C$1:$L$1,0))</f>
        <v>1</v>
      </c>
      <c r="E56" s="10" t="n">
        <v>1</v>
      </c>
    </row>
    <row r="57" customFormat="false" ht="15" hidden="false" customHeight="true" outlineLevel="0" collapsed="false">
      <c r="A57" s="17" t="s">
        <v>161</v>
      </c>
      <c r="B57" s="18" t="s">
        <v>162</v>
      </c>
      <c r="C57" s="21" t="n">
        <f aca="false">IF($B$5="Yes",E57,D57)</f>
        <v>5</v>
      </c>
      <c r="D57" s="20" t="n">
        <f aca="false">INDEX(Presets!$C$51:$L$51,MATCH($B$4,Presets!$C$1:$L$1,0))</f>
        <v>5</v>
      </c>
      <c r="E57" s="10" t="n">
        <v>5</v>
      </c>
    </row>
    <row r="58" customFormat="false" ht="15" hidden="false" customHeight="true" outlineLevel="0" collapsed="false">
      <c r="A58" s="17" t="s">
        <v>163</v>
      </c>
      <c r="B58" s="18" t="s">
        <v>164</v>
      </c>
      <c r="C58" s="21" t="n">
        <f aca="false">IF($B$5="Yes",E58,D58)</f>
        <v>1</v>
      </c>
      <c r="D58" s="20" t="n">
        <f aca="false">INDEX(Presets!$C$52:$L$52,MATCH($B$4,Presets!$C$1:$L$1,0))</f>
        <v>1</v>
      </c>
      <c r="E58" s="10" t="n">
        <v>1</v>
      </c>
    </row>
    <row r="59" customFormat="false" ht="15" hidden="false" customHeight="true" outlineLevel="0" collapsed="false">
      <c r="A59" s="17" t="s">
        <v>165</v>
      </c>
      <c r="B59" s="18" t="s">
        <v>166</v>
      </c>
      <c r="C59" s="21" t="n">
        <f aca="false">IF($B$5="Yes",E59,D59)</f>
        <v>4</v>
      </c>
      <c r="D59" s="20" t="n">
        <f aca="false">INDEX(Presets!$C$53:$L$53,MATCH($B$4,Presets!$C$1:$L$1,0))</f>
        <v>4</v>
      </c>
      <c r="E59" s="10" t="n">
        <v>4</v>
      </c>
    </row>
    <row r="60" customFormat="false" ht="15" hidden="false" customHeight="true" outlineLevel="0" collapsed="false">
      <c r="A60" s="17" t="s">
        <v>167</v>
      </c>
      <c r="B60" s="18" t="s">
        <v>168</v>
      </c>
      <c r="C60" s="21" t="n">
        <f aca="false">IF($B$5="Yes",E60,D60)</f>
        <v>2</v>
      </c>
      <c r="D60" s="20" t="n">
        <f aca="false">INDEX(Presets!$C$54:$L$54,MATCH($B$4,Presets!$C$1:$L$1,0))</f>
        <v>2</v>
      </c>
      <c r="E60" s="10" t="n">
        <v>2</v>
      </c>
    </row>
    <row r="61" customFormat="false" ht="23.25" hidden="false" customHeight="true" outlineLevel="0" collapsed="false">
      <c r="A61" s="17" t="s">
        <v>169</v>
      </c>
      <c r="B61" s="18" t="s">
        <v>170</v>
      </c>
      <c r="C61" s="21" t="n">
        <f aca="false">IF($B$5="Yes",E61,D61)</f>
        <v>10</v>
      </c>
      <c r="D61" s="20" t="n">
        <f aca="false">INDEX(Presets!$C$55:$L$55,MATCH($B$4,Presets!$C$1:$L$1,0))</f>
        <v>10</v>
      </c>
      <c r="E61" s="10" t="n">
        <v>10</v>
      </c>
    </row>
    <row r="62" customFormat="false" ht="15" hidden="false" customHeight="true" outlineLevel="0" collapsed="false">
      <c r="A62" s="16" t="s">
        <v>171</v>
      </c>
      <c r="B62" s="16"/>
      <c r="C62" s="16"/>
      <c r="D62" s="16"/>
      <c r="E62" s="16"/>
    </row>
    <row r="63" customFormat="false" ht="15" hidden="false" customHeight="true" outlineLevel="0" collapsed="false">
      <c r="A63" s="17" t="s">
        <v>172</v>
      </c>
      <c r="B63" s="18" t="s">
        <v>173</v>
      </c>
      <c r="C63" s="19" t="str">
        <f aca="false">IF($B$5="Yes",E63,D63)</f>
        <v>Yes</v>
      </c>
      <c r="D63" s="20" t="str">
        <f aca="false">INDEX(Presets!$C$57:$L$57,MATCH($B$4,Presets!$C$1:$L$1,0))</f>
        <v>Yes</v>
      </c>
      <c r="E63" s="10" t="s">
        <v>69</v>
      </c>
    </row>
    <row r="64" customFormat="false" ht="15" hidden="false" customHeight="true" outlineLevel="0" collapsed="false">
      <c r="A64" s="17" t="s">
        <v>174</v>
      </c>
      <c r="B64" s="18" t="s">
        <v>175</v>
      </c>
      <c r="C64" s="19" t="str">
        <f aca="false">IF($B$5="Yes",E64,D64)</f>
        <v>Yes</v>
      </c>
      <c r="D64" s="20" t="str">
        <f aca="false">INDEX(Presets!$C$58:$L$58,MATCH($B$4,Presets!$C$1:$L$1,0))</f>
        <v>Yes</v>
      </c>
      <c r="E64" s="10" t="s">
        <v>69</v>
      </c>
    </row>
    <row r="65" customFormat="false" ht="15" hidden="false" customHeight="true" outlineLevel="0" collapsed="false">
      <c r="A65" s="17" t="s">
        <v>176</v>
      </c>
      <c r="B65" s="18" t="s">
        <v>177</v>
      </c>
      <c r="C65" s="19" t="str">
        <f aca="false">IF($B$5="Yes",E65,D65)</f>
        <v>Yes</v>
      </c>
      <c r="D65" s="20" t="str">
        <f aca="false">INDEX(Presets!$C$59:$L$59,MATCH($B$4,Presets!$C$1:$L$1,0))</f>
        <v>Yes</v>
      </c>
      <c r="E65" s="10" t="s">
        <v>69</v>
      </c>
    </row>
    <row r="66" customFormat="false" ht="15" hidden="false" customHeight="true" outlineLevel="0" collapsed="false">
      <c r="A66" s="17" t="s">
        <v>178</v>
      </c>
      <c r="B66" s="18" t="s">
        <v>179</v>
      </c>
      <c r="C66" s="19" t="str">
        <f aca="false">IF($B$5="Yes",E66,D66)</f>
        <v>Yes</v>
      </c>
      <c r="D66" s="20" t="str">
        <f aca="false">INDEX(Presets!$C$60:$L$60,MATCH($B$4,Presets!$C$1:$L$1,0))</f>
        <v>Yes</v>
      </c>
      <c r="E66" s="10" t="s">
        <v>69</v>
      </c>
    </row>
    <row r="67" customFormat="false" ht="15" hidden="false" customHeight="true" outlineLevel="0" collapsed="false">
      <c r="A67" s="17" t="s">
        <v>180</v>
      </c>
      <c r="B67" s="18" t="s">
        <v>181</v>
      </c>
      <c r="C67" s="19" t="str">
        <f aca="false">IF($B$5="Yes",E67,D67)</f>
        <v>Yes</v>
      </c>
      <c r="D67" s="20" t="str">
        <f aca="false">INDEX(Presets!$C$61:$L$61,MATCH($B$4,Presets!$C$1:$L$1,0))</f>
        <v>Yes</v>
      </c>
      <c r="E67" s="10" t="s">
        <v>69</v>
      </c>
    </row>
  </sheetData>
  <mergeCells count="10">
    <mergeCell ref="A1:G1"/>
    <mergeCell ref="A2:G2"/>
    <mergeCell ref="B4:D4"/>
    <mergeCell ref="E4:H4"/>
    <mergeCell ref="B5:D5"/>
    <mergeCell ref="E5:H5"/>
    <mergeCell ref="B6:H6"/>
    <mergeCell ref="A9:E9"/>
    <mergeCell ref="A43:E43"/>
    <mergeCell ref="A62:E62"/>
  </mergeCells>
  <conditionalFormatting sqref="C10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conditionalFormatting sqref="C11">
    <cfRule type="cellIs" priority="4" operator="equal" aboveAverage="0" equalAverage="0" bottom="0" percent="0" rank="0" text="" dxfId="0">
      <formula>"Yes"</formula>
    </cfRule>
    <cfRule type="cellIs" priority="5" operator="equal" aboveAverage="0" equalAverage="0" bottom="0" percent="0" rank="0" text="" dxfId="1">
      <formula>"No"</formula>
    </cfRule>
  </conditionalFormatting>
  <conditionalFormatting sqref="C12">
    <cfRule type="cellIs" priority="6" operator="equal" aboveAverage="0" equalAverage="0" bottom="0" percent="0" rank="0" text="" dxfId="0">
      <formula>"Yes"</formula>
    </cfRule>
    <cfRule type="cellIs" priority="7" operator="equal" aboveAverage="0" equalAverage="0" bottom="0" percent="0" rank="0" text="" dxfId="1">
      <formula>"No"</formula>
    </cfRule>
  </conditionalFormatting>
  <conditionalFormatting sqref="C13">
    <cfRule type="cellIs" priority="8" operator="equal" aboveAverage="0" equalAverage="0" bottom="0" percent="0" rank="0" text="" dxfId="0">
      <formula>"Yes"</formula>
    </cfRule>
    <cfRule type="cellIs" priority="9" operator="equal" aboveAverage="0" equalAverage="0" bottom="0" percent="0" rank="0" text="" dxfId="1">
      <formula>"No"</formula>
    </cfRule>
  </conditionalFormatting>
  <conditionalFormatting sqref="C14">
    <cfRule type="cellIs" priority="10" operator="equal" aboveAverage="0" equalAverage="0" bottom="0" percent="0" rank="0" text="" dxfId="0">
      <formula>"Yes"</formula>
    </cfRule>
    <cfRule type="cellIs" priority="11" operator="equal" aboveAverage="0" equalAverage="0" bottom="0" percent="0" rank="0" text="" dxfId="1">
      <formula>"No"</formula>
    </cfRule>
  </conditionalFormatting>
  <conditionalFormatting sqref="C15">
    <cfRule type="cellIs" priority="12" operator="equal" aboveAverage="0" equalAverage="0" bottom="0" percent="0" rank="0" text="" dxfId="0">
      <formula>"Yes"</formula>
    </cfRule>
    <cfRule type="cellIs" priority="13" operator="equal" aboveAverage="0" equalAverage="0" bottom="0" percent="0" rank="0" text="" dxfId="1">
      <formula>"No"</formula>
    </cfRule>
  </conditionalFormatting>
  <conditionalFormatting sqref="C16">
    <cfRule type="cellIs" priority="14" operator="equal" aboveAverage="0" equalAverage="0" bottom="0" percent="0" rank="0" text="" dxfId="0">
      <formula>"Yes"</formula>
    </cfRule>
    <cfRule type="cellIs" priority="15" operator="equal" aboveAverage="0" equalAverage="0" bottom="0" percent="0" rank="0" text="" dxfId="1">
      <formula>"No"</formula>
    </cfRule>
  </conditionalFormatting>
  <conditionalFormatting sqref="C17">
    <cfRule type="cellIs" priority="16" operator="equal" aboveAverage="0" equalAverage="0" bottom="0" percent="0" rank="0" text="" dxfId="0">
      <formula>"Yes"</formula>
    </cfRule>
    <cfRule type="cellIs" priority="17" operator="equal" aboveAverage="0" equalAverage="0" bottom="0" percent="0" rank="0" text="" dxfId="1">
      <formula>"No"</formula>
    </cfRule>
  </conditionalFormatting>
  <conditionalFormatting sqref="C18">
    <cfRule type="cellIs" priority="18" operator="equal" aboveAverage="0" equalAverage="0" bottom="0" percent="0" rank="0" text="" dxfId="0">
      <formula>"Yes"</formula>
    </cfRule>
    <cfRule type="cellIs" priority="19" operator="equal" aboveAverage="0" equalAverage="0" bottom="0" percent="0" rank="0" text="" dxfId="1">
      <formula>"No"</formula>
    </cfRule>
  </conditionalFormatting>
  <conditionalFormatting sqref="C19">
    <cfRule type="cellIs" priority="20" operator="equal" aboveAverage="0" equalAverage="0" bottom="0" percent="0" rank="0" text="" dxfId="0">
      <formula>"Yes"</formula>
    </cfRule>
    <cfRule type="cellIs" priority="21" operator="equal" aboveAverage="0" equalAverage="0" bottom="0" percent="0" rank="0" text="" dxfId="1">
      <formula>"No"</formula>
    </cfRule>
  </conditionalFormatting>
  <conditionalFormatting sqref="C20">
    <cfRule type="cellIs" priority="22" operator="equal" aboveAverage="0" equalAverage="0" bottom="0" percent="0" rank="0" text="" dxfId="0">
      <formula>"Yes"</formula>
    </cfRule>
    <cfRule type="cellIs" priority="23" operator="equal" aboveAverage="0" equalAverage="0" bottom="0" percent="0" rank="0" text="" dxfId="1">
      <formula>"No"</formula>
    </cfRule>
  </conditionalFormatting>
  <conditionalFormatting sqref="C21">
    <cfRule type="cellIs" priority="24" operator="equal" aboveAverage="0" equalAverage="0" bottom="0" percent="0" rank="0" text="" dxfId="0">
      <formula>"Yes"</formula>
    </cfRule>
    <cfRule type="cellIs" priority="25" operator="equal" aboveAverage="0" equalAverage="0" bottom="0" percent="0" rank="0" text="" dxfId="1">
      <formula>"No"</formula>
    </cfRule>
  </conditionalFormatting>
  <conditionalFormatting sqref="C22">
    <cfRule type="cellIs" priority="26" operator="equal" aboveAverage="0" equalAverage="0" bottom="0" percent="0" rank="0" text="" dxfId="0">
      <formula>"Yes"</formula>
    </cfRule>
    <cfRule type="cellIs" priority="27" operator="equal" aboveAverage="0" equalAverage="0" bottom="0" percent="0" rank="0" text="" dxfId="1">
      <formula>"No"</formula>
    </cfRule>
  </conditionalFormatting>
  <conditionalFormatting sqref="C23">
    <cfRule type="cellIs" priority="28" operator="equal" aboveAverage="0" equalAverage="0" bottom="0" percent="0" rank="0" text="" dxfId="0">
      <formula>"Yes"</formula>
    </cfRule>
    <cfRule type="cellIs" priority="29" operator="equal" aboveAverage="0" equalAverage="0" bottom="0" percent="0" rank="0" text="" dxfId="1">
      <formula>"No"</formula>
    </cfRule>
  </conditionalFormatting>
  <conditionalFormatting sqref="C24">
    <cfRule type="cellIs" priority="30" operator="equal" aboveAverage="0" equalAverage="0" bottom="0" percent="0" rank="0" text="" dxfId="0">
      <formula>"Yes"</formula>
    </cfRule>
    <cfRule type="cellIs" priority="31" operator="equal" aboveAverage="0" equalAverage="0" bottom="0" percent="0" rank="0" text="" dxfId="1">
      <formula>"No"</formula>
    </cfRule>
  </conditionalFormatting>
  <conditionalFormatting sqref="C25">
    <cfRule type="cellIs" priority="32" operator="equal" aboveAverage="0" equalAverage="0" bottom="0" percent="0" rank="0" text="" dxfId="0">
      <formula>"Yes"</formula>
    </cfRule>
    <cfRule type="cellIs" priority="33" operator="equal" aboveAverage="0" equalAverage="0" bottom="0" percent="0" rank="0" text="" dxfId="1">
      <formula>"No"</formula>
    </cfRule>
  </conditionalFormatting>
  <conditionalFormatting sqref="C26">
    <cfRule type="cellIs" priority="34" operator="equal" aboveAverage="0" equalAverage="0" bottom="0" percent="0" rank="0" text="" dxfId="0">
      <formula>"Yes"</formula>
    </cfRule>
    <cfRule type="cellIs" priority="35" operator="equal" aboveAverage="0" equalAverage="0" bottom="0" percent="0" rank="0" text="" dxfId="1">
      <formula>"No"</formula>
    </cfRule>
  </conditionalFormatting>
  <conditionalFormatting sqref="C27">
    <cfRule type="cellIs" priority="36" operator="equal" aboveAverage="0" equalAverage="0" bottom="0" percent="0" rank="0" text="" dxfId="0">
      <formula>"Yes"</formula>
    </cfRule>
    <cfRule type="cellIs" priority="37" operator="equal" aboveAverage="0" equalAverage="0" bottom="0" percent="0" rank="0" text="" dxfId="1">
      <formula>"No"</formula>
    </cfRule>
  </conditionalFormatting>
  <conditionalFormatting sqref="C28">
    <cfRule type="cellIs" priority="38" operator="equal" aboveAverage="0" equalAverage="0" bottom="0" percent="0" rank="0" text="" dxfId="0">
      <formula>"Yes"</formula>
    </cfRule>
    <cfRule type="cellIs" priority="39" operator="equal" aboveAverage="0" equalAverage="0" bottom="0" percent="0" rank="0" text="" dxfId="1">
      <formula>"No"</formula>
    </cfRule>
  </conditionalFormatting>
  <conditionalFormatting sqref="C29">
    <cfRule type="cellIs" priority="40" operator="equal" aboveAverage="0" equalAverage="0" bottom="0" percent="0" rank="0" text="" dxfId="0">
      <formula>"Yes"</formula>
    </cfRule>
    <cfRule type="cellIs" priority="41" operator="equal" aboveAverage="0" equalAverage="0" bottom="0" percent="0" rank="0" text="" dxfId="1">
      <formula>"No"</formula>
    </cfRule>
  </conditionalFormatting>
  <conditionalFormatting sqref="C30">
    <cfRule type="cellIs" priority="42" operator="equal" aboveAverage="0" equalAverage="0" bottom="0" percent="0" rank="0" text="" dxfId="0">
      <formula>"Yes"</formula>
    </cfRule>
    <cfRule type="cellIs" priority="43" operator="equal" aboveAverage="0" equalAverage="0" bottom="0" percent="0" rank="0" text="" dxfId="1">
      <formula>"No"</formula>
    </cfRule>
  </conditionalFormatting>
  <conditionalFormatting sqref="C31">
    <cfRule type="cellIs" priority="44" operator="equal" aboveAverage="0" equalAverage="0" bottom="0" percent="0" rank="0" text="" dxfId="0">
      <formula>"Yes"</formula>
    </cfRule>
    <cfRule type="cellIs" priority="45" operator="equal" aboveAverage="0" equalAverage="0" bottom="0" percent="0" rank="0" text="" dxfId="1">
      <formula>"No"</formula>
    </cfRule>
  </conditionalFormatting>
  <conditionalFormatting sqref="C32">
    <cfRule type="cellIs" priority="46" operator="equal" aboveAverage="0" equalAverage="0" bottom="0" percent="0" rank="0" text="" dxfId="0">
      <formula>"Yes"</formula>
    </cfRule>
    <cfRule type="cellIs" priority="47" operator="equal" aboveAverage="0" equalAverage="0" bottom="0" percent="0" rank="0" text="" dxfId="1">
      <formula>"No"</formula>
    </cfRule>
  </conditionalFormatting>
  <conditionalFormatting sqref="C33">
    <cfRule type="cellIs" priority="48" operator="equal" aboveAverage="0" equalAverage="0" bottom="0" percent="0" rank="0" text="" dxfId="0">
      <formula>"Yes"</formula>
    </cfRule>
    <cfRule type="cellIs" priority="49" operator="equal" aboveAverage="0" equalAverage="0" bottom="0" percent="0" rank="0" text="" dxfId="1">
      <formula>"No"</formula>
    </cfRule>
  </conditionalFormatting>
  <conditionalFormatting sqref="C34">
    <cfRule type="cellIs" priority="50" operator="equal" aboveAverage="0" equalAverage="0" bottom="0" percent="0" rank="0" text="" dxfId="0">
      <formula>"Yes"</formula>
    </cfRule>
    <cfRule type="cellIs" priority="51" operator="equal" aboveAverage="0" equalAverage="0" bottom="0" percent="0" rank="0" text="" dxfId="1">
      <formula>"No"</formula>
    </cfRule>
  </conditionalFormatting>
  <conditionalFormatting sqref="C35">
    <cfRule type="cellIs" priority="52" operator="equal" aboveAverage="0" equalAverage="0" bottom="0" percent="0" rank="0" text="" dxfId="0">
      <formula>"Yes"</formula>
    </cfRule>
    <cfRule type="cellIs" priority="53" operator="equal" aboveAverage="0" equalAverage="0" bottom="0" percent="0" rank="0" text="" dxfId="1">
      <formula>"No"</formula>
    </cfRule>
  </conditionalFormatting>
  <conditionalFormatting sqref="C36">
    <cfRule type="cellIs" priority="54" operator="equal" aboveAverage="0" equalAverage="0" bottom="0" percent="0" rank="0" text="" dxfId="0">
      <formula>"Yes"</formula>
    </cfRule>
    <cfRule type="cellIs" priority="55" operator="equal" aboveAverage="0" equalAverage="0" bottom="0" percent="0" rank="0" text="" dxfId="1">
      <formula>"No"</formula>
    </cfRule>
  </conditionalFormatting>
  <conditionalFormatting sqref="C37">
    <cfRule type="cellIs" priority="56" operator="equal" aboveAverage="0" equalAverage="0" bottom="0" percent="0" rank="0" text="" dxfId="0">
      <formula>"Yes"</formula>
    </cfRule>
    <cfRule type="cellIs" priority="57" operator="equal" aboveAverage="0" equalAverage="0" bottom="0" percent="0" rank="0" text="" dxfId="1">
      <formula>"No"</formula>
    </cfRule>
  </conditionalFormatting>
  <conditionalFormatting sqref="C38">
    <cfRule type="cellIs" priority="58" operator="equal" aboveAverage="0" equalAverage="0" bottom="0" percent="0" rank="0" text="" dxfId="0">
      <formula>"Yes"</formula>
    </cfRule>
    <cfRule type="cellIs" priority="59" operator="equal" aboveAverage="0" equalAverage="0" bottom="0" percent="0" rank="0" text="" dxfId="1">
      <formula>"No"</formula>
    </cfRule>
  </conditionalFormatting>
  <conditionalFormatting sqref="C39">
    <cfRule type="cellIs" priority="60" operator="equal" aboveAverage="0" equalAverage="0" bottom="0" percent="0" rank="0" text="" dxfId="0">
      <formula>"Yes"</formula>
    </cfRule>
    <cfRule type="cellIs" priority="61" operator="equal" aboveAverage="0" equalAverage="0" bottom="0" percent="0" rank="0" text="" dxfId="1">
      <formula>"No"</formula>
    </cfRule>
  </conditionalFormatting>
  <conditionalFormatting sqref="C40">
    <cfRule type="cellIs" priority="62" operator="equal" aboveAverage="0" equalAverage="0" bottom="0" percent="0" rank="0" text="" dxfId="0">
      <formula>"Yes"</formula>
    </cfRule>
    <cfRule type="cellIs" priority="63" operator="equal" aboveAverage="0" equalAverage="0" bottom="0" percent="0" rank="0" text="" dxfId="1">
      <formula>"No"</formula>
    </cfRule>
  </conditionalFormatting>
  <conditionalFormatting sqref="C41">
    <cfRule type="cellIs" priority="64" operator="equal" aboveAverage="0" equalAverage="0" bottom="0" percent="0" rank="0" text="" dxfId="0">
      <formula>"Yes"</formula>
    </cfRule>
    <cfRule type="cellIs" priority="65" operator="equal" aboveAverage="0" equalAverage="0" bottom="0" percent="0" rank="0" text="" dxfId="1">
      <formula>"No"</formula>
    </cfRule>
  </conditionalFormatting>
  <conditionalFormatting sqref="C42">
    <cfRule type="cellIs" priority="66" operator="equal" aboveAverage="0" equalAverage="0" bottom="0" percent="0" rank="0" text="" dxfId="0">
      <formula>"Yes"</formula>
    </cfRule>
    <cfRule type="cellIs" priority="67" operator="equal" aboveAverage="0" equalAverage="0" bottom="0" percent="0" rank="0" text="" dxfId="1">
      <formula>"No"</formula>
    </cfRule>
  </conditionalFormatting>
  <conditionalFormatting sqref="C63">
    <cfRule type="cellIs" priority="68" operator="equal" aboveAverage="0" equalAverage="0" bottom="0" percent="0" rank="0" text="" dxfId="0">
      <formula>"Yes"</formula>
    </cfRule>
    <cfRule type="cellIs" priority="69" operator="equal" aboveAverage="0" equalAverage="0" bottom="0" percent="0" rank="0" text="" dxfId="1">
      <formula>"No"</formula>
    </cfRule>
  </conditionalFormatting>
  <conditionalFormatting sqref="C64">
    <cfRule type="cellIs" priority="70" operator="equal" aboveAverage="0" equalAverage="0" bottom="0" percent="0" rank="0" text="" dxfId="0">
      <formula>"Yes"</formula>
    </cfRule>
    <cfRule type="cellIs" priority="71" operator="equal" aboveAverage="0" equalAverage="0" bottom="0" percent="0" rank="0" text="" dxfId="1">
      <formula>"No"</formula>
    </cfRule>
  </conditionalFormatting>
  <conditionalFormatting sqref="C65">
    <cfRule type="cellIs" priority="72" operator="equal" aboveAverage="0" equalAverage="0" bottom="0" percent="0" rank="0" text="" dxfId="0">
      <formula>"Yes"</formula>
    </cfRule>
    <cfRule type="cellIs" priority="73" operator="equal" aboveAverage="0" equalAverage="0" bottom="0" percent="0" rank="0" text="" dxfId="1">
      <formula>"No"</formula>
    </cfRule>
  </conditionalFormatting>
  <conditionalFormatting sqref="C66">
    <cfRule type="cellIs" priority="74" operator="equal" aboveAverage="0" equalAverage="0" bottom="0" percent="0" rank="0" text="" dxfId="0">
      <formula>"Yes"</formula>
    </cfRule>
    <cfRule type="cellIs" priority="75" operator="equal" aboveAverage="0" equalAverage="0" bottom="0" percent="0" rank="0" text="" dxfId="1">
      <formula>"No"</formula>
    </cfRule>
  </conditionalFormatting>
  <conditionalFormatting sqref="C67">
    <cfRule type="cellIs" priority="76" operator="equal" aboveAverage="0" equalAverage="0" bottom="0" percent="0" rank="0" text="" dxfId="0">
      <formula>"Yes"</formula>
    </cfRule>
    <cfRule type="cellIs" priority="77" operator="equal" aboveAverage="0" equalAverage="0" bottom="0" percent="0" rank="0" text="" dxfId="1">
      <formula>"No"</formula>
    </cfRule>
  </conditionalFormatting>
  <dataValidations count="3">
    <dataValidation allowBlank="false" errorStyle="stop" operator="between" showDropDown="false" showErrorMessage="false" showInputMessage="false" sqref="B4" type="list">
      <formula1>Presets!$C$1:$L$1</formula1>
      <formula2>0</formula2>
    </dataValidation>
    <dataValidation allowBlank="false" errorStyle="stop" operator="between" showDropDown="false" showErrorMessage="false" showInputMessage="false" sqref="B5" type="list">
      <formula1>"Yes,No"</formula1>
      <formula2>0</formula2>
    </dataValidation>
    <dataValidation allowBlank="false" errorStyle="stop" operator="between" showDropDown="false" showErrorMessage="false" showInputMessage="false" sqref="E10:E42 E63:E6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8"/>
    <col collapsed="false" customWidth="true" hidden="false" outlineLevel="0" max="12" min="3" style="1" width="18"/>
  </cols>
  <sheetData>
    <row r="1" customFormat="false" ht="31.5" hidden="false" customHeight="true" outlineLevel="0" collapsed="false">
      <c r="A1" s="22" t="s">
        <v>61</v>
      </c>
      <c r="B1" s="22" t="s">
        <v>62</v>
      </c>
      <c r="C1" s="22" t="s">
        <v>55</v>
      </c>
      <c r="D1" s="22" t="s">
        <v>182</v>
      </c>
      <c r="E1" s="22" t="s">
        <v>183</v>
      </c>
      <c r="F1" s="22" t="s">
        <v>184</v>
      </c>
      <c r="G1" s="22" t="s">
        <v>185</v>
      </c>
      <c r="H1" s="22" t="s">
        <v>186</v>
      </c>
      <c r="I1" s="22" t="s">
        <v>187</v>
      </c>
      <c r="J1" s="22" t="s">
        <v>188</v>
      </c>
      <c r="K1" s="22" t="s">
        <v>189</v>
      </c>
      <c r="L1" s="22" t="s">
        <v>190</v>
      </c>
    </row>
    <row r="2" customFormat="false" ht="48" hidden="false" customHeight="true" outlineLevel="0" collapsed="false">
      <c r="A2" s="23" t="s">
        <v>191</v>
      </c>
      <c r="B2" s="24" t="s">
        <v>192</v>
      </c>
      <c r="C2" s="25" t="s">
        <v>193</v>
      </c>
      <c r="D2" s="25" t="s">
        <v>194</v>
      </c>
      <c r="E2" s="25" t="s">
        <v>195</v>
      </c>
      <c r="F2" s="25" t="s">
        <v>196</v>
      </c>
      <c r="G2" s="25" t="s">
        <v>197</v>
      </c>
      <c r="H2" s="25" t="s">
        <v>198</v>
      </c>
      <c r="I2" s="25" t="s">
        <v>199</v>
      </c>
      <c r="J2" s="25" t="s">
        <v>199</v>
      </c>
      <c r="K2" s="25" t="s">
        <v>199</v>
      </c>
      <c r="L2" s="25" t="s">
        <v>199</v>
      </c>
    </row>
    <row r="3" customFormat="false" ht="15" hidden="false" customHeight="true" outlineLevel="0" collapsed="false">
      <c r="A3" s="26" t="s">
        <v>200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customFormat="false" ht="15" hidden="false" customHeight="true" outlineLevel="0" collapsed="false">
      <c r="A4" s="23" t="s">
        <v>67</v>
      </c>
      <c r="B4" s="18" t="s">
        <v>68</v>
      </c>
      <c r="C4" s="27" t="s">
        <v>69</v>
      </c>
      <c r="D4" s="27" t="s">
        <v>58</v>
      </c>
      <c r="E4" s="27" t="s">
        <v>69</v>
      </c>
      <c r="F4" s="27" t="s">
        <v>69</v>
      </c>
      <c r="G4" s="27" t="s">
        <v>58</v>
      </c>
      <c r="H4" s="27" t="s">
        <v>69</v>
      </c>
      <c r="I4" s="27" t="s">
        <v>69</v>
      </c>
      <c r="J4" s="27" t="s">
        <v>69</v>
      </c>
      <c r="K4" s="27" t="s">
        <v>69</v>
      </c>
      <c r="L4" s="27" t="s">
        <v>69</v>
      </c>
    </row>
    <row r="5" customFormat="false" ht="15" hidden="false" customHeight="true" outlineLevel="0" collapsed="false">
      <c r="A5" s="23" t="s">
        <v>70</v>
      </c>
      <c r="B5" s="18" t="s">
        <v>71</v>
      </c>
      <c r="C5" s="27" t="s">
        <v>69</v>
      </c>
      <c r="D5" s="27" t="s">
        <v>69</v>
      </c>
      <c r="E5" s="27" t="s">
        <v>58</v>
      </c>
      <c r="F5" s="27" t="s">
        <v>58</v>
      </c>
      <c r="G5" s="27" t="s">
        <v>69</v>
      </c>
      <c r="H5" s="27" t="s">
        <v>58</v>
      </c>
      <c r="I5" s="27" t="s">
        <v>69</v>
      </c>
      <c r="J5" s="27" t="s">
        <v>69</v>
      </c>
      <c r="K5" s="27" t="s">
        <v>69</v>
      </c>
      <c r="L5" s="27" t="s">
        <v>69</v>
      </c>
    </row>
    <row r="6" customFormat="false" ht="15" hidden="false" customHeight="true" outlineLevel="0" collapsed="false">
      <c r="A6" s="23" t="s">
        <v>72</v>
      </c>
      <c r="B6" s="18" t="s">
        <v>73</v>
      </c>
      <c r="C6" s="27" t="s">
        <v>69</v>
      </c>
      <c r="D6" s="27" t="s">
        <v>58</v>
      </c>
      <c r="E6" s="27" t="s">
        <v>69</v>
      </c>
      <c r="F6" s="27" t="s">
        <v>58</v>
      </c>
      <c r="G6" s="27" t="s">
        <v>58</v>
      </c>
      <c r="H6" s="27" t="s">
        <v>69</v>
      </c>
      <c r="I6" s="27" t="s">
        <v>69</v>
      </c>
      <c r="J6" s="27" t="s">
        <v>69</v>
      </c>
      <c r="K6" s="27" t="s">
        <v>69</v>
      </c>
      <c r="L6" s="27" t="s">
        <v>69</v>
      </c>
    </row>
    <row r="7" customFormat="false" ht="15" hidden="false" customHeight="true" outlineLevel="0" collapsed="false">
      <c r="A7" s="23" t="s">
        <v>74</v>
      </c>
      <c r="B7" s="18" t="s">
        <v>75</v>
      </c>
      <c r="C7" s="27" t="s">
        <v>69</v>
      </c>
      <c r="D7" s="27" t="s">
        <v>58</v>
      </c>
      <c r="E7" s="27" t="s">
        <v>69</v>
      </c>
      <c r="F7" s="27" t="s">
        <v>69</v>
      </c>
      <c r="G7" s="27" t="s">
        <v>58</v>
      </c>
      <c r="H7" s="27" t="s">
        <v>69</v>
      </c>
      <c r="I7" s="27" t="s">
        <v>69</v>
      </c>
      <c r="J7" s="27" t="s">
        <v>69</v>
      </c>
      <c r="K7" s="27" t="s">
        <v>69</v>
      </c>
      <c r="L7" s="27" t="s">
        <v>69</v>
      </c>
    </row>
    <row r="8" customFormat="false" ht="15" hidden="false" customHeight="true" outlineLevel="0" collapsed="false">
      <c r="A8" s="23" t="s">
        <v>76</v>
      </c>
      <c r="B8" s="18" t="s">
        <v>77</v>
      </c>
      <c r="C8" s="27" t="s">
        <v>69</v>
      </c>
      <c r="D8" s="27" t="s">
        <v>69</v>
      </c>
      <c r="E8" s="27" t="s">
        <v>69</v>
      </c>
      <c r="F8" s="27" t="s">
        <v>58</v>
      </c>
      <c r="G8" s="27" t="s">
        <v>58</v>
      </c>
      <c r="H8" s="27" t="s">
        <v>69</v>
      </c>
      <c r="I8" s="27" t="s">
        <v>69</v>
      </c>
      <c r="J8" s="27" t="s">
        <v>69</v>
      </c>
      <c r="K8" s="27" t="s">
        <v>69</v>
      </c>
      <c r="L8" s="27" t="s">
        <v>69</v>
      </c>
    </row>
    <row r="9" customFormat="false" ht="15" hidden="false" customHeight="true" outlineLevel="0" collapsed="false">
      <c r="A9" s="23" t="s">
        <v>78</v>
      </c>
      <c r="B9" s="18" t="s">
        <v>79</v>
      </c>
      <c r="C9" s="27" t="s">
        <v>69</v>
      </c>
      <c r="D9" s="27" t="s">
        <v>58</v>
      </c>
      <c r="E9" s="27" t="s">
        <v>69</v>
      </c>
      <c r="F9" s="27" t="s">
        <v>58</v>
      </c>
      <c r="G9" s="27" t="s">
        <v>58</v>
      </c>
      <c r="H9" s="27" t="s">
        <v>69</v>
      </c>
      <c r="I9" s="27" t="s">
        <v>69</v>
      </c>
      <c r="J9" s="27" t="s">
        <v>69</v>
      </c>
      <c r="K9" s="27" t="s">
        <v>69</v>
      </c>
      <c r="L9" s="27" t="s">
        <v>69</v>
      </c>
    </row>
    <row r="10" customFormat="false" ht="15" hidden="false" customHeight="true" outlineLevel="0" collapsed="false">
      <c r="A10" s="23" t="s">
        <v>80</v>
      </c>
      <c r="B10" s="18" t="s">
        <v>81</v>
      </c>
      <c r="C10" s="27" t="s">
        <v>69</v>
      </c>
      <c r="D10" s="27" t="s">
        <v>58</v>
      </c>
      <c r="E10" s="27" t="s">
        <v>69</v>
      </c>
      <c r="F10" s="27" t="s">
        <v>58</v>
      </c>
      <c r="G10" s="27" t="s">
        <v>58</v>
      </c>
      <c r="H10" s="27" t="s">
        <v>69</v>
      </c>
      <c r="I10" s="27" t="s">
        <v>69</v>
      </c>
      <c r="J10" s="27" t="s">
        <v>69</v>
      </c>
      <c r="K10" s="27" t="s">
        <v>69</v>
      </c>
      <c r="L10" s="27" t="s">
        <v>69</v>
      </c>
    </row>
    <row r="11" customFormat="false" ht="15" hidden="false" customHeight="true" outlineLevel="0" collapsed="false">
      <c r="A11" s="23" t="s">
        <v>82</v>
      </c>
      <c r="B11" s="18" t="s">
        <v>83</v>
      </c>
      <c r="C11" s="27" t="s">
        <v>69</v>
      </c>
      <c r="D11" s="27" t="s">
        <v>58</v>
      </c>
      <c r="E11" s="27" t="s">
        <v>69</v>
      </c>
      <c r="F11" s="27" t="s">
        <v>58</v>
      </c>
      <c r="G11" s="27" t="s">
        <v>58</v>
      </c>
      <c r="H11" s="27" t="s">
        <v>58</v>
      </c>
      <c r="I11" s="27" t="s">
        <v>69</v>
      </c>
      <c r="J11" s="27" t="s">
        <v>69</v>
      </c>
      <c r="K11" s="27" t="s">
        <v>69</v>
      </c>
      <c r="L11" s="27" t="s">
        <v>69</v>
      </c>
    </row>
    <row r="12" customFormat="false" ht="15" hidden="false" customHeight="true" outlineLevel="0" collapsed="false">
      <c r="A12" s="23" t="s">
        <v>84</v>
      </c>
      <c r="B12" s="18" t="s">
        <v>85</v>
      </c>
      <c r="C12" s="27" t="s">
        <v>69</v>
      </c>
      <c r="D12" s="27" t="s">
        <v>69</v>
      </c>
      <c r="E12" s="27" t="s">
        <v>69</v>
      </c>
      <c r="F12" s="27" t="s">
        <v>58</v>
      </c>
      <c r="G12" s="27" t="s">
        <v>69</v>
      </c>
      <c r="H12" s="27" t="s">
        <v>58</v>
      </c>
      <c r="I12" s="27" t="s">
        <v>69</v>
      </c>
      <c r="J12" s="27" t="s">
        <v>69</v>
      </c>
      <c r="K12" s="27" t="s">
        <v>69</v>
      </c>
      <c r="L12" s="27" t="s">
        <v>69</v>
      </c>
    </row>
    <row r="13" customFormat="false" ht="15" hidden="false" customHeight="true" outlineLevel="0" collapsed="false">
      <c r="A13" s="23" t="s">
        <v>86</v>
      </c>
      <c r="B13" s="18" t="s">
        <v>87</v>
      </c>
      <c r="C13" s="27" t="s">
        <v>69</v>
      </c>
      <c r="D13" s="27" t="s">
        <v>58</v>
      </c>
      <c r="E13" s="27" t="s">
        <v>58</v>
      </c>
      <c r="F13" s="27" t="s">
        <v>69</v>
      </c>
      <c r="G13" s="27" t="s">
        <v>69</v>
      </c>
      <c r="H13" s="27" t="s">
        <v>69</v>
      </c>
      <c r="I13" s="27" t="s">
        <v>69</v>
      </c>
      <c r="J13" s="27" t="s">
        <v>69</v>
      </c>
      <c r="K13" s="27" t="s">
        <v>69</v>
      </c>
      <c r="L13" s="27" t="s">
        <v>69</v>
      </c>
    </row>
    <row r="14" customFormat="false" ht="15" hidden="false" customHeight="true" outlineLevel="0" collapsed="false">
      <c r="A14" s="23" t="s">
        <v>88</v>
      </c>
      <c r="B14" s="18" t="s">
        <v>89</v>
      </c>
      <c r="C14" s="27" t="s">
        <v>69</v>
      </c>
      <c r="D14" s="27" t="s">
        <v>69</v>
      </c>
      <c r="E14" s="27" t="s">
        <v>58</v>
      </c>
      <c r="F14" s="27" t="s">
        <v>69</v>
      </c>
      <c r="G14" s="27" t="s">
        <v>58</v>
      </c>
      <c r="H14" s="27" t="s">
        <v>58</v>
      </c>
      <c r="I14" s="27" t="s">
        <v>69</v>
      </c>
      <c r="J14" s="27" t="s">
        <v>69</v>
      </c>
      <c r="K14" s="27" t="s">
        <v>69</v>
      </c>
      <c r="L14" s="27" t="s">
        <v>69</v>
      </c>
    </row>
    <row r="15" customFormat="false" ht="15" hidden="false" customHeight="true" outlineLevel="0" collapsed="false">
      <c r="A15" s="23" t="s">
        <v>90</v>
      </c>
      <c r="B15" s="18" t="s">
        <v>91</v>
      </c>
      <c r="C15" s="27" t="s">
        <v>69</v>
      </c>
      <c r="D15" s="27" t="s">
        <v>69</v>
      </c>
      <c r="E15" s="27" t="s">
        <v>58</v>
      </c>
      <c r="F15" s="27" t="s">
        <v>58</v>
      </c>
      <c r="G15" s="27" t="s">
        <v>69</v>
      </c>
      <c r="H15" s="27" t="s">
        <v>58</v>
      </c>
      <c r="I15" s="27" t="s">
        <v>69</v>
      </c>
      <c r="J15" s="27" t="s">
        <v>69</v>
      </c>
      <c r="K15" s="27" t="s">
        <v>69</v>
      </c>
      <c r="L15" s="27" t="s">
        <v>69</v>
      </c>
    </row>
    <row r="16" customFormat="false" ht="15" hidden="false" customHeight="true" outlineLevel="0" collapsed="false">
      <c r="A16" s="23" t="s">
        <v>92</v>
      </c>
      <c r="B16" s="18" t="s">
        <v>93</v>
      </c>
      <c r="C16" s="27" t="s">
        <v>69</v>
      </c>
      <c r="D16" s="27" t="s">
        <v>69</v>
      </c>
      <c r="E16" s="27" t="s">
        <v>69</v>
      </c>
      <c r="F16" s="27" t="s">
        <v>69</v>
      </c>
      <c r="G16" s="27" t="s">
        <v>69</v>
      </c>
      <c r="H16" s="27" t="s">
        <v>69</v>
      </c>
      <c r="I16" s="27" t="s">
        <v>69</v>
      </c>
      <c r="J16" s="27" t="s">
        <v>69</v>
      </c>
      <c r="K16" s="27" t="s">
        <v>69</v>
      </c>
      <c r="L16" s="27" t="s">
        <v>69</v>
      </c>
    </row>
    <row r="17" customFormat="false" ht="15" hidden="false" customHeight="true" outlineLevel="0" collapsed="false">
      <c r="A17" s="23" t="s">
        <v>94</v>
      </c>
      <c r="B17" s="18" t="s">
        <v>95</v>
      </c>
      <c r="C17" s="27" t="s">
        <v>69</v>
      </c>
      <c r="D17" s="27" t="s">
        <v>58</v>
      </c>
      <c r="E17" s="27" t="s">
        <v>69</v>
      </c>
      <c r="F17" s="27" t="s">
        <v>58</v>
      </c>
      <c r="G17" s="27" t="s">
        <v>58</v>
      </c>
      <c r="H17" s="27" t="s">
        <v>69</v>
      </c>
      <c r="I17" s="27" t="s">
        <v>69</v>
      </c>
      <c r="J17" s="27" t="s">
        <v>69</v>
      </c>
      <c r="K17" s="27" t="s">
        <v>69</v>
      </c>
      <c r="L17" s="27" t="s">
        <v>69</v>
      </c>
    </row>
    <row r="18" customFormat="false" ht="15" hidden="false" customHeight="true" outlineLevel="0" collapsed="false">
      <c r="A18" s="23" t="s">
        <v>96</v>
      </c>
      <c r="B18" s="18" t="s">
        <v>97</v>
      </c>
      <c r="C18" s="27" t="s">
        <v>69</v>
      </c>
      <c r="D18" s="27" t="s">
        <v>58</v>
      </c>
      <c r="E18" s="27" t="s">
        <v>58</v>
      </c>
      <c r="F18" s="27" t="s">
        <v>69</v>
      </c>
      <c r="G18" s="27" t="s">
        <v>58</v>
      </c>
      <c r="H18" s="27" t="s">
        <v>58</v>
      </c>
      <c r="I18" s="27" t="s">
        <v>69</v>
      </c>
      <c r="J18" s="27" t="s">
        <v>69</v>
      </c>
      <c r="K18" s="27" t="s">
        <v>69</v>
      </c>
      <c r="L18" s="27" t="s">
        <v>69</v>
      </c>
    </row>
    <row r="19" customFormat="false" ht="15" hidden="false" customHeight="true" outlineLevel="0" collapsed="false">
      <c r="A19" s="23" t="s">
        <v>98</v>
      </c>
      <c r="B19" s="18" t="s">
        <v>99</v>
      </c>
      <c r="C19" s="27" t="s">
        <v>69</v>
      </c>
      <c r="D19" s="27" t="s">
        <v>58</v>
      </c>
      <c r="E19" s="27" t="s">
        <v>69</v>
      </c>
      <c r="F19" s="27" t="s">
        <v>58</v>
      </c>
      <c r="G19" s="27" t="s">
        <v>58</v>
      </c>
      <c r="H19" s="27" t="s">
        <v>69</v>
      </c>
      <c r="I19" s="27" t="s">
        <v>69</v>
      </c>
      <c r="J19" s="27" t="s">
        <v>69</v>
      </c>
      <c r="K19" s="27" t="s">
        <v>69</v>
      </c>
      <c r="L19" s="27" t="s">
        <v>69</v>
      </c>
    </row>
    <row r="20" customFormat="false" ht="15" hidden="false" customHeight="true" outlineLevel="0" collapsed="false">
      <c r="A20" s="23" t="s">
        <v>100</v>
      </c>
      <c r="B20" s="18" t="s">
        <v>101</v>
      </c>
      <c r="C20" s="27" t="s">
        <v>69</v>
      </c>
      <c r="D20" s="27" t="s">
        <v>69</v>
      </c>
      <c r="E20" s="27" t="s">
        <v>69</v>
      </c>
      <c r="F20" s="27" t="s">
        <v>69</v>
      </c>
      <c r="G20" s="27" t="s">
        <v>58</v>
      </c>
      <c r="H20" s="27" t="s">
        <v>69</v>
      </c>
      <c r="I20" s="27" t="s">
        <v>69</v>
      </c>
      <c r="J20" s="27" t="s">
        <v>69</v>
      </c>
      <c r="K20" s="27" t="s">
        <v>69</v>
      </c>
      <c r="L20" s="27" t="s">
        <v>69</v>
      </c>
    </row>
    <row r="21" customFormat="false" ht="15" hidden="false" customHeight="true" outlineLevel="0" collapsed="false">
      <c r="A21" s="23" t="s">
        <v>102</v>
      </c>
      <c r="B21" s="18" t="s">
        <v>103</v>
      </c>
      <c r="C21" s="27" t="s">
        <v>69</v>
      </c>
      <c r="D21" s="27" t="s">
        <v>58</v>
      </c>
      <c r="E21" s="27" t="s">
        <v>58</v>
      </c>
      <c r="F21" s="27" t="s">
        <v>58</v>
      </c>
      <c r="G21" s="27" t="s">
        <v>58</v>
      </c>
      <c r="H21" s="27" t="s">
        <v>58</v>
      </c>
      <c r="I21" s="27" t="s">
        <v>69</v>
      </c>
      <c r="J21" s="27" t="s">
        <v>69</v>
      </c>
      <c r="K21" s="27" t="s">
        <v>69</v>
      </c>
      <c r="L21" s="27" t="s">
        <v>69</v>
      </c>
    </row>
    <row r="22" customFormat="false" ht="15" hidden="false" customHeight="true" outlineLevel="0" collapsed="false">
      <c r="A22" s="23" t="s">
        <v>104</v>
      </c>
      <c r="B22" s="18" t="s">
        <v>105</v>
      </c>
      <c r="C22" s="27" t="s">
        <v>69</v>
      </c>
      <c r="D22" s="27" t="s">
        <v>69</v>
      </c>
      <c r="E22" s="27" t="s">
        <v>58</v>
      </c>
      <c r="F22" s="27" t="s">
        <v>58</v>
      </c>
      <c r="G22" s="27" t="s">
        <v>58</v>
      </c>
      <c r="H22" s="27" t="s">
        <v>58</v>
      </c>
      <c r="I22" s="27" t="s">
        <v>69</v>
      </c>
      <c r="J22" s="27" t="s">
        <v>69</v>
      </c>
      <c r="K22" s="27" t="s">
        <v>69</v>
      </c>
      <c r="L22" s="27" t="s">
        <v>69</v>
      </c>
    </row>
    <row r="23" customFormat="false" ht="15" hidden="false" customHeight="true" outlineLevel="0" collapsed="false">
      <c r="A23" s="23" t="s">
        <v>106</v>
      </c>
      <c r="B23" s="18" t="s">
        <v>107</v>
      </c>
      <c r="C23" s="27" t="s">
        <v>69</v>
      </c>
      <c r="D23" s="27" t="s">
        <v>58</v>
      </c>
      <c r="E23" s="27" t="s">
        <v>69</v>
      </c>
      <c r="F23" s="27" t="s">
        <v>58</v>
      </c>
      <c r="G23" s="27" t="s">
        <v>58</v>
      </c>
      <c r="H23" s="27" t="s">
        <v>69</v>
      </c>
      <c r="I23" s="27" t="s">
        <v>69</v>
      </c>
      <c r="J23" s="27" t="s">
        <v>69</v>
      </c>
      <c r="K23" s="27" t="s">
        <v>69</v>
      </c>
      <c r="L23" s="27" t="s">
        <v>69</v>
      </c>
    </row>
    <row r="24" customFormat="false" ht="15" hidden="false" customHeight="true" outlineLevel="0" collapsed="false">
      <c r="A24" s="23" t="s">
        <v>108</v>
      </c>
      <c r="B24" s="18" t="s">
        <v>109</v>
      </c>
      <c r="C24" s="27" t="s">
        <v>69</v>
      </c>
      <c r="D24" s="27" t="s">
        <v>58</v>
      </c>
      <c r="E24" s="27" t="s">
        <v>58</v>
      </c>
      <c r="F24" s="27" t="s">
        <v>69</v>
      </c>
      <c r="G24" s="27" t="s">
        <v>58</v>
      </c>
      <c r="H24" s="27" t="s">
        <v>58</v>
      </c>
      <c r="I24" s="27" t="s">
        <v>69</v>
      </c>
      <c r="J24" s="27" t="s">
        <v>69</v>
      </c>
      <c r="K24" s="27" t="s">
        <v>69</v>
      </c>
      <c r="L24" s="27" t="s">
        <v>69</v>
      </c>
    </row>
    <row r="25" customFormat="false" ht="15" hidden="false" customHeight="true" outlineLevel="0" collapsed="false">
      <c r="A25" s="23" t="s">
        <v>110</v>
      </c>
      <c r="B25" s="18" t="s">
        <v>111</v>
      </c>
      <c r="C25" s="27" t="s">
        <v>69</v>
      </c>
      <c r="D25" s="27" t="s">
        <v>69</v>
      </c>
      <c r="E25" s="27" t="s">
        <v>69</v>
      </c>
      <c r="F25" s="27" t="s">
        <v>58</v>
      </c>
      <c r="G25" s="27" t="s">
        <v>69</v>
      </c>
      <c r="H25" s="27" t="s">
        <v>69</v>
      </c>
      <c r="I25" s="27" t="s">
        <v>69</v>
      </c>
      <c r="J25" s="27" t="s">
        <v>69</v>
      </c>
      <c r="K25" s="27" t="s">
        <v>69</v>
      </c>
      <c r="L25" s="27" t="s">
        <v>69</v>
      </c>
    </row>
    <row r="26" customFormat="false" ht="15" hidden="false" customHeight="true" outlineLevel="0" collapsed="false">
      <c r="A26" s="23" t="s">
        <v>112</v>
      </c>
      <c r="B26" s="18" t="s">
        <v>113</v>
      </c>
      <c r="C26" s="27" t="s">
        <v>69</v>
      </c>
      <c r="D26" s="27" t="s">
        <v>58</v>
      </c>
      <c r="E26" s="27" t="s">
        <v>58</v>
      </c>
      <c r="F26" s="27" t="s">
        <v>58</v>
      </c>
      <c r="G26" s="27" t="s">
        <v>58</v>
      </c>
      <c r="H26" s="27" t="s">
        <v>58</v>
      </c>
      <c r="I26" s="27" t="s">
        <v>69</v>
      </c>
      <c r="J26" s="27" t="s">
        <v>69</v>
      </c>
      <c r="K26" s="27" t="s">
        <v>69</v>
      </c>
      <c r="L26" s="27" t="s">
        <v>69</v>
      </c>
    </row>
    <row r="27" customFormat="false" ht="15" hidden="false" customHeight="true" outlineLevel="0" collapsed="false">
      <c r="A27" s="23" t="s">
        <v>114</v>
      </c>
      <c r="B27" s="18" t="s">
        <v>115</v>
      </c>
      <c r="C27" s="27" t="s">
        <v>69</v>
      </c>
      <c r="D27" s="27" t="s">
        <v>58</v>
      </c>
      <c r="E27" s="27" t="s">
        <v>58</v>
      </c>
      <c r="F27" s="27" t="s">
        <v>69</v>
      </c>
      <c r="G27" s="27" t="s">
        <v>58</v>
      </c>
      <c r="H27" s="27" t="s">
        <v>69</v>
      </c>
      <c r="I27" s="27" t="s">
        <v>69</v>
      </c>
      <c r="J27" s="27" t="s">
        <v>69</v>
      </c>
      <c r="K27" s="27" t="s">
        <v>69</v>
      </c>
      <c r="L27" s="27" t="s">
        <v>69</v>
      </c>
    </row>
    <row r="28" customFormat="false" ht="15" hidden="false" customHeight="true" outlineLevel="0" collapsed="false">
      <c r="A28" s="23" t="s">
        <v>116</v>
      </c>
      <c r="B28" s="18" t="s">
        <v>117</v>
      </c>
      <c r="C28" s="27" t="s">
        <v>69</v>
      </c>
      <c r="D28" s="27" t="s">
        <v>58</v>
      </c>
      <c r="E28" s="27" t="s">
        <v>69</v>
      </c>
      <c r="F28" s="27" t="s">
        <v>58</v>
      </c>
      <c r="G28" s="27" t="s">
        <v>58</v>
      </c>
      <c r="H28" s="27" t="s">
        <v>58</v>
      </c>
      <c r="I28" s="27" t="s">
        <v>69</v>
      </c>
      <c r="J28" s="27" t="s">
        <v>69</v>
      </c>
      <c r="K28" s="27" t="s">
        <v>69</v>
      </c>
      <c r="L28" s="27" t="s">
        <v>69</v>
      </c>
    </row>
    <row r="29" customFormat="false" ht="15" hidden="false" customHeight="true" outlineLevel="0" collapsed="false">
      <c r="A29" s="23" t="s">
        <v>118</v>
      </c>
      <c r="B29" s="18" t="s">
        <v>119</v>
      </c>
      <c r="C29" s="27" t="s">
        <v>69</v>
      </c>
      <c r="D29" s="27" t="s">
        <v>69</v>
      </c>
      <c r="E29" s="27" t="s">
        <v>58</v>
      </c>
      <c r="F29" s="27" t="s">
        <v>58</v>
      </c>
      <c r="G29" s="27" t="s">
        <v>69</v>
      </c>
      <c r="H29" s="27" t="s">
        <v>58</v>
      </c>
      <c r="I29" s="27" t="s">
        <v>69</v>
      </c>
      <c r="J29" s="27" t="s">
        <v>69</v>
      </c>
      <c r="K29" s="27" t="s">
        <v>69</v>
      </c>
      <c r="L29" s="27" t="s">
        <v>69</v>
      </c>
    </row>
    <row r="30" customFormat="false" ht="15" hidden="false" customHeight="true" outlineLevel="0" collapsed="false">
      <c r="A30" s="23" t="s">
        <v>120</v>
      </c>
      <c r="B30" s="18" t="s">
        <v>121</v>
      </c>
      <c r="C30" s="27" t="s">
        <v>69</v>
      </c>
      <c r="D30" s="27" t="s">
        <v>69</v>
      </c>
      <c r="E30" s="27" t="s">
        <v>58</v>
      </c>
      <c r="F30" s="27" t="s">
        <v>58</v>
      </c>
      <c r="G30" s="27" t="s">
        <v>69</v>
      </c>
      <c r="H30" s="27" t="s">
        <v>58</v>
      </c>
      <c r="I30" s="27" t="s">
        <v>69</v>
      </c>
      <c r="J30" s="27" t="s">
        <v>69</v>
      </c>
      <c r="K30" s="27" t="s">
        <v>69</v>
      </c>
      <c r="L30" s="27" t="s">
        <v>69</v>
      </c>
    </row>
    <row r="31" customFormat="false" ht="15" hidden="false" customHeight="true" outlineLevel="0" collapsed="false">
      <c r="A31" s="23" t="s">
        <v>122</v>
      </c>
      <c r="B31" s="18" t="s">
        <v>123</v>
      </c>
      <c r="C31" s="27" t="s">
        <v>69</v>
      </c>
      <c r="D31" s="27" t="s">
        <v>58</v>
      </c>
      <c r="E31" s="27" t="s">
        <v>69</v>
      </c>
      <c r="F31" s="27" t="s">
        <v>69</v>
      </c>
      <c r="G31" s="27" t="s">
        <v>69</v>
      </c>
      <c r="H31" s="27" t="s">
        <v>69</v>
      </c>
      <c r="I31" s="27" t="s">
        <v>69</v>
      </c>
      <c r="J31" s="27" t="s">
        <v>69</v>
      </c>
      <c r="K31" s="27" t="s">
        <v>69</v>
      </c>
      <c r="L31" s="27" t="s">
        <v>69</v>
      </c>
    </row>
    <row r="32" customFormat="false" ht="15" hidden="false" customHeight="true" outlineLevel="0" collapsed="false">
      <c r="A32" s="23" t="s">
        <v>124</v>
      </c>
      <c r="B32" s="18" t="s">
        <v>125</v>
      </c>
      <c r="C32" s="27" t="s">
        <v>69</v>
      </c>
      <c r="D32" s="27" t="s">
        <v>69</v>
      </c>
      <c r="E32" s="27" t="s">
        <v>58</v>
      </c>
      <c r="F32" s="27" t="s">
        <v>58</v>
      </c>
      <c r="G32" s="27" t="s">
        <v>69</v>
      </c>
      <c r="H32" s="27" t="s">
        <v>58</v>
      </c>
      <c r="I32" s="27" t="s">
        <v>69</v>
      </c>
      <c r="J32" s="27" t="s">
        <v>69</v>
      </c>
      <c r="K32" s="27" t="s">
        <v>69</v>
      </c>
      <c r="L32" s="27" t="s">
        <v>69</v>
      </c>
    </row>
    <row r="33" customFormat="false" ht="15" hidden="false" customHeight="true" outlineLevel="0" collapsed="false">
      <c r="A33" s="23" t="s">
        <v>126</v>
      </c>
      <c r="B33" s="18" t="s">
        <v>127</v>
      </c>
      <c r="C33" s="27" t="s">
        <v>69</v>
      </c>
      <c r="D33" s="27" t="s">
        <v>58</v>
      </c>
      <c r="E33" s="27" t="s">
        <v>58</v>
      </c>
      <c r="F33" s="27" t="s">
        <v>58</v>
      </c>
      <c r="G33" s="27" t="s">
        <v>58</v>
      </c>
      <c r="H33" s="27" t="s">
        <v>58</v>
      </c>
      <c r="I33" s="27" t="s">
        <v>69</v>
      </c>
      <c r="J33" s="27" t="s">
        <v>69</v>
      </c>
      <c r="K33" s="27" t="s">
        <v>69</v>
      </c>
      <c r="L33" s="27" t="s">
        <v>69</v>
      </c>
    </row>
    <row r="34" customFormat="false" ht="15" hidden="false" customHeight="true" outlineLevel="0" collapsed="false">
      <c r="A34" s="23" t="s">
        <v>128</v>
      </c>
      <c r="B34" s="18" t="s">
        <v>129</v>
      </c>
      <c r="C34" s="27" t="s">
        <v>69</v>
      </c>
      <c r="D34" s="27" t="s">
        <v>69</v>
      </c>
      <c r="E34" s="27" t="s">
        <v>58</v>
      </c>
      <c r="F34" s="27" t="s">
        <v>69</v>
      </c>
      <c r="G34" s="27" t="s">
        <v>58</v>
      </c>
      <c r="H34" s="27" t="s">
        <v>58</v>
      </c>
      <c r="I34" s="27" t="s">
        <v>69</v>
      </c>
      <c r="J34" s="27" t="s">
        <v>69</v>
      </c>
      <c r="K34" s="27" t="s">
        <v>69</v>
      </c>
      <c r="L34" s="27" t="s">
        <v>69</v>
      </c>
    </row>
    <row r="35" customFormat="false" ht="15" hidden="false" customHeight="true" outlineLevel="0" collapsed="false">
      <c r="A35" s="23" t="s">
        <v>130</v>
      </c>
      <c r="B35" s="18" t="s">
        <v>131</v>
      </c>
      <c r="C35" s="27" t="s">
        <v>69</v>
      </c>
      <c r="D35" s="27" t="s">
        <v>58</v>
      </c>
      <c r="E35" s="27" t="s">
        <v>58</v>
      </c>
      <c r="F35" s="27" t="s">
        <v>69</v>
      </c>
      <c r="G35" s="27" t="s">
        <v>58</v>
      </c>
      <c r="H35" s="27" t="s">
        <v>58</v>
      </c>
      <c r="I35" s="27" t="s">
        <v>69</v>
      </c>
      <c r="J35" s="27" t="s">
        <v>69</v>
      </c>
      <c r="K35" s="27" t="s">
        <v>69</v>
      </c>
      <c r="L35" s="27" t="s">
        <v>69</v>
      </c>
    </row>
    <row r="36" customFormat="false" ht="15" hidden="false" customHeight="true" outlineLevel="0" collapsed="false">
      <c r="A36" s="23" t="s">
        <v>132</v>
      </c>
      <c r="B36" s="18" t="s">
        <v>133</v>
      </c>
      <c r="C36" s="27" t="s">
        <v>69</v>
      </c>
      <c r="D36" s="27" t="s">
        <v>58</v>
      </c>
      <c r="E36" s="27" t="s">
        <v>69</v>
      </c>
      <c r="F36" s="27" t="s">
        <v>58</v>
      </c>
      <c r="G36" s="27" t="s">
        <v>58</v>
      </c>
      <c r="H36" s="27" t="s">
        <v>69</v>
      </c>
      <c r="I36" s="27" t="s">
        <v>69</v>
      </c>
      <c r="J36" s="27" t="s">
        <v>69</v>
      </c>
      <c r="K36" s="27" t="s">
        <v>69</v>
      </c>
      <c r="L36" s="27" t="s">
        <v>69</v>
      </c>
    </row>
    <row r="37" customFormat="false" ht="15" hidden="false" customHeight="true" outlineLevel="0" collapsed="false">
      <c r="A37" s="26" t="s">
        <v>201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customFormat="false" ht="15" hidden="false" customHeight="true" outlineLevel="0" collapsed="false">
      <c r="A38" s="23" t="s">
        <v>135</v>
      </c>
      <c r="B38" s="18" t="s">
        <v>136</v>
      </c>
      <c r="C38" s="27" t="n">
        <v>2</v>
      </c>
      <c r="D38" s="27" t="n">
        <v>2</v>
      </c>
      <c r="E38" s="27" t="n">
        <v>2</v>
      </c>
      <c r="F38" s="27" t="n">
        <v>2</v>
      </c>
      <c r="G38" s="27" t="n">
        <v>2</v>
      </c>
      <c r="H38" s="27" t="n">
        <v>2</v>
      </c>
      <c r="I38" s="27" t="n">
        <v>2</v>
      </c>
      <c r="J38" s="27" t="n">
        <v>2</v>
      </c>
      <c r="K38" s="27" t="n">
        <v>2</v>
      </c>
      <c r="L38" s="27" t="n">
        <v>2</v>
      </c>
    </row>
    <row r="39" customFormat="false" ht="15" hidden="false" customHeight="true" outlineLevel="0" collapsed="false">
      <c r="A39" s="23" t="s">
        <v>137</v>
      </c>
      <c r="B39" s="18" t="s">
        <v>138</v>
      </c>
      <c r="C39" s="27" t="n">
        <v>2</v>
      </c>
      <c r="D39" s="27" t="n">
        <v>2</v>
      </c>
      <c r="E39" s="27" t="n">
        <v>2</v>
      </c>
      <c r="F39" s="27" t="n">
        <v>2</v>
      </c>
      <c r="G39" s="27" t="n">
        <v>2</v>
      </c>
      <c r="H39" s="27" t="n">
        <v>2</v>
      </c>
      <c r="I39" s="27" t="n">
        <v>2</v>
      </c>
      <c r="J39" s="27" t="n">
        <v>2</v>
      </c>
      <c r="K39" s="27" t="n">
        <v>2</v>
      </c>
      <c r="L39" s="27" t="n">
        <v>2</v>
      </c>
    </row>
    <row r="40" customFormat="false" ht="15" hidden="false" customHeight="true" outlineLevel="0" collapsed="false">
      <c r="A40" s="23" t="s">
        <v>139</v>
      </c>
      <c r="B40" s="18" t="s">
        <v>140</v>
      </c>
      <c r="C40" s="27" t="n">
        <v>2</v>
      </c>
      <c r="D40" s="27" t="n">
        <v>2</v>
      </c>
      <c r="E40" s="27" t="n">
        <v>2</v>
      </c>
      <c r="F40" s="27" t="n">
        <v>2</v>
      </c>
      <c r="G40" s="27" t="n">
        <v>2</v>
      </c>
      <c r="H40" s="27" t="n">
        <v>2</v>
      </c>
      <c r="I40" s="27" t="n">
        <v>2</v>
      </c>
      <c r="J40" s="27" t="n">
        <v>2</v>
      </c>
      <c r="K40" s="27" t="n">
        <v>2</v>
      </c>
      <c r="L40" s="27" t="n">
        <v>2</v>
      </c>
    </row>
    <row r="41" customFormat="false" ht="15" hidden="false" customHeight="true" outlineLevel="0" collapsed="false">
      <c r="A41" s="23" t="s">
        <v>141</v>
      </c>
      <c r="B41" s="18" t="s">
        <v>142</v>
      </c>
      <c r="C41" s="27" t="n">
        <v>2</v>
      </c>
      <c r="D41" s="27" t="n">
        <v>2</v>
      </c>
      <c r="E41" s="27" t="n">
        <v>2</v>
      </c>
      <c r="F41" s="27" t="n">
        <v>2</v>
      </c>
      <c r="G41" s="27" t="n">
        <v>2</v>
      </c>
      <c r="H41" s="27" t="n">
        <v>2</v>
      </c>
      <c r="I41" s="27" t="n">
        <v>2</v>
      </c>
      <c r="J41" s="27" t="n">
        <v>2</v>
      </c>
      <c r="K41" s="27" t="n">
        <v>2</v>
      </c>
      <c r="L41" s="27" t="n">
        <v>2</v>
      </c>
    </row>
    <row r="42" customFormat="false" ht="15" hidden="false" customHeight="true" outlineLevel="0" collapsed="false">
      <c r="A42" s="23" t="s">
        <v>143</v>
      </c>
      <c r="B42" s="18" t="s">
        <v>144</v>
      </c>
      <c r="C42" s="27" t="n">
        <v>2</v>
      </c>
      <c r="D42" s="27" t="n">
        <v>2</v>
      </c>
      <c r="E42" s="27" t="n">
        <v>3</v>
      </c>
      <c r="F42" s="27" t="n">
        <v>2</v>
      </c>
      <c r="G42" s="27" t="n">
        <v>2</v>
      </c>
      <c r="H42" s="27" t="n">
        <v>2</v>
      </c>
      <c r="I42" s="27" t="n">
        <v>2</v>
      </c>
      <c r="J42" s="27" t="n">
        <v>2</v>
      </c>
      <c r="K42" s="27" t="n">
        <v>2</v>
      </c>
      <c r="L42" s="27" t="n">
        <v>2</v>
      </c>
    </row>
    <row r="43" customFormat="false" ht="23.25" hidden="false" customHeight="true" outlineLevel="0" collapsed="false">
      <c r="A43" s="23" t="s">
        <v>145</v>
      </c>
      <c r="B43" s="18" t="s">
        <v>146</v>
      </c>
      <c r="C43" s="27" t="n">
        <v>2</v>
      </c>
      <c r="D43" s="27" t="n">
        <v>2</v>
      </c>
      <c r="E43" s="27" t="n">
        <v>2</v>
      </c>
      <c r="F43" s="27" t="n">
        <v>2</v>
      </c>
      <c r="G43" s="27" t="n">
        <v>2</v>
      </c>
      <c r="H43" s="27" t="n">
        <v>2</v>
      </c>
      <c r="I43" s="27" t="n">
        <v>2</v>
      </c>
      <c r="J43" s="27" t="n">
        <v>2</v>
      </c>
      <c r="K43" s="27" t="n">
        <v>2</v>
      </c>
      <c r="L43" s="27" t="n">
        <v>2</v>
      </c>
    </row>
    <row r="44" customFormat="false" ht="15" hidden="false" customHeight="true" outlineLevel="0" collapsed="false">
      <c r="A44" s="23" t="s">
        <v>147</v>
      </c>
      <c r="B44" s="18" t="s">
        <v>148</v>
      </c>
      <c r="C44" s="27" t="n">
        <v>2</v>
      </c>
      <c r="D44" s="27" t="n">
        <v>2</v>
      </c>
      <c r="E44" s="27" t="n">
        <v>2</v>
      </c>
      <c r="F44" s="27" t="n">
        <v>2</v>
      </c>
      <c r="G44" s="27" t="n">
        <v>2</v>
      </c>
      <c r="H44" s="27" t="n">
        <v>2</v>
      </c>
      <c r="I44" s="27" t="n">
        <v>2</v>
      </c>
      <c r="J44" s="27" t="n">
        <v>2</v>
      </c>
      <c r="K44" s="27" t="n">
        <v>2</v>
      </c>
      <c r="L44" s="27" t="n">
        <v>2</v>
      </c>
    </row>
    <row r="45" customFormat="false" ht="23.25" hidden="false" customHeight="true" outlineLevel="0" collapsed="false">
      <c r="A45" s="23" t="s">
        <v>149</v>
      </c>
      <c r="B45" s="18" t="s">
        <v>150</v>
      </c>
      <c r="C45" s="27" t="n">
        <v>2</v>
      </c>
      <c r="D45" s="27" t="n">
        <v>2</v>
      </c>
      <c r="E45" s="27" t="n">
        <v>2</v>
      </c>
      <c r="F45" s="27" t="n">
        <v>2</v>
      </c>
      <c r="G45" s="27" t="n">
        <v>2</v>
      </c>
      <c r="H45" s="27" t="n">
        <v>2</v>
      </c>
      <c r="I45" s="27" t="n">
        <v>2</v>
      </c>
      <c r="J45" s="27" t="n">
        <v>2</v>
      </c>
      <c r="K45" s="27" t="n">
        <v>2</v>
      </c>
      <c r="L45" s="27" t="n">
        <v>2</v>
      </c>
    </row>
    <row r="46" customFormat="false" ht="23.25" hidden="false" customHeight="true" outlineLevel="0" collapsed="false">
      <c r="A46" s="23" t="s">
        <v>151</v>
      </c>
      <c r="B46" s="18" t="s">
        <v>152</v>
      </c>
      <c r="C46" s="27" t="n">
        <v>2</v>
      </c>
      <c r="D46" s="27" t="n">
        <v>2</v>
      </c>
      <c r="E46" s="27" t="n">
        <v>2</v>
      </c>
      <c r="F46" s="27" t="n">
        <v>2</v>
      </c>
      <c r="G46" s="27" t="n">
        <v>2</v>
      </c>
      <c r="H46" s="27" t="n">
        <v>2</v>
      </c>
      <c r="I46" s="27" t="n">
        <v>2</v>
      </c>
      <c r="J46" s="27" t="n">
        <v>2</v>
      </c>
      <c r="K46" s="27" t="n">
        <v>2</v>
      </c>
      <c r="L46" s="27" t="n">
        <v>2</v>
      </c>
    </row>
    <row r="47" customFormat="false" ht="23.25" hidden="false" customHeight="true" outlineLevel="0" collapsed="false">
      <c r="A47" s="23" t="s">
        <v>153</v>
      </c>
      <c r="B47" s="18" t="s">
        <v>154</v>
      </c>
      <c r="C47" s="27" t="n">
        <v>15</v>
      </c>
      <c r="D47" s="27" t="n">
        <v>10</v>
      </c>
      <c r="E47" s="27" t="n">
        <v>15</v>
      </c>
      <c r="F47" s="27" t="n">
        <v>15</v>
      </c>
      <c r="G47" s="27" t="n">
        <v>15</v>
      </c>
      <c r="H47" s="27" t="n">
        <v>15</v>
      </c>
      <c r="I47" s="27" t="n">
        <v>15</v>
      </c>
      <c r="J47" s="27" t="n">
        <v>15</v>
      </c>
      <c r="K47" s="27" t="n">
        <v>15</v>
      </c>
      <c r="L47" s="27" t="n">
        <v>15</v>
      </c>
    </row>
    <row r="48" customFormat="false" ht="23.25" hidden="false" customHeight="true" outlineLevel="0" collapsed="false">
      <c r="A48" s="23" t="s">
        <v>155</v>
      </c>
      <c r="B48" s="18" t="s">
        <v>156</v>
      </c>
      <c r="C48" s="27" t="n">
        <v>1</v>
      </c>
      <c r="D48" s="27" t="n">
        <v>1</v>
      </c>
      <c r="E48" s="27" t="n">
        <v>1</v>
      </c>
      <c r="F48" s="27" t="n">
        <v>1</v>
      </c>
      <c r="G48" s="27" t="n">
        <v>1</v>
      </c>
      <c r="H48" s="27" t="n">
        <v>1</v>
      </c>
      <c r="I48" s="27" t="n">
        <v>1</v>
      </c>
      <c r="J48" s="27" t="n">
        <v>1</v>
      </c>
      <c r="K48" s="27" t="n">
        <v>1</v>
      </c>
      <c r="L48" s="27" t="n">
        <v>1</v>
      </c>
    </row>
    <row r="49" customFormat="false" ht="23.25" hidden="false" customHeight="true" outlineLevel="0" collapsed="false">
      <c r="A49" s="23" t="s">
        <v>157</v>
      </c>
      <c r="B49" s="18" t="s">
        <v>158</v>
      </c>
      <c r="C49" s="27" t="n">
        <v>4</v>
      </c>
      <c r="D49" s="27" t="n">
        <v>4</v>
      </c>
      <c r="E49" s="27" t="n">
        <v>4</v>
      </c>
      <c r="F49" s="27" t="n">
        <v>4</v>
      </c>
      <c r="G49" s="27" t="n">
        <v>4</v>
      </c>
      <c r="H49" s="27" t="n">
        <v>4</v>
      </c>
      <c r="I49" s="27" t="n">
        <v>4</v>
      </c>
      <c r="J49" s="27" t="n">
        <v>4</v>
      </c>
      <c r="K49" s="27" t="n">
        <v>4</v>
      </c>
      <c r="L49" s="27" t="n">
        <v>4</v>
      </c>
    </row>
    <row r="50" customFormat="false" ht="15" hidden="false" customHeight="true" outlineLevel="0" collapsed="false">
      <c r="A50" s="23" t="s">
        <v>159</v>
      </c>
      <c r="B50" s="18" t="s">
        <v>160</v>
      </c>
      <c r="C50" s="27" t="n">
        <v>1</v>
      </c>
      <c r="D50" s="27" t="n">
        <v>1</v>
      </c>
      <c r="E50" s="27" t="n">
        <v>1</v>
      </c>
      <c r="F50" s="27" t="n">
        <v>2</v>
      </c>
      <c r="G50" s="27" t="n">
        <v>1</v>
      </c>
      <c r="H50" s="27" t="n">
        <v>1</v>
      </c>
      <c r="I50" s="27" t="n">
        <v>1</v>
      </c>
      <c r="J50" s="27" t="n">
        <v>1</v>
      </c>
      <c r="K50" s="27" t="n">
        <v>1</v>
      </c>
      <c r="L50" s="27" t="n">
        <v>1</v>
      </c>
    </row>
    <row r="51" customFormat="false" ht="15" hidden="false" customHeight="true" outlineLevel="0" collapsed="false">
      <c r="A51" s="23" t="s">
        <v>161</v>
      </c>
      <c r="B51" s="18" t="s">
        <v>162</v>
      </c>
      <c r="C51" s="27" t="n">
        <v>5</v>
      </c>
      <c r="D51" s="27" t="n">
        <v>5</v>
      </c>
      <c r="E51" s="27" t="n">
        <v>5</v>
      </c>
      <c r="F51" s="27" t="n">
        <v>8</v>
      </c>
      <c r="G51" s="27" t="n">
        <v>5</v>
      </c>
      <c r="H51" s="27" t="n">
        <v>5</v>
      </c>
      <c r="I51" s="27" t="n">
        <v>5</v>
      </c>
      <c r="J51" s="27" t="n">
        <v>5</v>
      </c>
      <c r="K51" s="27" t="n">
        <v>5</v>
      </c>
      <c r="L51" s="27" t="n">
        <v>5</v>
      </c>
    </row>
    <row r="52" customFormat="false" ht="15" hidden="false" customHeight="true" outlineLevel="0" collapsed="false">
      <c r="A52" s="23" t="s">
        <v>163</v>
      </c>
      <c r="B52" s="18" t="s">
        <v>164</v>
      </c>
      <c r="C52" s="27" t="n">
        <v>1</v>
      </c>
      <c r="D52" s="27" t="n">
        <v>1</v>
      </c>
      <c r="E52" s="27" t="n">
        <v>1</v>
      </c>
      <c r="F52" s="27" t="n">
        <v>1</v>
      </c>
      <c r="G52" s="27" t="n">
        <v>1</v>
      </c>
      <c r="H52" s="27" t="n">
        <v>1</v>
      </c>
      <c r="I52" s="27" t="n">
        <v>1</v>
      </c>
      <c r="J52" s="27" t="n">
        <v>1</v>
      </c>
      <c r="K52" s="27" t="n">
        <v>1</v>
      </c>
      <c r="L52" s="27" t="n">
        <v>1</v>
      </c>
    </row>
    <row r="53" customFormat="false" ht="23.25" hidden="false" customHeight="true" outlineLevel="0" collapsed="false">
      <c r="A53" s="23" t="s">
        <v>165</v>
      </c>
      <c r="B53" s="18" t="s">
        <v>166</v>
      </c>
      <c r="C53" s="27" t="n">
        <v>4</v>
      </c>
      <c r="D53" s="27" t="n">
        <v>4</v>
      </c>
      <c r="E53" s="27" t="n">
        <v>4</v>
      </c>
      <c r="F53" s="27" t="n">
        <v>4</v>
      </c>
      <c r="G53" s="27" t="n">
        <v>4</v>
      </c>
      <c r="H53" s="27" t="n">
        <v>4</v>
      </c>
      <c r="I53" s="27" t="n">
        <v>4</v>
      </c>
      <c r="J53" s="27" t="n">
        <v>4</v>
      </c>
      <c r="K53" s="27" t="n">
        <v>4</v>
      </c>
      <c r="L53" s="27" t="n">
        <v>4</v>
      </c>
    </row>
    <row r="54" customFormat="false" ht="23.25" hidden="false" customHeight="true" outlineLevel="0" collapsed="false">
      <c r="A54" s="23" t="s">
        <v>167</v>
      </c>
      <c r="B54" s="18" t="s">
        <v>168</v>
      </c>
      <c r="C54" s="27" t="n">
        <v>2</v>
      </c>
      <c r="D54" s="27" t="n">
        <v>2</v>
      </c>
      <c r="E54" s="27" t="n">
        <v>2</v>
      </c>
      <c r="F54" s="27" t="n">
        <v>2</v>
      </c>
      <c r="G54" s="27" t="n">
        <v>2</v>
      </c>
      <c r="H54" s="27" t="n">
        <v>2</v>
      </c>
      <c r="I54" s="27" t="n">
        <v>2</v>
      </c>
      <c r="J54" s="27" t="n">
        <v>2</v>
      </c>
      <c r="K54" s="27" t="n">
        <v>2</v>
      </c>
      <c r="L54" s="27" t="n">
        <v>2</v>
      </c>
    </row>
    <row r="55" customFormat="false" ht="23.25" hidden="false" customHeight="true" outlineLevel="0" collapsed="false">
      <c r="A55" s="23" t="s">
        <v>169</v>
      </c>
      <c r="B55" s="18" t="s">
        <v>170</v>
      </c>
      <c r="C55" s="27" t="n">
        <v>10</v>
      </c>
      <c r="D55" s="27" t="n">
        <v>10</v>
      </c>
      <c r="E55" s="27" t="n">
        <v>10</v>
      </c>
      <c r="F55" s="27" t="n">
        <v>10</v>
      </c>
      <c r="G55" s="27" t="n">
        <v>10</v>
      </c>
      <c r="H55" s="27" t="n">
        <v>10</v>
      </c>
      <c r="I55" s="27" t="n">
        <v>10</v>
      </c>
      <c r="J55" s="27" t="n">
        <v>10</v>
      </c>
      <c r="K55" s="27" t="n">
        <v>10</v>
      </c>
      <c r="L55" s="27" t="n">
        <v>10</v>
      </c>
    </row>
    <row r="56" customFormat="false" ht="15" hidden="false" customHeight="true" outlineLevel="0" collapsed="false">
      <c r="A56" s="26" t="s">
        <v>202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customFormat="false" ht="15" hidden="false" customHeight="true" outlineLevel="0" collapsed="false">
      <c r="A57" s="23" t="s">
        <v>172</v>
      </c>
      <c r="B57" s="18" t="s">
        <v>173</v>
      </c>
      <c r="C57" s="27" t="s">
        <v>69</v>
      </c>
      <c r="D57" s="27" t="s">
        <v>69</v>
      </c>
      <c r="E57" s="27" t="s">
        <v>69</v>
      </c>
      <c r="F57" s="27" t="s">
        <v>58</v>
      </c>
      <c r="G57" s="27" t="s">
        <v>69</v>
      </c>
      <c r="H57" s="27" t="s">
        <v>69</v>
      </c>
      <c r="I57" s="27" t="s">
        <v>69</v>
      </c>
      <c r="J57" s="27" t="s">
        <v>69</v>
      </c>
      <c r="K57" s="27" t="s">
        <v>69</v>
      </c>
      <c r="L57" s="27" t="s">
        <v>69</v>
      </c>
    </row>
    <row r="58" customFormat="false" ht="15" hidden="false" customHeight="true" outlineLevel="0" collapsed="false">
      <c r="A58" s="23" t="s">
        <v>174</v>
      </c>
      <c r="B58" s="18" t="s">
        <v>175</v>
      </c>
      <c r="C58" s="27" t="s">
        <v>69</v>
      </c>
      <c r="D58" s="27" t="s">
        <v>69</v>
      </c>
      <c r="E58" s="27" t="s">
        <v>69</v>
      </c>
      <c r="F58" s="27" t="s">
        <v>69</v>
      </c>
      <c r="G58" s="27" t="s">
        <v>69</v>
      </c>
      <c r="H58" s="27" t="s">
        <v>69</v>
      </c>
      <c r="I58" s="27" t="s">
        <v>69</v>
      </c>
      <c r="J58" s="27" t="s">
        <v>69</v>
      </c>
      <c r="K58" s="27" t="s">
        <v>69</v>
      </c>
      <c r="L58" s="27" t="s">
        <v>69</v>
      </c>
    </row>
    <row r="59" customFormat="false" ht="15" hidden="false" customHeight="true" outlineLevel="0" collapsed="false">
      <c r="A59" s="23" t="s">
        <v>176</v>
      </c>
      <c r="B59" s="18" t="s">
        <v>177</v>
      </c>
      <c r="C59" s="27" t="s">
        <v>69</v>
      </c>
      <c r="D59" s="27" t="s">
        <v>69</v>
      </c>
      <c r="E59" s="27" t="s">
        <v>58</v>
      </c>
      <c r="F59" s="27" t="s">
        <v>58</v>
      </c>
      <c r="G59" s="27" t="s">
        <v>69</v>
      </c>
      <c r="H59" s="27" t="s">
        <v>58</v>
      </c>
      <c r="I59" s="27" t="s">
        <v>69</v>
      </c>
      <c r="J59" s="27" t="s">
        <v>69</v>
      </c>
      <c r="K59" s="27" t="s">
        <v>69</v>
      </c>
      <c r="L59" s="27" t="s">
        <v>69</v>
      </c>
    </row>
    <row r="60" customFormat="false" ht="15" hidden="false" customHeight="true" outlineLevel="0" collapsed="false">
      <c r="A60" s="23" t="s">
        <v>178</v>
      </c>
      <c r="B60" s="18" t="s">
        <v>179</v>
      </c>
      <c r="C60" s="27" t="s">
        <v>69</v>
      </c>
      <c r="D60" s="27" t="s">
        <v>69</v>
      </c>
      <c r="E60" s="27" t="s">
        <v>58</v>
      </c>
      <c r="F60" s="27" t="s">
        <v>58</v>
      </c>
      <c r="G60" s="27" t="s">
        <v>69</v>
      </c>
      <c r="H60" s="27" t="s">
        <v>58</v>
      </c>
      <c r="I60" s="27" t="s">
        <v>69</v>
      </c>
      <c r="J60" s="27" t="s">
        <v>69</v>
      </c>
      <c r="K60" s="27" t="s">
        <v>69</v>
      </c>
      <c r="L60" s="27" t="s">
        <v>69</v>
      </c>
    </row>
    <row r="61" customFormat="false" ht="15" hidden="false" customHeight="true" outlineLevel="0" collapsed="false">
      <c r="A61" s="23" t="s">
        <v>180</v>
      </c>
      <c r="B61" s="18" t="s">
        <v>181</v>
      </c>
      <c r="C61" s="27" t="s">
        <v>69</v>
      </c>
      <c r="D61" s="27" t="s">
        <v>58</v>
      </c>
      <c r="E61" s="27" t="s">
        <v>69</v>
      </c>
      <c r="F61" s="27" t="s">
        <v>58</v>
      </c>
      <c r="G61" s="27" t="s">
        <v>69</v>
      </c>
      <c r="H61" s="27" t="s">
        <v>69</v>
      </c>
      <c r="I61" s="27" t="s">
        <v>69</v>
      </c>
      <c r="J61" s="27" t="s">
        <v>69</v>
      </c>
      <c r="K61" s="27" t="s">
        <v>69</v>
      </c>
      <c r="L61" s="27" t="s">
        <v>69</v>
      </c>
    </row>
    <row r="64" customFormat="false" ht="15" hidden="false" customHeight="true" outlineLevel="0" collapsed="false">
      <c r="A64" s="28" t="s">
        <v>203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</row>
    <row r="65" customFormat="false" ht="15" hidden="false" customHeight="true" outlineLevel="0" collapsed="false">
      <c r="A65" s="29" t="s">
        <v>204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</row>
    <row r="66" customFormat="false" ht="15" hidden="false" customHeight="true" outlineLevel="0" collapsed="false">
      <c r="A66" s="29" t="s">
        <v>205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</row>
    <row r="67" customFormat="false" ht="15" hidden="false" customHeight="true" outlineLevel="0" collapsed="false">
      <c r="A67" s="29" t="s">
        <v>206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</row>
    <row r="68" customFormat="false" ht="15" hidden="false" customHeight="true" outlineLevel="0" collapsed="false">
      <c r="A68" s="29" t="s">
        <v>207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</row>
    <row r="69" customFormat="false" ht="15" hidden="false" customHeight="true" outlineLevel="0" collapsed="false">
      <c r="A69" s="29" t="s">
        <v>208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</row>
    <row r="70" customFormat="false" ht="15" hidden="false" customHeight="true" outlineLevel="0" collapsed="false">
      <c r="A70" s="29" t="s">
        <v>209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</row>
    <row r="71" customFormat="false" ht="15" hidden="false" customHeight="true" outlineLevel="0" collapsed="false">
      <c r="A71" s="29" t="s">
        <v>210</v>
      </c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</row>
    <row r="72" customFormat="false" ht="15" hidden="false" customHeight="true" outlineLevel="0" collapsed="false">
      <c r="A72" s="29" t="s">
        <v>211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</row>
    <row r="73" customFormat="false" ht="15" hidden="false" customHeight="true" outlineLevel="0" collapsed="false">
      <c r="A73" s="29" t="s">
        <v>212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</row>
    <row r="74" customFormat="false" ht="15" hidden="false" customHeight="true" outlineLevel="0" collapsed="false">
      <c r="A74" s="29" t="s">
        <v>213</v>
      </c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</row>
  </sheetData>
  <mergeCells count="14">
    <mergeCell ref="A3:L3"/>
    <mergeCell ref="A37:L37"/>
    <mergeCell ref="A56:L56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  <mergeCell ref="A73:L73"/>
    <mergeCell ref="A74:L74"/>
  </mergeCells>
  <dataValidations count="1">
    <dataValidation allowBlank="false" errorStyle="stop" operator="between" showDropDown="false" showErrorMessage="false" showInputMessage="false" sqref="C4:L36 C57:L6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4" min="4" style="1" width="50"/>
    <col collapsed="false" customWidth="true" hidden="false" outlineLevel="0" max="5" min="5" style="1" width="40"/>
    <col collapsed="false" customWidth="true" hidden="false" outlineLevel="0" max="6" min="6" style="1" width="22"/>
  </cols>
  <sheetData>
    <row r="1" customFormat="false" ht="30" hidden="false" customHeight="true" outlineLevel="0" collapsed="false">
      <c r="A1" s="22" t="s">
        <v>214</v>
      </c>
      <c r="B1" s="22" t="s">
        <v>215</v>
      </c>
      <c r="C1" s="22" t="s">
        <v>216</v>
      </c>
      <c r="D1" s="22" t="s">
        <v>62</v>
      </c>
      <c r="E1" s="22" t="s">
        <v>217</v>
      </c>
      <c r="F1" s="22" t="s">
        <v>218</v>
      </c>
    </row>
    <row r="2" customFormat="false" ht="15" hidden="false" customHeight="true" outlineLevel="0" collapsed="false">
      <c r="A2" s="30" t="s">
        <v>219</v>
      </c>
      <c r="B2" s="25" t="s">
        <v>220</v>
      </c>
      <c r="C2" s="25" t="s">
        <v>221</v>
      </c>
      <c r="D2" s="25" t="s">
        <v>222</v>
      </c>
      <c r="E2" s="25" t="s">
        <v>223</v>
      </c>
      <c r="F2" s="25" t="s">
        <v>224</v>
      </c>
    </row>
    <row r="3" customFormat="false" ht="15" hidden="false" customHeight="true" outlineLevel="0" collapsed="false">
      <c r="A3" s="30" t="s">
        <v>219</v>
      </c>
      <c r="B3" s="25" t="s">
        <v>225</v>
      </c>
      <c r="C3" s="25" t="s">
        <v>226</v>
      </c>
      <c r="D3" s="25" t="s">
        <v>227</v>
      </c>
      <c r="E3" s="25" t="s">
        <v>228</v>
      </c>
      <c r="F3" s="25" t="s">
        <v>229</v>
      </c>
    </row>
    <row r="4" customFormat="false" ht="23.25" hidden="false" customHeight="true" outlineLevel="0" collapsed="false">
      <c r="A4" s="30" t="s">
        <v>219</v>
      </c>
      <c r="B4" s="25" t="s">
        <v>230</v>
      </c>
      <c r="C4" s="25" t="s">
        <v>231</v>
      </c>
      <c r="D4" s="25" t="s">
        <v>232</v>
      </c>
      <c r="E4" s="25" t="s">
        <v>233</v>
      </c>
      <c r="F4" s="25" t="s">
        <v>234</v>
      </c>
    </row>
    <row r="5" customFormat="false" ht="15" hidden="false" customHeight="true" outlineLevel="0" collapsed="false">
      <c r="A5" s="30" t="s">
        <v>219</v>
      </c>
      <c r="B5" s="25" t="s">
        <v>235</v>
      </c>
      <c r="C5" s="25" t="s">
        <v>236</v>
      </c>
      <c r="D5" s="25" t="s">
        <v>237</v>
      </c>
      <c r="E5" s="25" t="s">
        <v>238</v>
      </c>
      <c r="F5" s="25" t="s">
        <v>239</v>
      </c>
    </row>
    <row r="6" customFormat="false" ht="15" hidden="false" customHeight="true" outlineLevel="0" collapsed="false">
      <c r="A6" s="30" t="s">
        <v>219</v>
      </c>
      <c r="B6" s="25" t="s">
        <v>240</v>
      </c>
      <c r="C6" s="25" t="s">
        <v>241</v>
      </c>
      <c r="D6" s="25" t="s">
        <v>242</v>
      </c>
      <c r="E6" s="25" t="s">
        <v>238</v>
      </c>
      <c r="F6" s="25" t="s">
        <v>243</v>
      </c>
    </row>
    <row r="7" customFormat="false" ht="15" hidden="false" customHeight="true" outlineLevel="0" collapsed="false">
      <c r="A7" s="31" t="s">
        <v>244</v>
      </c>
      <c r="B7" s="25" t="s">
        <v>245</v>
      </c>
      <c r="C7" s="25" t="s">
        <v>246</v>
      </c>
      <c r="D7" s="25" t="s">
        <v>247</v>
      </c>
      <c r="E7" s="25" t="s">
        <v>248</v>
      </c>
      <c r="F7" s="25" t="s">
        <v>249</v>
      </c>
    </row>
    <row r="8" customFormat="false" ht="15" hidden="false" customHeight="true" outlineLevel="0" collapsed="false">
      <c r="A8" s="31" t="s">
        <v>244</v>
      </c>
      <c r="B8" s="25" t="s">
        <v>250</v>
      </c>
      <c r="C8" s="25" t="s">
        <v>251</v>
      </c>
      <c r="D8" s="25" t="s">
        <v>252</v>
      </c>
      <c r="E8" s="25" t="s">
        <v>223</v>
      </c>
      <c r="F8" s="25" t="s">
        <v>253</v>
      </c>
    </row>
    <row r="9" customFormat="false" ht="15" hidden="false" customHeight="true" outlineLevel="0" collapsed="false">
      <c r="A9" s="31" t="s">
        <v>244</v>
      </c>
      <c r="B9" s="25" t="s">
        <v>254</v>
      </c>
      <c r="C9" s="25" t="s">
        <v>255</v>
      </c>
      <c r="D9" s="25" t="s">
        <v>256</v>
      </c>
      <c r="E9" s="25" t="s">
        <v>257</v>
      </c>
      <c r="F9" s="25" t="s">
        <v>258</v>
      </c>
    </row>
    <row r="10" customFormat="false" ht="15" hidden="false" customHeight="true" outlineLevel="0" collapsed="false">
      <c r="A10" s="32" t="s">
        <v>259</v>
      </c>
      <c r="B10" s="25" t="s">
        <v>260</v>
      </c>
      <c r="C10" s="25" t="s">
        <v>261</v>
      </c>
      <c r="D10" s="25" t="s">
        <v>262</v>
      </c>
      <c r="E10" s="25" t="s">
        <v>263</v>
      </c>
      <c r="F10" s="25" t="s">
        <v>264</v>
      </c>
    </row>
    <row r="11" customFormat="false" ht="15" hidden="false" customHeight="true" outlineLevel="0" collapsed="false">
      <c r="A11" s="32" t="s">
        <v>259</v>
      </c>
      <c r="B11" s="25" t="s">
        <v>265</v>
      </c>
      <c r="C11" s="25" t="s">
        <v>266</v>
      </c>
      <c r="D11" s="25" t="s">
        <v>267</v>
      </c>
      <c r="E11" s="25" t="s">
        <v>268</v>
      </c>
      <c r="F11" s="25" t="s">
        <v>258</v>
      </c>
    </row>
    <row r="12" customFormat="false" ht="15" hidden="false" customHeight="true" outlineLevel="0" collapsed="false">
      <c r="A12" s="32" t="s">
        <v>259</v>
      </c>
      <c r="B12" s="25" t="s">
        <v>269</v>
      </c>
      <c r="C12" s="25" t="s">
        <v>270</v>
      </c>
      <c r="D12" s="25" t="s">
        <v>271</v>
      </c>
      <c r="E12" s="25" t="s">
        <v>272</v>
      </c>
      <c r="F12" s="25" t="s">
        <v>249</v>
      </c>
    </row>
    <row r="13" customFormat="false" ht="15" hidden="false" customHeight="true" outlineLevel="0" collapsed="false">
      <c r="A13" s="32" t="s">
        <v>259</v>
      </c>
      <c r="B13" s="25" t="s">
        <v>273</v>
      </c>
      <c r="C13" s="25" t="s">
        <v>274</v>
      </c>
      <c r="D13" s="25" t="s">
        <v>275</v>
      </c>
      <c r="E13" s="25" t="s">
        <v>276</v>
      </c>
      <c r="F13" s="25" t="s">
        <v>249</v>
      </c>
    </row>
    <row r="14" customFormat="false" ht="23.25" hidden="false" customHeight="true" outlineLevel="0" collapsed="false">
      <c r="A14" s="33" t="s">
        <v>277</v>
      </c>
      <c r="B14" s="25" t="s">
        <v>278</v>
      </c>
      <c r="C14" s="25" t="s">
        <v>279</v>
      </c>
      <c r="D14" s="25" t="s">
        <v>280</v>
      </c>
      <c r="E14" s="25" t="s">
        <v>281</v>
      </c>
      <c r="F14" s="25" t="s">
        <v>258</v>
      </c>
    </row>
    <row r="15" customFormat="false" ht="15" hidden="false" customHeight="true" outlineLevel="0" collapsed="false">
      <c r="A15" s="33" t="s">
        <v>277</v>
      </c>
      <c r="B15" s="25" t="s">
        <v>282</v>
      </c>
      <c r="C15" s="25" t="s">
        <v>283</v>
      </c>
      <c r="D15" s="25" t="s">
        <v>284</v>
      </c>
      <c r="E15" s="25" t="s">
        <v>285</v>
      </c>
      <c r="F15" s="25" t="s">
        <v>249</v>
      </c>
    </row>
    <row r="16" customFormat="false" ht="15" hidden="false" customHeight="true" outlineLevel="0" collapsed="false">
      <c r="A16" s="33" t="s">
        <v>277</v>
      </c>
      <c r="B16" s="25" t="s">
        <v>286</v>
      </c>
      <c r="C16" s="25" t="s">
        <v>287</v>
      </c>
      <c r="D16" s="25" t="s">
        <v>288</v>
      </c>
      <c r="E16" s="25" t="s">
        <v>289</v>
      </c>
      <c r="F16" s="25" t="s">
        <v>258</v>
      </c>
    </row>
    <row r="17" customFormat="false" ht="23.25" hidden="false" customHeight="true" outlineLevel="0" collapsed="false">
      <c r="A17" s="34" t="s">
        <v>290</v>
      </c>
      <c r="B17" s="25" t="s">
        <v>291</v>
      </c>
      <c r="C17" s="25" t="s">
        <v>292</v>
      </c>
      <c r="D17" s="25" t="s">
        <v>293</v>
      </c>
      <c r="E17" s="25" t="s">
        <v>272</v>
      </c>
      <c r="F17" s="25" t="s">
        <v>294</v>
      </c>
    </row>
    <row r="18" customFormat="false" ht="15" hidden="false" customHeight="true" outlineLevel="0" collapsed="false">
      <c r="A18" s="34" t="s">
        <v>290</v>
      </c>
      <c r="B18" s="25" t="s">
        <v>295</v>
      </c>
      <c r="C18" s="25" t="s">
        <v>296</v>
      </c>
      <c r="D18" s="25" t="s">
        <v>297</v>
      </c>
      <c r="E18" s="25" t="s">
        <v>298</v>
      </c>
      <c r="F18" s="25" t="s">
        <v>299</v>
      </c>
    </row>
    <row r="19" customFormat="false" ht="15" hidden="false" customHeight="true" outlineLevel="0" collapsed="false">
      <c r="A19" s="34" t="s">
        <v>290</v>
      </c>
      <c r="B19" s="25" t="s">
        <v>300</v>
      </c>
      <c r="C19" s="25" t="s">
        <v>301</v>
      </c>
      <c r="D19" s="25" t="s">
        <v>302</v>
      </c>
      <c r="E19" s="25" t="s">
        <v>303</v>
      </c>
      <c r="F19" s="25" t="s">
        <v>69</v>
      </c>
    </row>
    <row r="20" customFormat="false" ht="15" hidden="false" customHeight="true" outlineLevel="0" collapsed="false">
      <c r="A20" s="34" t="s">
        <v>290</v>
      </c>
      <c r="B20" s="25" t="s">
        <v>304</v>
      </c>
      <c r="C20" s="25" t="s">
        <v>305</v>
      </c>
      <c r="D20" s="25" t="s">
        <v>306</v>
      </c>
      <c r="E20" s="25" t="s">
        <v>272</v>
      </c>
      <c r="F20" s="25" t="s">
        <v>307</v>
      </c>
    </row>
    <row r="21" customFormat="false" ht="15" hidden="false" customHeight="true" outlineLevel="0" collapsed="false">
      <c r="A21" s="34" t="s">
        <v>290</v>
      </c>
      <c r="B21" s="25" t="s">
        <v>308</v>
      </c>
      <c r="C21" s="25" t="s">
        <v>309</v>
      </c>
      <c r="D21" s="25" t="s">
        <v>310</v>
      </c>
      <c r="E21" s="25" t="s">
        <v>311</v>
      </c>
      <c r="F21" s="25" t="s">
        <v>312</v>
      </c>
    </row>
    <row r="22" customFormat="false" ht="15" hidden="false" customHeight="true" outlineLevel="0" collapsed="false">
      <c r="A22" s="35" t="s">
        <v>313</v>
      </c>
      <c r="B22" s="25" t="s">
        <v>314</v>
      </c>
      <c r="C22" s="25" t="s">
        <v>315</v>
      </c>
      <c r="D22" s="25" t="s">
        <v>316</v>
      </c>
      <c r="E22" s="25" t="s">
        <v>317</v>
      </c>
      <c r="F22" s="25" t="s">
        <v>318</v>
      </c>
    </row>
    <row r="23" customFormat="false" ht="15" hidden="false" customHeight="true" outlineLevel="0" collapsed="false">
      <c r="A23" s="35" t="s">
        <v>313</v>
      </c>
      <c r="B23" s="25" t="s">
        <v>319</v>
      </c>
      <c r="C23" s="25" t="s">
        <v>320</v>
      </c>
      <c r="D23" s="25" t="s">
        <v>321</v>
      </c>
      <c r="E23" s="25" t="s">
        <v>303</v>
      </c>
      <c r="F23" s="25" t="s">
        <v>69</v>
      </c>
    </row>
    <row r="24" customFormat="false" ht="15" hidden="false" customHeight="true" outlineLevel="0" collapsed="false">
      <c r="A24" s="35" t="s">
        <v>313</v>
      </c>
      <c r="B24" s="25" t="s">
        <v>322</v>
      </c>
      <c r="C24" s="25" t="s">
        <v>323</v>
      </c>
      <c r="D24" s="25" t="s">
        <v>324</v>
      </c>
      <c r="E24" s="25" t="s">
        <v>285</v>
      </c>
      <c r="F24" s="25" t="s">
        <v>249</v>
      </c>
    </row>
    <row r="25" customFormat="false" ht="23.25" hidden="false" customHeight="true" outlineLevel="0" collapsed="false">
      <c r="A25" s="36" t="s">
        <v>325</v>
      </c>
      <c r="B25" s="25" t="s">
        <v>326</v>
      </c>
      <c r="C25" s="25" t="s">
        <v>327</v>
      </c>
      <c r="D25" s="25" t="s">
        <v>328</v>
      </c>
      <c r="E25" s="25" t="s">
        <v>228</v>
      </c>
      <c r="F25" s="25" t="s">
        <v>329</v>
      </c>
    </row>
    <row r="26" customFormat="false" ht="15" hidden="false" customHeight="true" outlineLevel="0" collapsed="false">
      <c r="A26" s="36" t="s">
        <v>325</v>
      </c>
      <c r="B26" s="25" t="s">
        <v>330</v>
      </c>
      <c r="C26" s="25" t="s">
        <v>331</v>
      </c>
      <c r="D26" s="25" t="s">
        <v>332</v>
      </c>
      <c r="E26" s="25" t="s">
        <v>333</v>
      </c>
      <c r="F26" s="25" t="s">
        <v>334</v>
      </c>
    </row>
    <row r="27" customFormat="false" ht="15" hidden="false" customHeight="true" outlineLevel="0" collapsed="false">
      <c r="A27" s="36" t="s">
        <v>325</v>
      </c>
      <c r="B27" s="25" t="s">
        <v>335</v>
      </c>
      <c r="C27" s="25" t="s">
        <v>336</v>
      </c>
      <c r="D27" s="25" t="s">
        <v>337</v>
      </c>
      <c r="E27" s="25" t="s">
        <v>338</v>
      </c>
      <c r="F27" s="25" t="s">
        <v>258</v>
      </c>
    </row>
    <row r="28" customFormat="false" ht="23.25" hidden="false" customHeight="true" outlineLevel="0" collapsed="false">
      <c r="A28" s="37" t="s">
        <v>339</v>
      </c>
      <c r="B28" s="25" t="s">
        <v>340</v>
      </c>
      <c r="C28" s="25" t="s">
        <v>341</v>
      </c>
      <c r="D28" s="25" t="s">
        <v>342</v>
      </c>
      <c r="E28" s="25" t="s">
        <v>343</v>
      </c>
      <c r="F28" s="25" t="s">
        <v>258</v>
      </c>
    </row>
    <row r="29" customFormat="false" ht="23.25" hidden="false" customHeight="true" outlineLevel="0" collapsed="false">
      <c r="A29" s="37" t="s">
        <v>339</v>
      </c>
      <c r="B29" s="25" t="s">
        <v>344</v>
      </c>
      <c r="C29" s="25" t="s">
        <v>345</v>
      </c>
      <c r="D29" s="25" t="s">
        <v>346</v>
      </c>
      <c r="E29" s="25" t="s">
        <v>347</v>
      </c>
      <c r="F29" s="25" t="s">
        <v>249</v>
      </c>
    </row>
    <row r="30" customFormat="false" ht="23.25" hidden="false" customHeight="true" outlineLevel="0" collapsed="false">
      <c r="A30" s="37" t="s">
        <v>339</v>
      </c>
      <c r="B30" s="25" t="s">
        <v>348</v>
      </c>
      <c r="C30" s="25" t="s">
        <v>349</v>
      </c>
      <c r="D30" s="25" t="s">
        <v>350</v>
      </c>
      <c r="E30" s="25" t="s">
        <v>351</v>
      </c>
      <c r="F30" s="25" t="s">
        <v>258</v>
      </c>
    </row>
    <row r="31" customFormat="false" ht="23.25" hidden="false" customHeight="true" outlineLevel="0" collapsed="false">
      <c r="A31" s="37" t="s">
        <v>339</v>
      </c>
      <c r="B31" s="25" t="s">
        <v>352</v>
      </c>
      <c r="C31" s="25" t="s">
        <v>353</v>
      </c>
      <c r="D31" s="25" t="s">
        <v>354</v>
      </c>
      <c r="E31" s="25" t="s">
        <v>355</v>
      </c>
      <c r="F31" s="25" t="s">
        <v>249</v>
      </c>
    </row>
    <row r="32" customFormat="false" ht="23.25" hidden="false" customHeight="true" outlineLevel="0" collapsed="false">
      <c r="A32" s="37" t="s">
        <v>339</v>
      </c>
      <c r="B32" s="25" t="s">
        <v>356</v>
      </c>
      <c r="C32" s="25" t="s">
        <v>357</v>
      </c>
      <c r="D32" s="25" t="s">
        <v>358</v>
      </c>
      <c r="E32" s="25" t="s">
        <v>272</v>
      </c>
      <c r="F32" s="25" t="s">
        <v>359</v>
      </c>
    </row>
    <row r="33" customFormat="false" ht="23.25" hidden="false" customHeight="true" outlineLevel="0" collapsed="false">
      <c r="A33" s="37" t="s">
        <v>339</v>
      </c>
      <c r="B33" s="25" t="s">
        <v>360</v>
      </c>
      <c r="C33" s="25" t="s">
        <v>361</v>
      </c>
      <c r="D33" s="25" t="s">
        <v>362</v>
      </c>
      <c r="E33" s="25" t="s">
        <v>272</v>
      </c>
      <c r="F33" s="25" t="s">
        <v>363</v>
      </c>
    </row>
    <row r="34" customFormat="false" ht="23.25" hidden="false" customHeight="true" outlineLevel="0" collapsed="false">
      <c r="A34" s="37" t="s">
        <v>339</v>
      </c>
      <c r="B34" s="25" t="s">
        <v>364</v>
      </c>
      <c r="C34" s="25" t="s">
        <v>365</v>
      </c>
      <c r="D34" s="25" t="s">
        <v>366</v>
      </c>
      <c r="E34" s="25" t="s">
        <v>367</v>
      </c>
      <c r="F34" s="25" t="s">
        <v>368</v>
      </c>
    </row>
    <row r="35" customFormat="false" ht="23.25" hidden="false" customHeight="true" outlineLevel="0" collapsed="false">
      <c r="A35" s="37" t="s">
        <v>339</v>
      </c>
      <c r="B35" s="25" t="s">
        <v>369</v>
      </c>
      <c r="C35" s="25" t="s">
        <v>370</v>
      </c>
      <c r="D35" s="25" t="s">
        <v>371</v>
      </c>
      <c r="E35" s="25" t="s">
        <v>372</v>
      </c>
      <c r="F35" s="25" t="s">
        <v>373</v>
      </c>
    </row>
    <row r="36" customFormat="false" ht="23.25" hidden="false" customHeight="true" outlineLevel="0" collapsed="false">
      <c r="A36" s="37" t="s">
        <v>339</v>
      </c>
      <c r="B36" s="25" t="s">
        <v>374</v>
      </c>
      <c r="C36" s="25" t="s">
        <v>375</v>
      </c>
      <c r="D36" s="25" t="s">
        <v>376</v>
      </c>
      <c r="E36" s="25" t="s">
        <v>377</v>
      </c>
      <c r="F36" s="25" t="s">
        <v>378</v>
      </c>
    </row>
    <row r="37" customFormat="false" ht="23.25" hidden="false" customHeight="true" outlineLevel="0" collapsed="false">
      <c r="A37" s="37" t="s">
        <v>339</v>
      </c>
      <c r="B37" s="25" t="s">
        <v>379</v>
      </c>
      <c r="C37" s="25" t="s">
        <v>380</v>
      </c>
      <c r="D37" s="25" t="s">
        <v>381</v>
      </c>
      <c r="E37" s="25" t="s">
        <v>382</v>
      </c>
      <c r="F37" s="25" t="s">
        <v>383</v>
      </c>
    </row>
    <row r="38" customFormat="false" ht="23.25" hidden="false" customHeight="true" outlineLevel="0" collapsed="false">
      <c r="A38" s="38" t="s">
        <v>384</v>
      </c>
      <c r="B38" s="25" t="s">
        <v>385</v>
      </c>
      <c r="C38" s="25" t="s">
        <v>386</v>
      </c>
      <c r="D38" s="25" t="s">
        <v>387</v>
      </c>
      <c r="E38" s="25" t="s">
        <v>285</v>
      </c>
      <c r="F38" s="25" t="s">
        <v>249</v>
      </c>
    </row>
    <row r="39" customFormat="false" ht="23.25" hidden="false" customHeight="true" outlineLevel="0" collapsed="false">
      <c r="A39" s="38" t="s">
        <v>384</v>
      </c>
      <c r="B39" s="25" t="s">
        <v>388</v>
      </c>
      <c r="C39" s="25" t="s">
        <v>389</v>
      </c>
      <c r="D39" s="25" t="s">
        <v>390</v>
      </c>
      <c r="E39" s="25" t="s">
        <v>391</v>
      </c>
      <c r="F39" s="25" t="s">
        <v>392</v>
      </c>
    </row>
    <row r="40" customFormat="false" ht="23.25" hidden="false" customHeight="true" outlineLevel="0" collapsed="false">
      <c r="A40" s="38" t="s">
        <v>384</v>
      </c>
      <c r="B40" s="25" t="s">
        <v>393</v>
      </c>
      <c r="C40" s="25" t="s">
        <v>394</v>
      </c>
      <c r="D40" s="25" t="s">
        <v>395</v>
      </c>
      <c r="E40" s="25" t="s">
        <v>285</v>
      </c>
      <c r="F40" s="25" t="s">
        <v>258</v>
      </c>
    </row>
    <row r="41" customFormat="false" ht="23.25" hidden="false" customHeight="true" outlineLevel="0" collapsed="false">
      <c r="A41" s="38" t="s">
        <v>384</v>
      </c>
      <c r="B41" s="25" t="s">
        <v>396</v>
      </c>
      <c r="C41" s="25" t="s">
        <v>397</v>
      </c>
      <c r="D41" s="25" t="s">
        <v>398</v>
      </c>
      <c r="E41" s="25" t="s">
        <v>399</v>
      </c>
      <c r="F41" s="25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4" topLeftCell="A2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54"/>
    <col collapsed="false" customWidth="true" hidden="false" outlineLevel="0" max="7" min="7" style="0" width="38"/>
  </cols>
  <sheetData>
    <row r="1" customFormat="false" ht="30" hidden="false" customHeight="true" outlineLevel="0" collapsed="false">
      <c r="A1" s="39" t="s">
        <v>400</v>
      </c>
      <c r="B1" s="39"/>
      <c r="C1" s="39"/>
      <c r="D1" s="39"/>
      <c r="E1" s="39"/>
      <c r="F1" s="39"/>
      <c r="G1" s="39"/>
    </row>
    <row r="2" customFormat="false" ht="36" hidden="false" customHeight="true" outlineLevel="0" collapsed="false">
      <c r="A2" s="40" t="s">
        <v>401</v>
      </c>
      <c r="B2" s="40"/>
      <c r="C2" s="40"/>
      <c r="D2" s="40"/>
      <c r="E2" s="40"/>
      <c r="F2" s="40"/>
      <c r="G2" s="40"/>
    </row>
    <row r="3" customFormat="false" ht="15" hidden="false" customHeight="true" outlineLevel="0" collapsed="false">
      <c r="A3" s="41" t="s">
        <v>402</v>
      </c>
      <c r="B3" s="41"/>
      <c r="C3" s="41"/>
      <c r="D3" s="41"/>
      <c r="E3" s="41"/>
      <c r="F3" s="41"/>
      <c r="G3" s="41"/>
    </row>
    <row r="4" customFormat="false" ht="46.25" hidden="false" customHeight="true" outlineLevel="0" collapsed="false">
      <c r="A4" s="42" t="s">
        <v>403</v>
      </c>
      <c r="B4" s="43" t="s">
        <v>404</v>
      </c>
      <c r="C4" s="43"/>
      <c r="D4" s="43"/>
      <c r="E4" s="43"/>
      <c r="F4" s="43"/>
      <c r="G4" s="43"/>
    </row>
    <row r="5" customFormat="false" ht="35.05" hidden="false" customHeight="true" outlineLevel="0" collapsed="false">
      <c r="A5" s="44" t="s">
        <v>405</v>
      </c>
      <c r="B5" s="43" t="s">
        <v>406</v>
      </c>
      <c r="C5" s="43"/>
      <c r="D5" s="43"/>
      <c r="E5" s="43"/>
      <c r="F5" s="43"/>
      <c r="G5" s="43"/>
    </row>
    <row r="6" customFormat="false" ht="46.25" hidden="false" customHeight="true" outlineLevel="0" collapsed="false">
      <c r="A6" s="45" t="s">
        <v>407</v>
      </c>
      <c r="B6" s="43" t="s">
        <v>408</v>
      </c>
      <c r="C6" s="43"/>
      <c r="D6" s="43"/>
      <c r="E6" s="43"/>
      <c r="F6" s="43"/>
      <c r="G6" s="43"/>
    </row>
    <row r="7" customFormat="false" ht="68.65" hidden="false" customHeight="true" outlineLevel="0" collapsed="false">
      <c r="A7" s="45" t="s">
        <v>409</v>
      </c>
      <c r="B7" s="43" t="s">
        <v>410</v>
      </c>
      <c r="C7" s="43"/>
      <c r="D7" s="43"/>
      <c r="E7" s="43"/>
      <c r="F7" s="43"/>
      <c r="G7" s="43"/>
    </row>
    <row r="9" customFormat="false" ht="15" hidden="false" customHeight="true" outlineLevel="0" collapsed="false">
      <c r="A9" s="41" t="s">
        <v>411</v>
      </c>
      <c r="B9" s="41"/>
      <c r="C9" s="41"/>
      <c r="D9" s="41"/>
      <c r="E9" s="41"/>
      <c r="F9" s="41"/>
      <c r="G9" s="41"/>
    </row>
    <row r="10" customFormat="false" ht="15" hidden="false" customHeight="true" outlineLevel="0" collapsed="false">
      <c r="A10" s="22" t="s">
        <v>412</v>
      </c>
      <c r="B10" s="22" t="s">
        <v>413</v>
      </c>
      <c r="C10" s="46" t="s">
        <v>414</v>
      </c>
      <c r="D10" s="46"/>
      <c r="E10" s="46"/>
      <c r="F10" s="46" t="s">
        <v>415</v>
      </c>
      <c r="G10" s="46"/>
    </row>
    <row r="11" customFormat="false" ht="49.5" hidden="false" customHeight="true" outlineLevel="0" collapsed="false">
      <c r="A11" s="47" t="n">
        <v>1</v>
      </c>
      <c r="B11" s="48" t="s">
        <v>416</v>
      </c>
      <c r="C11" s="49" t="s">
        <v>417</v>
      </c>
      <c r="D11" s="49"/>
      <c r="E11" s="49"/>
      <c r="F11" s="50" t="s">
        <v>418</v>
      </c>
      <c r="G11" s="50"/>
    </row>
    <row r="12" customFormat="false" ht="49.5" hidden="false" customHeight="true" outlineLevel="0" collapsed="false">
      <c r="A12" s="47" t="n">
        <v>2</v>
      </c>
      <c r="B12" s="48" t="s">
        <v>419</v>
      </c>
      <c r="C12" s="49" t="s">
        <v>420</v>
      </c>
      <c r="D12" s="49"/>
      <c r="E12" s="49"/>
      <c r="F12" s="50" t="s">
        <v>421</v>
      </c>
      <c r="G12" s="50"/>
    </row>
    <row r="13" customFormat="false" ht="49.5" hidden="false" customHeight="true" outlineLevel="0" collapsed="false">
      <c r="A13" s="47" t="n">
        <v>3</v>
      </c>
      <c r="B13" s="48" t="s">
        <v>422</v>
      </c>
      <c r="C13" s="49" t="s">
        <v>423</v>
      </c>
      <c r="D13" s="49"/>
      <c r="E13" s="49"/>
      <c r="F13" s="50" t="s">
        <v>424</v>
      </c>
      <c r="G13" s="50"/>
    </row>
    <row r="14" customFormat="false" ht="49.5" hidden="false" customHeight="true" outlineLevel="0" collapsed="false">
      <c r="A14" s="47" t="n">
        <v>4</v>
      </c>
      <c r="B14" s="48" t="s">
        <v>425</v>
      </c>
      <c r="C14" s="49" t="s">
        <v>426</v>
      </c>
      <c r="D14" s="49"/>
      <c r="E14" s="49"/>
      <c r="F14" s="50" t="s">
        <v>427</v>
      </c>
      <c r="G14" s="50"/>
    </row>
    <row r="15" customFormat="false" ht="49.5" hidden="false" customHeight="true" outlineLevel="0" collapsed="false">
      <c r="A15" s="47" t="n">
        <v>5</v>
      </c>
      <c r="B15" s="48" t="s">
        <v>428</v>
      </c>
      <c r="C15" s="49" t="s">
        <v>429</v>
      </c>
      <c r="D15" s="49"/>
      <c r="E15" s="49"/>
      <c r="F15" s="50" t="s">
        <v>430</v>
      </c>
      <c r="G15" s="50"/>
    </row>
    <row r="16" customFormat="false" ht="49.5" hidden="false" customHeight="true" outlineLevel="0" collapsed="false">
      <c r="A16" s="47" t="n">
        <v>6</v>
      </c>
      <c r="B16" s="48" t="s">
        <v>431</v>
      </c>
      <c r="C16" s="49" t="s">
        <v>432</v>
      </c>
      <c r="D16" s="49"/>
      <c r="E16" s="49"/>
      <c r="F16" s="50" t="s">
        <v>433</v>
      </c>
      <c r="G16" s="50"/>
    </row>
    <row r="17" customFormat="false" ht="49.5" hidden="false" customHeight="true" outlineLevel="0" collapsed="false">
      <c r="A17" s="47" t="n">
        <v>7</v>
      </c>
      <c r="B17" s="48" t="s">
        <v>434</v>
      </c>
      <c r="C17" s="49" t="s">
        <v>435</v>
      </c>
      <c r="D17" s="49"/>
      <c r="E17" s="49"/>
      <c r="F17" s="50" t="s">
        <v>436</v>
      </c>
      <c r="G17" s="50"/>
    </row>
    <row r="18" customFormat="false" ht="49.5" hidden="false" customHeight="true" outlineLevel="0" collapsed="false">
      <c r="A18" s="47" t="n">
        <v>8</v>
      </c>
      <c r="B18" s="48" t="s">
        <v>437</v>
      </c>
      <c r="C18" s="49" t="s">
        <v>438</v>
      </c>
      <c r="D18" s="49"/>
      <c r="E18" s="49"/>
      <c r="F18" s="50" t="s">
        <v>439</v>
      </c>
      <c r="G18" s="50"/>
    </row>
    <row r="19" customFormat="false" ht="49.5" hidden="false" customHeight="true" outlineLevel="0" collapsed="false">
      <c r="A19" s="47" t="n">
        <v>9</v>
      </c>
      <c r="B19" s="48" t="s">
        <v>440</v>
      </c>
      <c r="C19" s="49" t="s">
        <v>441</v>
      </c>
      <c r="D19" s="49"/>
      <c r="E19" s="49"/>
      <c r="F19" s="50" t="s">
        <v>442</v>
      </c>
      <c r="G19" s="50"/>
    </row>
    <row r="20" customFormat="false" ht="49.5" hidden="false" customHeight="true" outlineLevel="0" collapsed="false">
      <c r="A20" s="47" t="n">
        <v>10</v>
      </c>
      <c r="B20" s="48" t="s">
        <v>443</v>
      </c>
      <c r="C20" s="49" t="s">
        <v>444</v>
      </c>
      <c r="D20" s="49"/>
      <c r="E20" s="49"/>
      <c r="F20" s="50" t="s">
        <v>445</v>
      </c>
      <c r="G20" s="50"/>
    </row>
    <row r="23" customFormat="false" ht="15" hidden="false" customHeight="true" outlineLevel="0" collapsed="false">
      <c r="A23" s="41" t="s">
        <v>446</v>
      </c>
      <c r="B23" s="41"/>
      <c r="C23" s="41"/>
      <c r="D23" s="41"/>
      <c r="E23" s="41"/>
      <c r="F23" s="41"/>
      <c r="G23" s="41"/>
    </row>
    <row r="24" customFormat="false" ht="15" hidden="false" customHeight="false" outlineLevel="0" collapsed="false">
      <c r="A24" s="22" t="s">
        <v>447</v>
      </c>
      <c r="B24" s="22" t="s">
        <v>215</v>
      </c>
      <c r="C24" s="22" t="s">
        <v>216</v>
      </c>
      <c r="D24" s="22" t="s">
        <v>448</v>
      </c>
      <c r="E24" s="22" t="s">
        <v>449</v>
      </c>
      <c r="F24" s="22" t="s">
        <v>450</v>
      </c>
      <c r="G24" s="22" t="s">
        <v>451</v>
      </c>
    </row>
    <row r="25" customFormat="false" ht="69.75" hidden="false" customHeight="true" outlineLevel="0" collapsed="false">
      <c r="A25" s="51" t="s">
        <v>452</v>
      </c>
      <c r="B25" s="52" t="s">
        <v>220</v>
      </c>
      <c r="C25" s="48" t="s">
        <v>221</v>
      </c>
      <c r="D25" s="53" t="s">
        <v>403</v>
      </c>
      <c r="E25" s="54" t="s">
        <v>453</v>
      </c>
      <c r="F25" s="54" t="s">
        <v>454</v>
      </c>
      <c r="G25" s="55" t="s">
        <v>455</v>
      </c>
    </row>
    <row r="26" customFormat="false" ht="69.75" hidden="false" customHeight="true" outlineLevel="0" collapsed="false">
      <c r="A26" s="51" t="s">
        <v>452</v>
      </c>
      <c r="B26" s="52" t="s">
        <v>225</v>
      </c>
      <c r="C26" s="48" t="s">
        <v>226</v>
      </c>
      <c r="D26" s="53" t="s">
        <v>403</v>
      </c>
      <c r="E26" s="54" t="s">
        <v>456</v>
      </c>
      <c r="F26" s="54" t="s">
        <v>457</v>
      </c>
      <c r="G26" s="55" t="s">
        <v>458</v>
      </c>
    </row>
    <row r="27" customFormat="false" ht="102" hidden="false" customHeight="true" outlineLevel="0" collapsed="false">
      <c r="A27" s="51" t="s">
        <v>452</v>
      </c>
      <c r="B27" s="52" t="s">
        <v>230</v>
      </c>
      <c r="C27" s="48" t="s">
        <v>231</v>
      </c>
      <c r="D27" s="56" t="s">
        <v>407</v>
      </c>
      <c r="E27" s="54" t="s">
        <v>459</v>
      </c>
      <c r="F27" s="54" t="s">
        <v>460</v>
      </c>
      <c r="G27" s="55" t="s">
        <v>461</v>
      </c>
    </row>
    <row r="28" customFormat="false" ht="72.75" hidden="false" customHeight="true" outlineLevel="0" collapsed="false">
      <c r="A28" s="51" t="s">
        <v>452</v>
      </c>
      <c r="B28" s="52" t="s">
        <v>235</v>
      </c>
      <c r="C28" s="48" t="s">
        <v>236</v>
      </c>
      <c r="D28" s="56" t="s">
        <v>407</v>
      </c>
      <c r="E28" s="54" t="s">
        <v>462</v>
      </c>
      <c r="F28" s="54" t="s">
        <v>463</v>
      </c>
      <c r="G28" s="55" t="s">
        <v>464</v>
      </c>
    </row>
    <row r="29" customFormat="false" ht="69.75" hidden="false" customHeight="true" outlineLevel="0" collapsed="false">
      <c r="A29" s="51" t="s">
        <v>452</v>
      </c>
      <c r="B29" s="52" t="s">
        <v>240</v>
      </c>
      <c r="C29" s="48" t="s">
        <v>241</v>
      </c>
      <c r="D29" s="56" t="s">
        <v>407</v>
      </c>
      <c r="E29" s="54" t="s">
        <v>465</v>
      </c>
      <c r="F29" s="54" t="s">
        <v>466</v>
      </c>
      <c r="G29" s="55" t="s">
        <v>467</v>
      </c>
    </row>
    <row r="30" customFormat="false" ht="93" hidden="false" customHeight="true" outlineLevel="0" collapsed="false">
      <c r="A30" s="57" t="s">
        <v>468</v>
      </c>
      <c r="B30" s="52" t="s">
        <v>245</v>
      </c>
      <c r="C30" s="48" t="s">
        <v>246</v>
      </c>
      <c r="D30" s="56" t="s">
        <v>407</v>
      </c>
      <c r="E30" s="54" t="s">
        <v>469</v>
      </c>
      <c r="F30" s="54" t="s">
        <v>470</v>
      </c>
      <c r="G30" s="55" t="s">
        <v>471</v>
      </c>
    </row>
    <row r="31" customFormat="false" ht="69.75" hidden="false" customHeight="true" outlineLevel="0" collapsed="false">
      <c r="A31" s="57" t="s">
        <v>468</v>
      </c>
      <c r="B31" s="52" t="s">
        <v>250</v>
      </c>
      <c r="C31" s="48" t="s">
        <v>251</v>
      </c>
      <c r="D31" s="53" t="s">
        <v>403</v>
      </c>
      <c r="E31" s="54" t="s">
        <v>472</v>
      </c>
      <c r="F31" s="54" t="s">
        <v>473</v>
      </c>
      <c r="G31" s="55" t="s">
        <v>474</v>
      </c>
    </row>
    <row r="32" customFormat="false" ht="85.5" hidden="false" customHeight="true" outlineLevel="0" collapsed="false">
      <c r="A32" s="57" t="s">
        <v>468</v>
      </c>
      <c r="B32" s="52" t="s">
        <v>254</v>
      </c>
      <c r="C32" s="48" t="s">
        <v>255</v>
      </c>
      <c r="D32" s="56" t="s">
        <v>407</v>
      </c>
      <c r="E32" s="54" t="s">
        <v>475</v>
      </c>
      <c r="F32" s="54" t="s">
        <v>476</v>
      </c>
      <c r="G32" s="55" t="s">
        <v>477</v>
      </c>
    </row>
    <row r="33" customFormat="false" ht="100.5" hidden="false" customHeight="true" outlineLevel="0" collapsed="false">
      <c r="A33" s="58" t="s">
        <v>478</v>
      </c>
      <c r="B33" s="52" t="s">
        <v>260</v>
      </c>
      <c r="C33" s="48" t="s">
        <v>261</v>
      </c>
      <c r="D33" s="53" t="s">
        <v>403</v>
      </c>
      <c r="E33" s="54" t="s">
        <v>479</v>
      </c>
      <c r="F33" s="54" t="s">
        <v>480</v>
      </c>
      <c r="G33" s="55" t="s">
        <v>481</v>
      </c>
    </row>
    <row r="34" customFormat="false" ht="108" hidden="false" customHeight="true" outlineLevel="0" collapsed="false">
      <c r="A34" s="58" t="s">
        <v>478</v>
      </c>
      <c r="B34" s="52" t="s">
        <v>265</v>
      </c>
      <c r="C34" s="48" t="s">
        <v>266</v>
      </c>
      <c r="D34" s="56" t="s">
        <v>407</v>
      </c>
      <c r="E34" s="54" t="s">
        <v>482</v>
      </c>
      <c r="F34" s="54" t="s">
        <v>483</v>
      </c>
      <c r="G34" s="55" t="s">
        <v>484</v>
      </c>
    </row>
    <row r="35" customFormat="false" ht="69.75" hidden="false" customHeight="true" outlineLevel="0" collapsed="false">
      <c r="A35" s="58" t="s">
        <v>478</v>
      </c>
      <c r="B35" s="52" t="s">
        <v>269</v>
      </c>
      <c r="C35" s="48" t="s">
        <v>270</v>
      </c>
      <c r="D35" s="53" t="s">
        <v>485</v>
      </c>
      <c r="E35" s="54" t="s">
        <v>486</v>
      </c>
      <c r="F35" s="54" t="s">
        <v>487</v>
      </c>
      <c r="G35" s="55" t="s">
        <v>488</v>
      </c>
    </row>
    <row r="36" customFormat="false" ht="99.75" hidden="false" customHeight="true" outlineLevel="0" collapsed="false">
      <c r="A36" s="58" t="s">
        <v>478</v>
      </c>
      <c r="B36" s="52" t="s">
        <v>273</v>
      </c>
      <c r="C36" s="48" t="s">
        <v>274</v>
      </c>
      <c r="D36" s="56" t="s">
        <v>409</v>
      </c>
      <c r="E36" s="54" t="s">
        <v>489</v>
      </c>
      <c r="F36" s="54" t="s">
        <v>490</v>
      </c>
      <c r="G36" s="55" t="s">
        <v>491</v>
      </c>
    </row>
    <row r="37" customFormat="false" ht="77.25" hidden="false" customHeight="true" outlineLevel="0" collapsed="false">
      <c r="A37" s="59" t="s">
        <v>492</v>
      </c>
      <c r="B37" s="52" t="s">
        <v>278</v>
      </c>
      <c r="C37" s="48" t="s">
        <v>279</v>
      </c>
      <c r="D37" s="56" t="s">
        <v>407</v>
      </c>
      <c r="E37" s="54" t="s">
        <v>493</v>
      </c>
      <c r="F37" s="54" t="s">
        <v>494</v>
      </c>
      <c r="G37" s="55" t="s">
        <v>495</v>
      </c>
    </row>
    <row r="38" customFormat="false" ht="102.75" hidden="false" customHeight="true" outlineLevel="0" collapsed="false">
      <c r="A38" s="59" t="s">
        <v>492</v>
      </c>
      <c r="B38" s="52" t="s">
        <v>282</v>
      </c>
      <c r="C38" s="48" t="s">
        <v>283</v>
      </c>
      <c r="D38" s="56" t="s">
        <v>407</v>
      </c>
      <c r="E38" s="54" t="s">
        <v>496</v>
      </c>
      <c r="F38" s="54" t="s">
        <v>497</v>
      </c>
      <c r="G38" s="55" t="s">
        <v>498</v>
      </c>
    </row>
    <row r="39" customFormat="false" ht="69.75" hidden="false" customHeight="true" outlineLevel="0" collapsed="false">
      <c r="A39" s="59" t="s">
        <v>492</v>
      </c>
      <c r="B39" s="52" t="s">
        <v>286</v>
      </c>
      <c r="C39" s="48" t="s">
        <v>287</v>
      </c>
      <c r="D39" s="56" t="s">
        <v>499</v>
      </c>
      <c r="E39" s="54" t="s">
        <v>500</v>
      </c>
      <c r="F39" s="54" t="s">
        <v>501</v>
      </c>
      <c r="G39" s="55" t="s">
        <v>502</v>
      </c>
    </row>
    <row r="40" customFormat="false" ht="69.75" hidden="false" customHeight="true" outlineLevel="0" collapsed="false">
      <c r="A40" s="60" t="s">
        <v>503</v>
      </c>
      <c r="B40" s="52" t="s">
        <v>291</v>
      </c>
      <c r="C40" s="48" t="s">
        <v>292</v>
      </c>
      <c r="D40" s="53" t="s">
        <v>485</v>
      </c>
      <c r="E40" s="54" t="s">
        <v>504</v>
      </c>
      <c r="F40" s="54" t="s">
        <v>505</v>
      </c>
      <c r="G40" s="55" t="s">
        <v>506</v>
      </c>
    </row>
    <row r="41" customFormat="false" ht="69.75" hidden="false" customHeight="true" outlineLevel="0" collapsed="false">
      <c r="A41" s="60" t="s">
        <v>503</v>
      </c>
      <c r="B41" s="52" t="s">
        <v>295</v>
      </c>
      <c r="C41" s="48" t="s">
        <v>296</v>
      </c>
      <c r="D41" s="53" t="s">
        <v>403</v>
      </c>
      <c r="E41" s="54" t="s">
        <v>507</v>
      </c>
      <c r="F41" s="54" t="s">
        <v>508</v>
      </c>
      <c r="G41" s="55" t="s">
        <v>509</v>
      </c>
    </row>
    <row r="42" customFormat="false" ht="69.75" hidden="false" customHeight="true" outlineLevel="0" collapsed="false">
      <c r="A42" s="60" t="s">
        <v>503</v>
      </c>
      <c r="B42" s="52" t="s">
        <v>300</v>
      </c>
      <c r="C42" s="48" t="s">
        <v>301</v>
      </c>
      <c r="D42" s="53" t="s">
        <v>510</v>
      </c>
      <c r="E42" s="54" t="s">
        <v>511</v>
      </c>
      <c r="F42" s="54" t="s">
        <v>512</v>
      </c>
      <c r="G42" s="55" t="s">
        <v>513</v>
      </c>
    </row>
    <row r="43" customFormat="false" ht="72" hidden="false" customHeight="true" outlineLevel="0" collapsed="false">
      <c r="A43" s="60" t="s">
        <v>503</v>
      </c>
      <c r="B43" s="52" t="s">
        <v>304</v>
      </c>
      <c r="C43" s="48" t="s">
        <v>305</v>
      </c>
      <c r="D43" s="61" t="s">
        <v>405</v>
      </c>
      <c r="E43" s="54" t="s">
        <v>514</v>
      </c>
      <c r="F43" s="54" t="s">
        <v>515</v>
      </c>
      <c r="G43" s="55" t="s">
        <v>516</v>
      </c>
    </row>
    <row r="44" customFormat="false" ht="72" hidden="false" customHeight="true" outlineLevel="0" collapsed="false">
      <c r="A44" s="60" t="s">
        <v>503</v>
      </c>
      <c r="B44" s="52" t="s">
        <v>308</v>
      </c>
      <c r="C44" s="48" t="s">
        <v>309</v>
      </c>
      <c r="D44" s="53" t="s">
        <v>403</v>
      </c>
      <c r="E44" s="54" t="s">
        <v>517</v>
      </c>
      <c r="F44" s="54" t="s">
        <v>518</v>
      </c>
      <c r="G44" s="55" t="s">
        <v>519</v>
      </c>
    </row>
    <row r="45" customFormat="false" ht="69.75" hidden="false" customHeight="true" outlineLevel="0" collapsed="false">
      <c r="A45" s="62" t="s">
        <v>520</v>
      </c>
      <c r="B45" s="52" t="s">
        <v>314</v>
      </c>
      <c r="C45" s="48" t="s">
        <v>315</v>
      </c>
      <c r="D45" s="53" t="s">
        <v>521</v>
      </c>
      <c r="E45" s="54" t="s">
        <v>522</v>
      </c>
      <c r="F45" s="54" t="s">
        <v>523</v>
      </c>
      <c r="G45" s="55" t="s">
        <v>524</v>
      </c>
    </row>
    <row r="46" customFormat="false" ht="69.75" hidden="false" customHeight="true" outlineLevel="0" collapsed="false">
      <c r="A46" s="62" t="s">
        <v>520</v>
      </c>
      <c r="B46" s="52" t="s">
        <v>319</v>
      </c>
      <c r="C46" s="48" t="s">
        <v>320</v>
      </c>
      <c r="D46" s="61" t="s">
        <v>525</v>
      </c>
      <c r="E46" s="54" t="s">
        <v>526</v>
      </c>
      <c r="F46" s="54" t="s">
        <v>527</v>
      </c>
      <c r="G46" s="55" t="s">
        <v>528</v>
      </c>
    </row>
    <row r="47" customFormat="false" ht="69.75" hidden="false" customHeight="true" outlineLevel="0" collapsed="false">
      <c r="A47" s="62" t="s">
        <v>520</v>
      </c>
      <c r="B47" s="52" t="s">
        <v>322</v>
      </c>
      <c r="C47" s="48" t="s">
        <v>323</v>
      </c>
      <c r="D47" s="61" t="s">
        <v>529</v>
      </c>
      <c r="E47" s="54" t="s">
        <v>526</v>
      </c>
      <c r="F47" s="54" t="s">
        <v>530</v>
      </c>
      <c r="G47" s="55" t="s">
        <v>528</v>
      </c>
    </row>
    <row r="48" customFormat="false" ht="86.25" hidden="false" customHeight="true" outlineLevel="0" collapsed="false">
      <c r="A48" s="63" t="s">
        <v>531</v>
      </c>
      <c r="B48" s="52" t="s">
        <v>326</v>
      </c>
      <c r="C48" s="48" t="s">
        <v>327</v>
      </c>
      <c r="D48" s="56" t="s">
        <v>532</v>
      </c>
      <c r="E48" s="54" t="s">
        <v>533</v>
      </c>
      <c r="F48" s="54" t="s">
        <v>534</v>
      </c>
      <c r="G48" s="55" t="s">
        <v>535</v>
      </c>
    </row>
    <row r="49" customFormat="false" ht="69.75" hidden="false" customHeight="true" outlineLevel="0" collapsed="false">
      <c r="A49" s="63" t="s">
        <v>531</v>
      </c>
      <c r="B49" s="52" t="s">
        <v>330</v>
      </c>
      <c r="C49" s="48" t="s">
        <v>331</v>
      </c>
      <c r="D49" s="56" t="s">
        <v>407</v>
      </c>
      <c r="E49" s="54" t="s">
        <v>536</v>
      </c>
      <c r="F49" s="54" t="s">
        <v>537</v>
      </c>
      <c r="G49" s="55" t="s">
        <v>538</v>
      </c>
    </row>
    <row r="50" customFormat="false" ht="103.5" hidden="false" customHeight="true" outlineLevel="0" collapsed="false">
      <c r="A50" s="63" t="s">
        <v>531</v>
      </c>
      <c r="B50" s="52" t="s">
        <v>335</v>
      </c>
      <c r="C50" s="48" t="s">
        <v>336</v>
      </c>
      <c r="D50" s="56" t="s">
        <v>407</v>
      </c>
      <c r="E50" s="54" t="s">
        <v>539</v>
      </c>
      <c r="F50" s="54" t="s">
        <v>540</v>
      </c>
      <c r="G50" s="55" t="s">
        <v>541</v>
      </c>
    </row>
    <row r="51" customFormat="false" ht="105" hidden="false" customHeight="true" outlineLevel="0" collapsed="false">
      <c r="A51" s="64" t="s">
        <v>542</v>
      </c>
      <c r="B51" s="52" t="s">
        <v>340</v>
      </c>
      <c r="C51" s="48" t="s">
        <v>341</v>
      </c>
      <c r="D51" s="56" t="s">
        <v>409</v>
      </c>
      <c r="E51" s="54" t="s">
        <v>543</v>
      </c>
      <c r="F51" s="54" t="s">
        <v>544</v>
      </c>
      <c r="G51" s="55" t="s">
        <v>545</v>
      </c>
    </row>
    <row r="52" customFormat="false" ht="107.25" hidden="false" customHeight="true" outlineLevel="0" collapsed="false">
      <c r="A52" s="64" t="s">
        <v>542</v>
      </c>
      <c r="B52" s="52" t="s">
        <v>344</v>
      </c>
      <c r="C52" s="48" t="s">
        <v>345</v>
      </c>
      <c r="D52" s="56" t="s">
        <v>546</v>
      </c>
      <c r="E52" s="54" t="s">
        <v>547</v>
      </c>
      <c r="F52" s="54" t="s">
        <v>548</v>
      </c>
      <c r="G52" s="55" t="s">
        <v>549</v>
      </c>
    </row>
    <row r="53" customFormat="false" ht="110.25" hidden="false" customHeight="true" outlineLevel="0" collapsed="false">
      <c r="A53" s="64" t="s">
        <v>542</v>
      </c>
      <c r="B53" s="52" t="s">
        <v>348</v>
      </c>
      <c r="C53" s="48" t="s">
        <v>349</v>
      </c>
      <c r="D53" s="56" t="s">
        <v>550</v>
      </c>
      <c r="E53" s="54" t="s">
        <v>551</v>
      </c>
      <c r="F53" s="54" t="s">
        <v>552</v>
      </c>
      <c r="G53" s="55" t="s">
        <v>553</v>
      </c>
    </row>
    <row r="54" customFormat="false" ht="136.5" hidden="false" customHeight="true" outlineLevel="0" collapsed="false">
      <c r="A54" s="64" t="s">
        <v>542</v>
      </c>
      <c r="B54" s="52" t="s">
        <v>352</v>
      </c>
      <c r="C54" s="48" t="s">
        <v>353</v>
      </c>
      <c r="D54" s="56" t="s">
        <v>554</v>
      </c>
      <c r="E54" s="54" t="s">
        <v>555</v>
      </c>
      <c r="F54" s="54" t="s">
        <v>556</v>
      </c>
      <c r="G54" s="55" t="s">
        <v>557</v>
      </c>
    </row>
    <row r="55" customFormat="false" ht="69.75" hidden="false" customHeight="true" outlineLevel="0" collapsed="false">
      <c r="A55" s="64" t="s">
        <v>542</v>
      </c>
      <c r="B55" s="52" t="s">
        <v>356</v>
      </c>
      <c r="C55" s="48" t="s">
        <v>357</v>
      </c>
      <c r="D55" s="53" t="s">
        <v>485</v>
      </c>
      <c r="E55" s="54" t="s">
        <v>558</v>
      </c>
      <c r="F55" s="54" t="s">
        <v>559</v>
      </c>
      <c r="G55" s="55" t="s">
        <v>560</v>
      </c>
    </row>
    <row r="56" customFormat="false" ht="69.75" hidden="false" customHeight="true" outlineLevel="0" collapsed="false">
      <c r="A56" s="64" t="s">
        <v>542</v>
      </c>
      <c r="B56" s="52" t="s">
        <v>360</v>
      </c>
      <c r="C56" s="48" t="s">
        <v>361</v>
      </c>
      <c r="D56" s="53" t="s">
        <v>485</v>
      </c>
      <c r="E56" s="54" t="s">
        <v>561</v>
      </c>
      <c r="F56" s="54" t="s">
        <v>562</v>
      </c>
      <c r="G56" s="55" t="s">
        <v>563</v>
      </c>
    </row>
    <row r="57" customFormat="false" ht="86.25" hidden="false" customHeight="true" outlineLevel="0" collapsed="false">
      <c r="A57" s="64" t="s">
        <v>542</v>
      </c>
      <c r="B57" s="52" t="s">
        <v>364</v>
      </c>
      <c r="C57" s="48" t="s">
        <v>365</v>
      </c>
      <c r="D57" s="53" t="s">
        <v>403</v>
      </c>
      <c r="E57" s="54" t="s">
        <v>564</v>
      </c>
      <c r="F57" s="54" t="s">
        <v>565</v>
      </c>
      <c r="G57" s="55" t="s">
        <v>566</v>
      </c>
    </row>
    <row r="58" customFormat="false" ht="102" hidden="false" customHeight="true" outlineLevel="0" collapsed="false">
      <c r="A58" s="64" t="s">
        <v>542</v>
      </c>
      <c r="B58" s="52" t="s">
        <v>369</v>
      </c>
      <c r="C58" s="48" t="s">
        <v>370</v>
      </c>
      <c r="D58" s="53" t="s">
        <v>403</v>
      </c>
      <c r="E58" s="54" t="s">
        <v>567</v>
      </c>
      <c r="F58" s="54" t="s">
        <v>568</v>
      </c>
      <c r="G58" s="55" t="s">
        <v>569</v>
      </c>
    </row>
    <row r="59" customFormat="false" ht="90.75" hidden="false" customHeight="true" outlineLevel="0" collapsed="false">
      <c r="A59" s="64" t="s">
        <v>542</v>
      </c>
      <c r="B59" s="52" t="s">
        <v>374</v>
      </c>
      <c r="C59" s="48" t="s">
        <v>375</v>
      </c>
      <c r="D59" s="56" t="s">
        <v>570</v>
      </c>
      <c r="E59" s="54" t="s">
        <v>571</v>
      </c>
      <c r="F59" s="54" t="s">
        <v>572</v>
      </c>
      <c r="G59" s="55" t="s">
        <v>573</v>
      </c>
    </row>
    <row r="60" customFormat="false" ht="103.5" hidden="false" customHeight="true" outlineLevel="0" collapsed="false">
      <c r="A60" s="64" t="s">
        <v>542</v>
      </c>
      <c r="B60" s="52" t="s">
        <v>379</v>
      </c>
      <c r="C60" s="48" t="s">
        <v>380</v>
      </c>
      <c r="D60" s="53" t="s">
        <v>403</v>
      </c>
      <c r="E60" s="54" t="s">
        <v>574</v>
      </c>
      <c r="F60" s="54" t="s">
        <v>575</v>
      </c>
      <c r="G60" s="55" t="s">
        <v>576</v>
      </c>
    </row>
    <row r="61" customFormat="false" ht="72" hidden="false" customHeight="true" outlineLevel="0" collapsed="false">
      <c r="A61" s="65" t="s">
        <v>577</v>
      </c>
      <c r="B61" s="52" t="s">
        <v>385</v>
      </c>
      <c r="C61" s="48" t="s">
        <v>386</v>
      </c>
      <c r="D61" s="56" t="s">
        <v>407</v>
      </c>
      <c r="E61" s="54" t="s">
        <v>578</v>
      </c>
      <c r="F61" s="54" t="s">
        <v>579</v>
      </c>
      <c r="G61" s="55" t="s">
        <v>580</v>
      </c>
    </row>
    <row r="62" customFormat="false" ht="86.25" hidden="false" customHeight="true" outlineLevel="0" collapsed="false">
      <c r="A62" s="65" t="s">
        <v>577</v>
      </c>
      <c r="B62" s="52" t="s">
        <v>388</v>
      </c>
      <c r="C62" s="48" t="s">
        <v>389</v>
      </c>
      <c r="D62" s="56" t="s">
        <v>581</v>
      </c>
      <c r="E62" s="54" t="s">
        <v>582</v>
      </c>
      <c r="F62" s="54" t="s">
        <v>583</v>
      </c>
      <c r="G62" s="55" t="s">
        <v>584</v>
      </c>
    </row>
    <row r="63" customFormat="false" ht="96.75" hidden="false" customHeight="true" outlineLevel="0" collapsed="false">
      <c r="A63" s="65" t="s">
        <v>577</v>
      </c>
      <c r="B63" s="52" t="s">
        <v>393</v>
      </c>
      <c r="C63" s="48" t="s">
        <v>394</v>
      </c>
      <c r="D63" s="56" t="s">
        <v>409</v>
      </c>
      <c r="E63" s="54" t="s">
        <v>585</v>
      </c>
      <c r="F63" s="54" t="s">
        <v>586</v>
      </c>
      <c r="G63" s="55" t="s">
        <v>587</v>
      </c>
    </row>
    <row r="64" customFormat="false" ht="119.25" hidden="false" customHeight="true" outlineLevel="0" collapsed="false">
      <c r="A64" s="65" t="s">
        <v>577</v>
      </c>
      <c r="B64" s="52" t="s">
        <v>396</v>
      </c>
      <c r="C64" s="48" t="s">
        <v>397</v>
      </c>
      <c r="D64" s="56" t="s">
        <v>588</v>
      </c>
      <c r="E64" s="54" t="s">
        <v>589</v>
      </c>
      <c r="F64" s="54" t="s">
        <v>590</v>
      </c>
      <c r="G64" s="55" t="s">
        <v>591</v>
      </c>
    </row>
    <row r="67" customFormat="false" ht="15" hidden="false" customHeight="true" outlineLevel="0" collapsed="false">
      <c r="A67" s="41" t="s">
        <v>592</v>
      </c>
      <c r="B67" s="41"/>
      <c r="C67" s="41"/>
      <c r="D67" s="41"/>
      <c r="E67" s="41"/>
      <c r="F67" s="41"/>
      <c r="G67" s="41"/>
    </row>
    <row r="68" customFormat="false" ht="15" hidden="false" customHeight="true" outlineLevel="0" collapsed="false">
      <c r="A68" s="22" t="s">
        <v>593</v>
      </c>
      <c r="B68" s="22" t="s">
        <v>594</v>
      </c>
      <c r="C68" s="46" t="s">
        <v>595</v>
      </c>
      <c r="D68" s="46"/>
      <c r="E68" s="46" t="s">
        <v>596</v>
      </c>
      <c r="F68" s="46"/>
      <c r="G68" s="46"/>
    </row>
    <row r="69" customFormat="false" ht="31.5" hidden="false" customHeight="true" outlineLevel="0" collapsed="false">
      <c r="A69" s="66" t="s">
        <v>597</v>
      </c>
      <c r="B69" s="17" t="s">
        <v>598</v>
      </c>
      <c r="C69" s="67" t="s">
        <v>599</v>
      </c>
      <c r="D69" s="67"/>
      <c r="E69" s="54" t="s">
        <v>600</v>
      </c>
      <c r="F69" s="54"/>
      <c r="G69" s="54"/>
    </row>
    <row r="70" customFormat="false" ht="31.5" hidden="false" customHeight="true" outlineLevel="0" collapsed="false">
      <c r="A70" s="66" t="s">
        <v>597</v>
      </c>
      <c r="B70" s="17" t="s">
        <v>601</v>
      </c>
      <c r="C70" s="67" t="s">
        <v>602</v>
      </c>
      <c r="D70" s="67"/>
      <c r="E70" s="54" t="s">
        <v>603</v>
      </c>
      <c r="F70" s="54"/>
      <c r="G70" s="54"/>
    </row>
    <row r="71" customFormat="false" ht="31.5" hidden="false" customHeight="true" outlineLevel="0" collapsed="false">
      <c r="A71" s="66" t="s">
        <v>597</v>
      </c>
      <c r="B71" s="17" t="s">
        <v>604</v>
      </c>
      <c r="C71" s="67" t="s">
        <v>605</v>
      </c>
      <c r="D71" s="67"/>
      <c r="E71" s="54" t="s">
        <v>606</v>
      </c>
      <c r="F71" s="54"/>
      <c r="G71" s="54"/>
    </row>
    <row r="72" customFormat="false" ht="31.5" hidden="false" customHeight="true" outlineLevel="0" collapsed="false">
      <c r="A72" s="66" t="s">
        <v>597</v>
      </c>
      <c r="B72" s="17" t="s">
        <v>607</v>
      </c>
      <c r="C72" s="67" t="s">
        <v>608</v>
      </c>
      <c r="D72" s="67"/>
      <c r="E72" s="54" t="s">
        <v>609</v>
      </c>
      <c r="F72" s="54"/>
      <c r="G72" s="54"/>
    </row>
    <row r="73" customFormat="false" ht="31.5" hidden="false" customHeight="true" outlineLevel="0" collapsed="false">
      <c r="A73" s="66" t="s">
        <v>597</v>
      </c>
      <c r="B73" s="17" t="s">
        <v>610</v>
      </c>
      <c r="C73" s="67" t="s">
        <v>611</v>
      </c>
      <c r="D73" s="67"/>
      <c r="E73" s="54" t="s">
        <v>612</v>
      </c>
      <c r="F73" s="54"/>
      <c r="G73" s="54"/>
    </row>
    <row r="74" customFormat="false" ht="31.5" hidden="false" customHeight="true" outlineLevel="0" collapsed="false">
      <c r="A74" s="66" t="s">
        <v>597</v>
      </c>
      <c r="B74" s="17" t="s">
        <v>613</v>
      </c>
      <c r="C74" s="67" t="s">
        <v>614</v>
      </c>
      <c r="D74" s="67"/>
      <c r="E74" s="54" t="s">
        <v>615</v>
      </c>
      <c r="F74" s="54"/>
      <c r="G74" s="54"/>
    </row>
    <row r="75" customFormat="false" ht="31.5" hidden="false" customHeight="true" outlineLevel="0" collapsed="false">
      <c r="A75" s="66" t="s">
        <v>597</v>
      </c>
      <c r="B75" s="17" t="s">
        <v>616</v>
      </c>
      <c r="C75" s="67" t="s">
        <v>617</v>
      </c>
      <c r="D75" s="67"/>
      <c r="E75" s="54" t="s">
        <v>618</v>
      </c>
      <c r="F75" s="54"/>
      <c r="G75" s="54"/>
    </row>
    <row r="76" customFormat="false" ht="31.5" hidden="false" customHeight="true" outlineLevel="0" collapsed="false">
      <c r="A76" s="66" t="s">
        <v>597</v>
      </c>
      <c r="B76" s="17" t="s">
        <v>619</v>
      </c>
      <c r="C76" s="67" t="s">
        <v>620</v>
      </c>
      <c r="D76" s="67"/>
      <c r="E76" s="54" t="s">
        <v>621</v>
      </c>
      <c r="F76" s="54"/>
      <c r="G76" s="54"/>
    </row>
    <row r="77" customFormat="false" ht="31.5" hidden="false" customHeight="true" outlineLevel="0" collapsed="false">
      <c r="A77" s="66" t="s">
        <v>597</v>
      </c>
      <c r="B77" s="17" t="s">
        <v>622</v>
      </c>
      <c r="C77" s="67" t="s">
        <v>623</v>
      </c>
      <c r="D77" s="67"/>
      <c r="E77" s="54" t="s">
        <v>624</v>
      </c>
      <c r="F77" s="54"/>
      <c r="G77" s="54"/>
    </row>
    <row r="78" customFormat="false" ht="31.5" hidden="false" customHeight="true" outlineLevel="0" collapsed="false">
      <c r="A78" s="68" t="s">
        <v>625</v>
      </c>
      <c r="B78" s="17" t="s">
        <v>626</v>
      </c>
      <c r="C78" s="67" t="s">
        <v>627</v>
      </c>
      <c r="D78" s="67"/>
      <c r="E78" s="54" t="s">
        <v>628</v>
      </c>
      <c r="F78" s="54"/>
      <c r="G78" s="54"/>
    </row>
    <row r="79" customFormat="false" ht="31.5" hidden="false" customHeight="true" outlineLevel="0" collapsed="false">
      <c r="A79" s="68" t="s">
        <v>625</v>
      </c>
      <c r="B79" s="17" t="s">
        <v>629</v>
      </c>
      <c r="C79" s="67" t="s">
        <v>630</v>
      </c>
      <c r="D79" s="67"/>
      <c r="E79" s="54" t="s">
        <v>631</v>
      </c>
      <c r="F79" s="54"/>
      <c r="G79" s="54"/>
    </row>
    <row r="80" customFormat="false" ht="31.5" hidden="false" customHeight="true" outlineLevel="0" collapsed="false">
      <c r="A80" s="68" t="s">
        <v>625</v>
      </c>
      <c r="B80" s="17" t="s">
        <v>632</v>
      </c>
      <c r="C80" s="67" t="s">
        <v>633</v>
      </c>
      <c r="D80" s="67"/>
      <c r="E80" s="54" t="s">
        <v>634</v>
      </c>
      <c r="F80" s="54"/>
      <c r="G80" s="54"/>
    </row>
    <row r="81" customFormat="false" ht="31.5" hidden="false" customHeight="true" outlineLevel="0" collapsed="false">
      <c r="A81" s="68" t="s">
        <v>625</v>
      </c>
      <c r="B81" s="17" t="s">
        <v>635</v>
      </c>
      <c r="C81" s="67" t="s">
        <v>636</v>
      </c>
      <c r="D81" s="67"/>
      <c r="E81" s="54" t="s">
        <v>637</v>
      </c>
      <c r="F81" s="54"/>
      <c r="G81" s="54"/>
    </row>
    <row r="82" customFormat="false" ht="31.5" hidden="false" customHeight="true" outlineLevel="0" collapsed="false">
      <c r="A82" s="68" t="s">
        <v>625</v>
      </c>
      <c r="B82" s="17" t="s">
        <v>638</v>
      </c>
      <c r="C82" s="67" t="s">
        <v>639</v>
      </c>
      <c r="D82" s="67"/>
      <c r="E82" s="54" t="s">
        <v>640</v>
      </c>
      <c r="F82" s="54"/>
      <c r="G82" s="54"/>
    </row>
    <row r="83" customFormat="false" ht="31.5" hidden="false" customHeight="true" outlineLevel="0" collapsed="false">
      <c r="A83" s="68" t="s">
        <v>625</v>
      </c>
      <c r="B83" s="17" t="s">
        <v>641</v>
      </c>
      <c r="C83" s="67" t="s">
        <v>642</v>
      </c>
      <c r="D83" s="67"/>
      <c r="E83" s="54" t="s">
        <v>643</v>
      </c>
      <c r="F83" s="54"/>
      <c r="G83" s="54"/>
    </row>
    <row r="84" customFormat="false" ht="31.5" hidden="false" customHeight="true" outlineLevel="0" collapsed="false">
      <c r="A84" s="68" t="s">
        <v>625</v>
      </c>
      <c r="B84" s="17" t="s">
        <v>644</v>
      </c>
      <c r="C84" s="67" t="s">
        <v>645</v>
      </c>
      <c r="D84" s="67"/>
      <c r="E84" s="54" t="s">
        <v>646</v>
      </c>
      <c r="F84" s="54"/>
      <c r="G84" s="54"/>
    </row>
    <row r="85" customFormat="false" ht="31.5" hidden="false" customHeight="true" outlineLevel="0" collapsed="false">
      <c r="A85" s="68" t="s">
        <v>625</v>
      </c>
      <c r="B85" s="17" t="s">
        <v>647</v>
      </c>
      <c r="C85" s="67" t="s">
        <v>648</v>
      </c>
      <c r="D85" s="67"/>
      <c r="E85" s="54" t="s">
        <v>649</v>
      </c>
      <c r="F85" s="54"/>
      <c r="G85" s="54"/>
    </row>
    <row r="86" customFormat="false" ht="31.5" hidden="false" customHeight="true" outlineLevel="0" collapsed="false">
      <c r="A86" s="68" t="s">
        <v>625</v>
      </c>
      <c r="B86" s="17" t="s">
        <v>650</v>
      </c>
      <c r="C86" s="67" t="s">
        <v>651</v>
      </c>
      <c r="D86" s="67"/>
      <c r="E86" s="54" t="s">
        <v>652</v>
      </c>
      <c r="F86" s="54"/>
      <c r="G86" s="54"/>
    </row>
    <row r="87" customFormat="false" ht="31.5" hidden="false" customHeight="true" outlineLevel="0" collapsed="false">
      <c r="A87" s="68" t="s">
        <v>625</v>
      </c>
      <c r="B87" s="17" t="s">
        <v>653</v>
      </c>
      <c r="C87" s="67" t="s">
        <v>654</v>
      </c>
      <c r="D87" s="67"/>
      <c r="E87" s="54" t="s">
        <v>655</v>
      </c>
      <c r="F87" s="54"/>
      <c r="G87" s="54"/>
    </row>
    <row r="90" customFormat="false" ht="15" hidden="false" customHeight="true" outlineLevel="0" collapsed="false">
      <c r="A90" s="41" t="s">
        <v>656</v>
      </c>
      <c r="B90" s="41"/>
      <c r="C90" s="41"/>
      <c r="D90" s="41"/>
      <c r="E90" s="41"/>
      <c r="F90" s="41"/>
      <c r="G90" s="41"/>
    </row>
    <row r="91" customFormat="false" ht="15" hidden="false" customHeight="true" outlineLevel="0" collapsed="false">
      <c r="A91" s="69" t="s">
        <v>657</v>
      </c>
      <c r="B91" s="69"/>
      <c r="C91" s="69"/>
      <c r="D91" s="69"/>
      <c r="E91" s="69"/>
      <c r="F91" s="69"/>
      <c r="G91" s="69"/>
    </row>
    <row r="92" customFormat="false" ht="60" hidden="false" customHeight="true" outlineLevel="0" collapsed="false">
      <c r="A92" s="70" t="s">
        <v>658</v>
      </c>
      <c r="B92" s="70"/>
      <c r="C92" s="70"/>
      <c r="D92" s="70"/>
      <c r="E92" s="70"/>
      <c r="F92" s="70"/>
      <c r="G92" s="70"/>
    </row>
    <row r="93" customFormat="false" ht="15" hidden="false" customHeight="true" outlineLevel="0" collapsed="false">
      <c r="A93" s="69" t="s">
        <v>659</v>
      </c>
      <c r="B93" s="69"/>
      <c r="C93" s="69"/>
      <c r="D93" s="69"/>
      <c r="E93" s="69"/>
      <c r="F93" s="69"/>
      <c r="G93" s="69"/>
    </row>
    <row r="94" customFormat="false" ht="60" hidden="false" customHeight="true" outlineLevel="0" collapsed="false">
      <c r="A94" s="70" t="s">
        <v>660</v>
      </c>
      <c r="B94" s="70"/>
      <c r="C94" s="70"/>
      <c r="D94" s="70"/>
      <c r="E94" s="70"/>
      <c r="F94" s="70"/>
      <c r="G94" s="70"/>
    </row>
    <row r="95" customFormat="false" ht="15" hidden="false" customHeight="true" outlineLevel="0" collapsed="false">
      <c r="A95" s="69" t="s">
        <v>661</v>
      </c>
      <c r="B95" s="69"/>
      <c r="C95" s="69"/>
      <c r="D95" s="69"/>
      <c r="E95" s="69"/>
      <c r="F95" s="69"/>
      <c r="G95" s="69"/>
    </row>
    <row r="96" customFormat="false" ht="60" hidden="false" customHeight="true" outlineLevel="0" collapsed="false">
      <c r="A96" s="70" t="s">
        <v>662</v>
      </c>
      <c r="B96" s="70"/>
      <c r="C96" s="70"/>
      <c r="D96" s="70"/>
      <c r="E96" s="70"/>
      <c r="F96" s="70"/>
      <c r="G96" s="70"/>
    </row>
    <row r="97" customFormat="false" ht="15" hidden="false" customHeight="true" outlineLevel="0" collapsed="false">
      <c r="A97" s="69" t="s">
        <v>663</v>
      </c>
      <c r="B97" s="69"/>
      <c r="C97" s="69"/>
      <c r="D97" s="69"/>
      <c r="E97" s="69"/>
      <c r="F97" s="69"/>
      <c r="G97" s="69"/>
    </row>
    <row r="98" customFormat="false" ht="60" hidden="false" customHeight="true" outlineLevel="0" collapsed="false">
      <c r="A98" s="70" t="s">
        <v>664</v>
      </c>
      <c r="B98" s="70"/>
      <c r="C98" s="70"/>
      <c r="D98" s="70"/>
      <c r="E98" s="70"/>
      <c r="F98" s="70"/>
      <c r="G98" s="70"/>
    </row>
    <row r="99" customFormat="false" ht="15" hidden="false" customHeight="true" outlineLevel="0" collapsed="false">
      <c r="A99" s="69" t="s">
        <v>665</v>
      </c>
      <c r="B99" s="69"/>
      <c r="C99" s="69"/>
      <c r="D99" s="69"/>
      <c r="E99" s="69"/>
      <c r="F99" s="69"/>
      <c r="G99" s="69"/>
    </row>
    <row r="100" customFormat="false" ht="60" hidden="false" customHeight="true" outlineLevel="0" collapsed="false">
      <c r="A100" s="70" t="s">
        <v>666</v>
      </c>
      <c r="B100" s="70"/>
      <c r="C100" s="70"/>
      <c r="D100" s="70"/>
      <c r="E100" s="70"/>
      <c r="F100" s="70"/>
      <c r="G100" s="70"/>
    </row>
  </sheetData>
  <mergeCells count="83">
    <mergeCell ref="A1:G1"/>
    <mergeCell ref="A2:G2"/>
    <mergeCell ref="A3:G3"/>
    <mergeCell ref="B4:G4"/>
    <mergeCell ref="B5:G5"/>
    <mergeCell ref="B6:G6"/>
    <mergeCell ref="B7:G7"/>
    <mergeCell ref="A9:G9"/>
    <mergeCell ref="C10:E10"/>
    <mergeCell ref="F10:G10"/>
    <mergeCell ref="C11:E11"/>
    <mergeCell ref="F11:G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A23:G23"/>
    <mergeCell ref="A67:G67"/>
    <mergeCell ref="C68:D68"/>
    <mergeCell ref="E68:G68"/>
    <mergeCell ref="C69:D69"/>
    <mergeCell ref="E69:G69"/>
    <mergeCell ref="C70:D70"/>
    <mergeCell ref="E70:G70"/>
    <mergeCell ref="C71:D71"/>
    <mergeCell ref="E71:G71"/>
    <mergeCell ref="C72:D72"/>
    <mergeCell ref="E72:G72"/>
    <mergeCell ref="C73:D73"/>
    <mergeCell ref="E73:G73"/>
    <mergeCell ref="C74:D74"/>
    <mergeCell ref="E74:G74"/>
    <mergeCell ref="C75:D75"/>
    <mergeCell ref="E75:G75"/>
    <mergeCell ref="C76:D76"/>
    <mergeCell ref="E76:G76"/>
    <mergeCell ref="C77:D77"/>
    <mergeCell ref="E77:G77"/>
    <mergeCell ref="C78:D78"/>
    <mergeCell ref="E78:G78"/>
    <mergeCell ref="C79:D79"/>
    <mergeCell ref="E79:G79"/>
    <mergeCell ref="C80:D80"/>
    <mergeCell ref="E80:G80"/>
    <mergeCell ref="C81:D81"/>
    <mergeCell ref="E81:G81"/>
    <mergeCell ref="C82:D82"/>
    <mergeCell ref="E82:G82"/>
    <mergeCell ref="C83:D83"/>
    <mergeCell ref="E83:G83"/>
    <mergeCell ref="C84:D84"/>
    <mergeCell ref="E84:G84"/>
    <mergeCell ref="C85:D85"/>
    <mergeCell ref="E85:G85"/>
    <mergeCell ref="C86:D86"/>
    <mergeCell ref="E86:G86"/>
    <mergeCell ref="C87:D87"/>
    <mergeCell ref="E87:G87"/>
    <mergeCell ref="A90:G90"/>
    <mergeCell ref="A91:G91"/>
    <mergeCell ref="A92:G92"/>
    <mergeCell ref="A93:G93"/>
    <mergeCell ref="A94:G94"/>
    <mergeCell ref="A95:G95"/>
    <mergeCell ref="A96:G96"/>
    <mergeCell ref="A97:G97"/>
    <mergeCell ref="A98:G98"/>
    <mergeCell ref="A99:G99"/>
    <mergeCell ref="A100:G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7" min="6" style="1" width="22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3" min="12" style="1" width="12"/>
    <col collapsed="false" customWidth="true" hidden="false" outlineLevel="0" max="17" min="14" style="1" width="14"/>
    <col collapsed="false" customWidth="true" hidden="false" outlineLevel="0" max="18" min="18" style="1" width="12"/>
    <col collapsed="false" customWidth="true" hidden="false" outlineLevel="0" max="19" min="19" style="1" width="14"/>
    <col collapsed="false" customWidth="true" hidden="false" outlineLevel="0" max="20" min="20" style="1" width="12"/>
    <col collapsed="false" customWidth="true" hidden="false" outlineLevel="0" max="22" min="21" style="1" width="14"/>
    <col collapsed="false" customWidth="true" hidden="false" outlineLevel="0" max="23" min="23" style="1" width="24"/>
    <col collapsed="false" customWidth="true" hidden="false" outlineLevel="0" max="24" min="24" style="1" width="12"/>
    <col collapsed="false" customWidth="true" hidden="false" outlineLevel="0" max="25" min="25" style="1" width="14"/>
    <col collapsed="false" customWidth="true" hidden="false" outlineLevel="0" max="26" min="26" style="1" width="20"/>
    <col collapsed="false" customWidth="true" hidden="false" outlineLevel="0" max="32" min="27" style="1" width="14"/>
    <col collapsed="false" customWidth="true" hidden="false" outlineLevel="0" max="34" min="33" style="1" width="12"/>
    <col collapsed="false" customWidth="true" hidden="false" outlineLevel="0" max="35" min="35" style="1" width="16"/>
    <col collapsed="false" customWidth="true" hidden="false" outlineLevel="0" max="37" min="36" style="1" width="14"/>
    <col collapsed="false" customWidth="true" hidden="false" outlineLevel="0" max="38" min="38" style="1" width="22"/>
    <col collapsed="false" customWidth="true" hidden="false" outlineLevel="0" max="41" min="39" style="1" width="14"/>
    <col collapsed="false" customWidth="true" hidden="false" outlineLevel="0" max="42" min="42" style="1" width="16"/>
  </cols>
  <sheetData>
    <row r="1" customFormat="false" ht="21.75" hidden="false" customHeight="true" outlineLevel="0" collapsed="false">
      <c r="A1" s="46" t="s">
        <v>667</v>
      </c>
      <c r="B1" s="46"/>
      <c r="C1" s="71" t="s">
        <v>219</v>
      </c>
      <c r="D1" s="71"/>
      <c r="E1" s="71"/>
      <c r="F1" s="71"/>
      <c r="G1" s="71"/>
      <c r="H1" s="72" t="s">
        <v>668</v>
      </c>
      <c r="I1" s="72"/>
      <c r="J1" s="72"/>
      <c r="K1" s="73" t="s">
        <v>259</v>
      </c>
      <c r="L1" s="73"/>
      <c r="M1" s="73"/>
      <c r="N1" s="73"/>
      <c r="O1" s="74" t="s">
        <v>277</v>
      </c>
      <c r="P1" s="74"/>
      <c r="Q1" s="74"/>
      <c r="R1" s="75" t="s">
        <v>290</v>
      </c>
      <c r="S1" s="75"/>
      <c r="T1" s="75"/>
      <c r="U1" s="75"/>
      <c r="V1" s="75"/>
      <c r="W1" s="76" t="s">
        <v>313</v>
      </c>
      <c r="X1" s="76"/>
      <c r="Y1" s="76"/>
      <c r="Z1" s="77" t="s">
        <v>669</v>
      </c>
      <c r="AA1" s="77"/>
      <c r="AB1" s="77"/>
      <c r="AC1" s="78" t="s">
        <v>339</v>
      </c>
      <c r="AD1" s="78"/>
      <c r="AE1" s="78"/>
      <c r="AF1" s="78"/>
      <c r="AG1" s="78"/>
      <c r="AH1" s="78"/>
      <c r="AI1" s="78"/>
      <c r="AJ1" s="78"/>
      <c r="AK1" s="78"/>
      <c r="AL1" s="78"/>
      <c r="AM1" s="79" t="s">
        <v>384</v>
      </c>
      <c r="AN1" s="79"/>
      <c r="AO1" s="79"/>
      <c r="AP1" s="79"/>
    </row>
    <row r="2" customFormat="false" ht="37.5" hidden="false" customHeight="true" outlineLevel="0" collapsed="false">
      <c r="A2" s="13" t="s">
        <v>670</v>
      </c>
      <c r="B2" s="13" t="s">
        <v>671</v>
      </c>
      <c r="C2" s="13" t="s">
        <v>672</v>
      </c>
      <c r="D2" s="13" t="s">
        <v>673</v>
      </c>
      <c r="E2" s="13" t="s">
        <v>674</v>
      </c>
      <c r="F2" s="13" t="s">
        <v>675</v>
      </c>
      <c r="G2" s="13" t="s">
        <v>676</v>
      </c>
      <c r="H2" s="13" t="s">
        <v>677</v>
      </c>
      <c r="I2" s="13" t="s">
        <v>678</v>
      </c>
      <c r="J2" s="13" t="s">
        <v>679</v>
      </c>
      <c r="K2" s="13" t="s">
        <v>680</v>
      </c>
      <c r="L2" s="13" t="s">
        <v>681</v>
      </c>
      <c r="M2" s="13" t="s">
        <v>682</v>
      </c>
      <c r="N2" s="13" t="s">
        <v>683</v>
      </c>
      <c r="O2" s="13" t="s">
        <v>684</v>
      </c>
      <c r="P2" s="13" t="s">
        <v>685</v>
      </c>
      <c r="Q2" s="13" t="s">
        <v>686</v>
      </c>
      <c r="R2" s="13" t="s">
        <v>687</v>
      </c>
      <c r="S2" s="13" t="s">
        <v>688</v>
      </c>
      <c r="T2" s="13" t="s">
        <v>689</v>
      </c>
      <c r="U2" s="13" t="s">
        <v>690</v>
      </c>
      <c r="V2" s="13" t="s">
        <v>691</v>
      </c>
      <c r="W2" s="13" t="s">
        <v>692</v>
      </c>
      <c r="X2" s="13" t="s">
        <v>693</v>
      </c>
      <c r="Y2" s="13" t="s">
        <v>694</v>
      </c>
      <c r="Z2" s="13" t="s">
        <v>695</v>
      </c>
      <c r="AA2" s="13" t="s">
        <v>696</v>
      </c>
      <c r="AB2" s="13" t="s">
        <v>697</v>
      </c>
      <c r="AC2" s="13" t="s">
        <v>698</v>
      </c>
      <c r="AD2" s="13" t="s">
        <v>699</v>
      </c>
      <c r="AE2" s="13" t="s">
        <v>700</v>
      </c>
      <c r="AF2" s="13" t="s">
        <v>701</v>
      </c>
      <c r="AG2" s="13" t="s">
        <v>702</v>
      </c>
      <c r="AH2" s="13" t="s">
        <v>703</v>
      </c>
      <c r="AI2" s="13" t="s">
        <v>704</v>
      </c>
      <c r="AJ2" s="13" t="s">
        <v>705</v>
      </c>
      <c r="AK2" s="13" t="s">
        <v>706</v>
      </c>
      <c r="AL2" s="13" t="s">
        <v>707</v>
      </c>
      <c r="AM2" s="13" t="s">
        <v>708</v>
      </c>
      <c r="AN2" s="13" t="s">
        <v>709</v>
      </c>
      <c r="AO2" s="13" t="s">
        <v>710</v>
      </c>
      <c r="AP2" s="13" t="s">
        <v>711</v>
      </c>
    </row>
    <row r="3" customFormat="false" ht="15" hidden="false" customHeight="true" outlineLevel="0" collapsed="false">
      <c r="A3" s="80" t="s">
        <v>712</v>
      </c>
      <c r="B3" s="80" t="s">
        <v>713</v>
      </c>
      <c r="C3" s="81" t="s">
        <v>224</v>
      </c>
      <c r="D3" s="81" t="s">
        <v>714</v>
      </c>
      <c r="E3" s="81" t="s">
        <v>234</v>
      </c>
      <c r="F3" s="81" t="s">
        <v>715</v>
      </c>
      <c r="G3" s="81" t="s">
        <v>716</v>
      </c>
      <c r="H3" s="81" t="n">
        <v>3</v>
      </c>
      <c r="I3" s="81" t="s">
        <v>253</v>
      </c>
      <c r="J3" s="81" t="n">
        <v>3</v>
      </c>
      <c r="K3" s="81" t="s">
        <v>264</v>
      </c>
      <c r="L3" s="81" t="n">
        <v>2</v>
      </c>
      <c r="M3" s="81" t="n">
        <v>3</v>
      </c>
      <c r="N3" s="81" t="n">
        <v>3</v>
      </c>
      <c r="O3" s="81" t="n">
        <v>1</v>
      </c>
      <c r="P3" s="81" t="n">
        <v>3</v>
      </c>
      <c r="Q3" s="81" t="n">
        <v>3</v>
      </c>
      <c r="R3" s="81" t="n">
        <v>8</v>
      </c>
      <c r="S3" s="81" t="s">
        <v>299</v>
      </c>
      <c r="T3" s="81" t="s">
        <v>69</v>
      </c>
      <c r="U3" s="81" t="n">
        <v>14</v>
      </c>
      <c r="V3" s="81" t="s">
        <v>312</v>
      </c>
      <c r="W3" s="81" t="s">
        <v>717</v>
      </c>
      <c r="X3" s="81" t="s">
        <v>69</v>
      </c>
      <c r="Y3" s="81" t="n">
        <v>3</v>
      </c>
      <c r="Z3" s="81"/>
      <c r="AA3" s="81" t="s">
        <v>334</v>
      </c>
      <c r="AB3" s="81" t="n">
        <v>1</v>
      </c>
      <c r="AC3" s="81" t="n">
        <v>3</v>
      </c>
      <c r="AD3" s="81" t="n">
        <v>3</v>
      </c>
      <c r="AE3" s="81" t="n">
        <v>2</v>
      </c>
      <c r="AF3" s="81" t="n">
        <v>3</v>
      </c>
      <c r="AG3" s="81" t="n">
        <v>28</v>
      </c>
      <c r="AH3" s="81" t="n">
        <v>42</v>
      </c>
      <c r="AI3" s="81" t="s">
        <v>368</v>
      </c>
      <c r="AJ3" s="81" t="s">
        <v>373</v>
      </c>
      <c r="AK3" s="81" t="s">
        <v>378</v>
      </c>
      <c r="AL3" s="81" t="s">
        <v>383</v>
      </c>
      <c r="AM3" s="81" t="n">
        <v>3</v>
      </c>
      <c r="AN3" s="81" t="s">
        <v>392</v>
      </c>
      <c r="AO3" s="81" t="n">
        <v>1</v>
      </c>
      <c r="AP3" s="81" t="n">
        <v>3</v>
      </c>
    </row>
    <row r="4" customFormat="false" ht="15" hidden="false" customHeight="true" outlineLevel="0" collapsed="false">
      <c r="A4" s="80" t="s">
        <v>718</v>
      </c>
      <c r="B4" s="80" t="s">
        <v>719</v>
      </c>
      <c r="C4" s="81" t="s">
        <v>224</v>
      </c>
      <c r="D4" s="81" t="s">
        <v>720</v>
      </c>
      <c r="E4" s="81" t="s">
        <v>234</v>
      </c>
      <c r="F4" s="81" t="s">
        <v>721</v>
      </c>
      <c r="G4" s="81" t="s">
        <v>716</v>
      </c>
      <c r="H4" s="81" t="n">
        <v>3</v>
      </c>
      <c r="I4" s="81" t="s">
        <v>253</v>
      </c>
      <c r="J4" s="81" t="n">
        <v>2</v>
      </c>
      <c r="K4" s="81" t="s">
        <v>722</v>
      </c>
      <c r="L4" s="81" t="n">
        <v>2</v>
      </c>
      <c r="M4" s="81" t="n">
        <v>2</v>
      </c>
      <c r="N4" s="81" t="n">
        <v>2</v>
      </c>
      <c r="O4" s="81" t="n">
        <v>0</v>
      </c>
      <c r="P4" s="81" t="n">
        <v>3</v>
      </c>
      <c r="Q4" s="81" t="n">
        <v>3</v>
      </c>
      <c r="R4" s="81" t="n">
        <v>5</v>
      </c>
      <c r="S4" s="81" t="s">
        <v>299</v>
      </c>
      <c r="T4" s="81" t="s">
        <v>58</v>
      </c>
      <c r="U4" s="81" t="n">
        <v>13</v>
      </c>
      <c r="V4" s="81" t="s">
        <v>312</v>
      </c>
      <c r="W4" s="81" t="s">
        <v>723</v>
      </c>
      <c r="X4" s="81" t="s">
        <v>69</v>
      </c>
      <c r="Y4" s="81" t="n">
        <v>3</v>
      </c>
      <c r="Z4" s="81"/>
      <c r="AA4" s="81" t="s">
        <v>334</v>
      </c>
      <c r="AB4" s="81" t="n">
        <v>1</v>
      </c>
      <c r="AC4" s="81" t="n">
        <v>2</v>
      </c>
      <c r="AD4" s="81" t="n">
        <v>2</v>
      </c>
      <c r="AE4" s="81" t="n">
        <v>2</v>
      </c>
      <c r="AF4" s="81" t="n">
        <v>3</v>
      </c>
      <c r="AG4" s="81" t="n">
        <v>18</v>
      </c>
      <c r="AH4" s="81" t="n">
        <v>31</v>
      </c>
      <c r="AI4" s="81" t="s">
        <v>383</v>
      </c>
      <c r="AJ4" s="81" t="s">
        <v>373</v>
      </c>
      <c r="AK4" s="81" t="s">
        <v>724</v>
      </c>
      <c r="AL4" s="81" t="s">
        <v>383</v>
      </c>
      <c r="AM4" s="81" t="n">
        <v>3</v>
      </c>
      <c r="AN4" s="81" t="s">
        <v>392</v>
      </c>
      <c r="AO4" s="81" t="n">
        <v>1</v>
      </c>
      <c r="AP4" s="81" t="n">
        <v>2</v>
      </c>
    </row>
    <row r="5" customFormat="false" ht="15" hidden="false" customHeight="true" outlineLevel="0" collapsed="false">
      <c r="A5" s="80" t="s">
        <v>725</v>
      </c>
      <c r="B5" s="80" t="s">
        <v>726</v>
      </c>
      <c r="C5" s="81" t="s">
        <v>224</v>
      </c>
      <c r="D5" s="81" t="s">
        <v>727</v>
      </c>
      <c r="E5" s="81" t="s">
        <v>728</v>
      </c>
      <c r="F5" s="81" t="s">
        <v>729</v>
      </c>
      <c r="G5" s="81" t="s">
        <v>730</v>
      </c>
      <c r="H5" s="81" t="n">
        <v>2</v>
      </c>
      <c r="I5" s="81" t="s">
        <v>731</v>
      </c>
      <c r="J5" s="81" t="n">
        <v>3</v>
      </c>
      <c r="K5" s="81" t="s">
        <v>264</v>
      </c>
      <c r="L5" s="81" t="n">
        <v>1</v>
      </c>
      <c r="M5" s="81" t="n">
        <v>2</v>
      </c>
      <c r="N5" s="81" t="n">
        <v>2</v>
      </c>
      <c r="O5" s="81" t="n">
        <v>1</v>
      </c>
      <c r="P5" s="81" t="n">
        <v>2</v>
      </c>
      <c r="Q5" s="81" t="n">
        <v>2</v>
      </c>
      <c r="R5" s="81" t="n">
        <v>4</v>
      </c>
      <c r="S5" s="81" t="s">
        <v>732</v>
      </c>
      <c r="T5" s="81" t="s">
        <v>69</v>
      </c>
      <c r="U5" s="81" t="n">
        <v>17</v>
      </c>
      <c r="V5" s="81" t="s">
        <v>312</v>
      </c>
      <c r="W5" s="81" t="s">
        <v>733</v>
      </c>
      <c r="X5" s="81" t="s">
        <v>69</v>
      </c>
      <c r="Y5" s="81" t="n">
        <v>2</v>
      </c>
      <c r="Z5" s="81"/>
      <c r="AA5" s="81" t="s">
        <v>734</v>
      </c>
      <c r="AB5" s="81" t="n">
        <v>2</v>
      </c>
      <c r="AC5" s="81" t="n">
        <v>2</v>
      </c>
      <c r="AD5" s="81" t="n">
        <v>3</v>
      </c>
      <c r="AE5" s="81" t="n">
        <v>3</v>
      </c>
      <c r="AF5" s="81" t="n">
        <v>2</v>
      </c>
      <c r="AG5" s="81" t="n">
        <v>4</v>
      </c>
      <c r="AH5" s="81" t="n">
        <v>22</v>
      </c>
      <c r="AI5" s="81" t="s">
        <v>383</v>
      </c>
      <c r="AJ5" s="81" t="s">
        <v>373</v>
      </c>
      <c r="AK5" s="81" t="s">
        <v>383</v>
      </c>
      <c r="AL5" s="81" t="s">
        <v>383</v>
      </c>
      <c r="AM5" s="81" t="n">
        <v>2</v>
      </c>
      <c r="AN5" s="81" t="s">
        <v>735</v>
      </c>
      <c r="AO5" s="81" t="n">
        <v>2</v>
      </c>
      <c r="AP5" s="81" t="n">
        <v>2</v>
      </c>
    </row>
    <row r="6" customFormat="false" ht="23.25" hidden="false" customHeight="true" outlineLevel="0" collapsed="false">
      <c r="A6" s="80" t="s">
        <v>736</v>
      </c>
      <c r="B6" s="80" t="s">
        <v>737</v>
      </c>
      <c r="C6" s="81" t="s">
        <v>738</v>
      </c>
      <c r="D6" s="81" t="s">
        <v>739</v>
      </c>
      <c r="E6" s="81" t="s">
        <v>234</v>
      </c>
      <c r="F6" s="81" t="s">
        <v>740</v>
      </c>
      <c r="G6" s="81" t="s">
        <v>741</v>
      </c>
      <c r="H6" s="81" t="n">
        <v>0</v>
      </c>
      <c r="I6" s="81"/>
      <c r="J6" s="81" t="n">
        <v>0</v>
      </c>
      <c r="K6" s="81" t="s">
        <v>722</v>
      </c>
      <c r="L6" s="81" t="n">
        <v>3</v>
      </c>
      <c r="M6" s="81" t="n">
        <v>4</v>
      </c>
      <c r="N6" s="81" t="n">
        <v>3</v>
      </c>
      <c r="O6" s="81" t="n">
        <v>0</v>
      </c>
      <c r="P6" s="81" t="n">
        <v>3</v>
      </c>
      <c r="Q6" s="81" t="n">
        <v>2</v>
      </c>
      <c r="R6" s="81" t="n">
        <v>6</v>
      </c>
      <c r="S6" s="81" t="s">
        <v>299</v>
      </c>
      <c r="T6" s="81" t="s">
        <v>69</v>
      </c>
      <c r="U6" s="81" t="n">
        <v>17</v>
      </c>
      <c r="V6" s="81" t="s">
        <v>312</v>
      </c>
      <c r="W6" s="81" t="s">
        <v>717</v>
      </c>
      <c r="X6" s="81" t="s">
        <v>69</v>
      </c>
      <c r="Y6" s="81" t="n">
        <v>3</v>
      </c>
      <c r="Z6" s="81"/>
      <c r="AA6" s="81" t="s">
        <v>734</v>
      </c>
      <c r="AB6" s="81" t="n">
        <v>2</v>
      </c>
      <c r="AC6" s="81" t="n">
        <v>3</v>
      </c>
      <c r="AD6" s="81" t="n">
        <v>3</v>
      </c>
      <c r="AE6" s="81" t="n">
        <v>3</v>
      </c>
      <c r="AF6" s="81" t="n">
        <v>3</v>
      </c>
      <c r="AG6" s="81" t="n">
        <v>35</v>
      </c>
      <c r="AH6" s="81" t="n">
        <v>48</v>
      </c>
      <c r="AI6" s="81" t="s">
        <v>383</v>
      </c>
      <c r="AJ6" s="81" t="s">
        <v>373</v>
      </c>
      <c r="AK6" s="81" t="s">
        <v>724</v>
      </c>
      <c r="AL6" s="81" t="s">
        <v>383</v>
      </c>
      <c r="AM6" s="81" t="n">
        <v>2</v>
      </c>
      <c r="AN6" s="81" t="s">
        <v>735</v>
      </c>
      <c r="AO6" s="81" t="n">
        <v>3</v>
      </c>
      <c r="AP6" s="81" t="n">
        <v>3</v>
      </c>
    </row>
    <row r="7" customFormat="false" ht="23.25" hidden="false" customHeight="true" outlineLevel="0" collapsed="false">
      <c r="A7" s="80" t="s">
        <v>742</v>
      </c>
      <c r="B7" s="80" t="s">
        <v>743</v>
      </c>
      <c r="C7" s="81" t="s">
        <v>744</v>
      </c>
      <c r="D7" s="81" t="s">
        <v>745</v>
      </c>
      <c r="E7" s="81" t="s">
        <v>234</v>
      </c>
      <c r="F7" s="81" t="s">
        <v>746</v>
      </c>
      <c r="G7" s="81" t="s">
        <v>741</v>
      </c>
      <c r="H7" s="81" t="n">
        <v>0</v>
      </c>
      <c r="I7" s="81"/>
      <c r="J7" s="81" t="n">
        <v>1</v>
      </c>
      <c r="K7" s="81" t="s">
        <v>747</v>
      </c>
      <c r="L7" s="81" t="n">
        <v>2</v>
      </c>
      <c r="M7" s="81" t="n">
        <v>3</v>
      </c>
      <c r="N7" s="81" t="n">
        <v>2</v>
      </c>
      <c r="O7" s="81" t="n">
        <v>1</v>
      </c>
      <c r="P7" s="81" t="n">
        <v>3</v>
      </c>
      <c r="Q7" s="81" t="n">
        <v>2</v>
      </c>
      <c r="R7" s="81" t="n">
        <v>3</v>
      </c>
      <c r="S7" s="81" t="s">
        <v>299</v>
      </c>
      <c r="T7" s="81" t="s">
        <v>58</v>
      </c>
      <c r="U7" s="81" t="n">
        <v>11</v>
      </c>
      <c r="V7" s="81" t="s">
        <v>312</v>
      </c>
      <c r="W7" s="81" t="s">
        <v>733</v>
      </c>
      <c r="X7" s="81" t="s">
        <v>69</v>
      </c>
      <c r="Y7" s="81" t="n">
        <v>2</v>
      </c>
      <c r="Z7" s="81"/>
      <c r="AA7" s="81" t="s">
        <v>334</v>
      </c>
      <c r="AB7" s="81" t="n">
        <v>2</v>
      </c>
      <c r="AC7" s="81" t="n">
        <v>2</v>
      </c>
      <c r="AD7" s="81" t="n">
        <v>2</v>
      </c>
      <c r="AE7" s="81" t="n">
        <v>2</v>
      </c>
      <c r="AF7" s="81" t="n">
        <v>3</v>
      </c>
      <c r="AG7" s="81" t="n">
        <v>14</v>
      </c>
      <c r="AH7" s="81" t="n">
        <v>27</v>
      </c>
      <c r="AI7" s="81" t="s">
        <v>383</v>
      </c>
      <c r="AJ7" s="81" t="s">
        <v>373</v>
      </c>
      <c r="AK7" s="81" t="s">
        <v>383</v>
      </c>
      <c r="AL7" s="81" t="s">
        <v>748</v>
      </c>
      <c r="AM7" s="81" t="n">
        <v>2</v>
      </c>
      <c r="AN7" s="81" t="s">
        <v>392</v>
      </c>
      <c r="AO7" s="81" t="n">
        <v>2</v>
      </c>
      <c r="AP7" s="81" t="n">
        <v>2</v>
      </c>
    </row>
    <row r="8" customFormat="false" ht="15" hidden="false" customHeight="true" outlineLevel="0" collapsed="false">
      <c r="A8" s="80" t="s">
        <v>749</v>
      </c>
      <c r="B8" s="80" t="s">
        <v>750</v>
      </c>
      <c r="C8" s="81" t="s">
        <v>751</v>
      </c>
      <c r="D8" s="81" t="s">
        <v>752</v>
      </c>
      <c r="E8" s="81" t="s">
        <v>728</v>
      </c>
      <c r="F8" s="81" t="s">
        <v>753</v>
      </c>
      <c r="G8" s="81" t="s">
        <v>741</v>
      </c>
      <c r="H8" s="81" t="n">
        <v>0</v>
      </c>
      <c r="I8" s="81"/>
      <c r="J8" s="81" t="n">
        <v>1</v>
      </c>
      <c r="K8" s="81" t="s">
        <v>264</v>
      </c>
      <c r="L8" s="81" t="n">
        <v>2</v>
      </c>
      <c r="M8" s="81" t="n">
        <v>2</v>
      </c>
      <c r="N8" s="81" t="n">
        <v>2</v>
      </c>
      <c r="O8" s="81" t="n">
        <v>1</v>
      </c>
      <c r="P8" s="81" t="n">
        <v>3</v>
      </c>
      <c r="Q8" s="81" t="n">
        <v>3</v>
      </c>
      <c r="R8" s="81" t="n">
        <v>4</v>
      </c>
      <c r="S8" s="81" t="s">
        <v>299</v>
      </c>
      <c r="T8" s="81" t="s">
        <v>58</v>
      </c>
      <c r="U8" s="81" t="n">
        <v>12</v>
      </c>
      <c r="V8" s="81" t="s">
        <v>312</v>
      </c>
      <c r="W8" s="81" t="s">
        <v>318</v>
      </c>
      <c r="X8" s="81" t="s">
        <v>69</v>
      </c>
      <c r="Y8" s="81" t="n">
        <v>3</v>
      </c>
      <c r="Z8" s="81"/>
      <c r="AA8" s="81" t="s">
        <v>334</v>
      </c>
      <c r="AB8" s="81" t="n">
        <v>2</v>
      </c>
      <c r="AC8" s="81" t="n">
        <v>2</v>
      </c>
      <c r="AD8" s="81" t="n">
        <v>2</v>
      </c>
      <c r="AE8" s="81" t="n">
        <v>2</v>
      </c>
      <c r="AF8" s="81" t="n">
        <v>3</v>
      </c>
      <c r="AG8" s="81" t="n">
        <v>16</v>
      </c>
      <c r="AH8" s="81" t="n">
        <v>33</v>
      </c>
      <c r="AI8" s="81" t="s">
        <v>383</v>
      </c>
      <c r="AJ8" s="81" t="s">
        <v>754</v>
      </c>
      <c r="AK8" s="81" t="s">
        <v>724</v>
      </c>
      <c r="AL8" s="81" t="s">
        <v>383</v>
      </c>
      <c r="AM8" s="81" t="n">
        <v>3</v>
      </c>
      <c r="AN8" s="81" t="s">
        <v>392</v>
      </c>
      <c r="AO8" s="81" t="n">
        <v>2</v>
      </c>
      <c r="AP8" s="81" t="n">
        <v>2</v>
      </c>
    </row>
    <row r="9" customFormat="false" ht="23.25" hidden="false" customHeight="true" outlineLevel="0" collapsed="false">
      <c r="A9" s="80" t="s">
        <v>755</v>
      </c>
      <c r="B9" s="80" t="s">
        <v>756</v>
      </c>
      <c r="C9" s="81" t="s">
        <v>757</v>
      </c>
      <c r="D9" s="81" t="s">
        <v>758</v>
      </c>
      <c r="E9" s="81" t="s">
        <v>759</v>
      </c>
      <c r="F9" s="81" t="s">
        <v>760</v>
      </c>
      <c r="G9" s="81" t="s">
        <v>761</v>
      </c>
      <c r="H9" s="81" t="n">
        <v>0</v>
      </c>
      <c r="I9" s="81"/>
      <c r="J9" s="81" t="n">
        <v>0</v>
      </c>
      <c r="K9" s="81" t="s">
        <v>762</v>
      </c>
      <c r="L9" s="81" t="n">
        <v>2</v>
      </c>
      <c r="M9" s="81" t="n">
        <v>3</v>
      </c>
      <c r="N9" s="81" t="n">
        <v>2</v>
      </c>
      <c r="O9" s="81" t="n">
        <v>2</v>
      </c>
      <c r="P9" s="81" t="n">
        <v>1</v>
      </c>
      <c r="Q9" s="81" t="n">
        <v>2</v>
      </c>
      <c r="R9" s="81" t="n">
        <v>5</v>
      </c>
      <c r="S9" s="81" t="s">
        <v>299</v>
      </c>
      <c r="T9" s="81" t="s">
        <v>69</v>
      </c>
      <c r="U9" s="81" t="n">
        <v>15</v>
      </c>
      <c r="V9" s="81" t="s">
        <v>312</v>
      </c>
      <c r="W9" s="81" t="s">
        <v>733</v>
      </c>
      <c r="X9" s="81" t="s">
        <v>69</v>
      </c>
      <c r="Y9" s="81" t="n">
        <v>2</v>
      </c>
      <c r="Z9" s="81" t="s">
        <v>329</v>
      </c>
      <c r="AA9" s="81" t="s">
        <v>334</v>
      </c>
      <c r="AB9" s="81" t="n">
        <v>3</v>
      </c>
      <c r="AC9" s="81" t="n">
        <v>2</v>
      </c>
      <c r="AD9" s="81" t="n">
        <v>1</v>
      </c>
      <c r="AE9" s="81" t="n">
        <v>2</v>
      </c>
      <c r="AF9" s="81" t="n">
        <v>2</v>
      </c>
      <c r="AG9" s="81" t="n">
        <v>47</v>
      </c>
      <c r="AH9" s="81" t="n">
        <v>26</v>
      </c>
      <c r="AI9" s="81" t="s">
        <v>763</v>
      </c>
      <c r="AJ9" s="81" t="s">
        <v>373</v>
      </c>
      <c r="AK9" s="81" t="s">
        <v>724</v>
      </c>
      <c r="AL9" s="81" t="s">
        <v>383</v>
      </c>
      <c r="AM9" s="81" t="n">
        <v>2</v>
      </c>
      <c r="AN9" s="81" t="s">
        <v>392</v>
      </c>
      <c r="AO9" s="81" t="n">
        <v>3</v>
      </c>
      <c r="AP9" s="81" t="n">
        <v>2</v>
      </c>
    </row>
    <row r="10" customFormat="false" ht="23.25" hidden="false" customHeight="true" outlineLevel="0" collapsed="false">
      <c r="A10" s="80" t="s">
        <v>764</v>
      </c>
      <c r="B10" s="80" t="s">
        <v>765</v>
      </c>
      <c r="C10" s="81" t="s">
        <v>757</v>
      </c>
      <c r="D10" s="81" t="s">
        <v>766</v>
      </c>
      <c r="E10" s="81" t="s">
        <v>759</v>
      </c>
      <c r="F10" s="81" t="s">
        <v>767</v>
      </c>
      <c r="G10" s="81" t="s">
        <v>768</v>
      </c>
      <c r="H10" s="81" t="n">
        <v>0</v>
      </c>
      <c r="I10" s="81"/>
      <c r="J10" s="81" t="n">
        <v>0</v>
      </c>
      <c r="K10" s="81" t="s">
        <v>264</v>
      </c>
      <c r="L10" s="81" t="n">
        <v>1</v>
      </c>
      <c r="M10" s="81" t="n">
        <v>2</v>
      </c>
      <c r="N10" s="81" t="n">
        <v>1</v>
      </c>
      <c r="O10" s="81" t="n">
        <v>2</v>
      </c>
      <c r="P10" s="81" t="n">
        <v>0</v>
      </c>
      <c r="Q10" s="81" t="n">
        <v>2</v>
      </c>
      <c r="R10" s="81" t="n">
        <v>3</v>
      </c>
      <c r="S10" s="81" t="s">
        <v>763</v>
      </c>
      <c r="T10" s="81" t="s">
        <v>69</v>
      </c>
      <c r="U10" s="81" t="n">
        <v>19</v>
      </c>
      <c r="V10" s="81" t="s">
        <v>312</v>
      </c>
      <c r="W10" s="81" t="s">
        <v>769</v>
      </c>
      <c r="X10" s="81" t="s">
        <v>58</v>
      </c>
      <c r="Y10" s="81" t="n">
        <v>1</v>
      </c>
      <c r="Z10" s="81" t="s">
        <v>770</v>
      </c>
      <c r="AA10" s="81" t="s">
        <v>734</v>
      </c>
      <c r="AB10" s="81" t="n">
        <v>3</v>
      </c>
      <c r="AC10" s="81" t="n">
        <v>1</v>
      </c>
      <c r="AD10" s="81" t="n">
        <v>1</v>
      </c>
      <c r="AE10" s="81" t="n">
        <v>1</v>
      </c>
      <c r="AF10" s="81" t="n">
        <v>1</v>
      </c>
      <c r="AG10" s="81" t="n">
        <v>8</v>
      </c>
      <c r="AH10" s="81" t="n">
        <v>19</v>
      </c>
      <c r="AI10" s="81" t="s">
        <v>383</v>
      </c>
      <c r="AJ10" s="81" t="s">
        <v>373</v>
      </c>
      <c r="AK10" s="81" t="s">
        <v>383</v>
      </c>
      <c r="AL10" s="81" t="s">
        <v>383</v>
      </c>
      <c r="AM10" s="81" t="n">
        <v>1</v>
      </c>
      <c r="AN10" s="81" t="s">
        <v>771</v>
      </c>
      <c r="AO10" s="81" t="n">
        <v>3</v>
      </c>
      <c r="AP10" s="81" t="n">
        <v>1</v>
      </c>
    </row>
    <row r="11" customFormat="false" ht="15" hidden="false" customHeight="true" outlineLevel="0" collapsed="false">
      <c r="A11" s="80" t="s">
        <v>772</v>
      </c>
      <c r="B11" s="80" t="s">
        <v>773</v>
      </c>
      <c r="C11" s="81" t="s">
        <v>774</v>
      </c>
      <c r="D11" s="81" t="s">
        <v>775</v>
      </c>
      <c r="E11" s="81" t="s">
        <v>776</v>
      </c>
      <c r="F11" s="81" t="s">
        <v>777</v>
      </c>
      <c r="G11" s="81" t="s">
        <v>243</v>
      </c>
      <c r="H11" s="81" t="n">
        <v>0</v>
      </c>
      <c r="I11" s="81"/>
      <c r="J11" s="81" t="n">
        <v>1</v>
      </c>
      <c r="K11" s="81" t="s">
        <v>747</v>
      </c>
      <c r="L11" s="81" t="n">
        <v>2</v>
      </c>
      <c r="M11" s="81" t="n">
        <v>2</v>
      </c>
      <c r="N11" s="81" t="n">
        <v>2</v>
      </c>
      <c r="O11" s="81" t="n">
        <v>2</v>
      </c>
      <c r="P11" s="81" t="n">
        <v>1</v>
      </c>
      <c r="Q11" s="81" t="n">
        <v>2</v>
      </c>
      <c r="R11" s="81" t="n">
        <v>4</v>
      </c>
      <c r="S11" s="81" t="s">
        <v>299</v>
      </c>
      <c r="T11" s="81" t="s">
        <v>58</v>
      </c>
      <c r="U11" s="81" t="n">
        <v>10</v>
      </c>
      <c r="V11" s="81" t="s">
        <v>312</v>
      </c>
      <c r="W11" s="81" t="s">
        <v>778</v>
      </c>
      <c r="X11" s="81" t="s">
        <v>69</v>
      </c>
      <c r="Y11" s="81" t="n">
        <v>2</v>
      </c>
      <c r="Z11" s="81" t="s">
        <v>779</v>
      </c>
      <c r="AA11" s="81" t="s">
        <v>334</v>
      </c>
      <c r="AB11" s="81" t="n">
        <v>3</v>
      </c>
      <c r="AC11" s="81" t="n">
        <v>2</v>
      </c>
      <c r="AD11" s="81" t="n">
        <v>2</v>
      </c>
      <c r="AE11" s="81" t="n">
        <v>2</v>
      </c>
      <c r="AF11" s="81" t="n">
        <v>2</v>
      </c>
      <c r="AG11" s="81" t="n">
        <v>22</v>
      </c>
      <c r="AH11" s="81" t="n">
        <v>34</v>
      </c>
      <c r="AI11" s="81" t="s">
        <v>383</v>
      </c>
      <c r="AJ11" s="81" t="s">
        <v>373</v>
      </c>
      <c r="AK11" s="81" t="s">
        <v>724</v>
      </c>
      <c r="AL11" s="81" t="s">
        <v>383</v>
      </c>
      <c r="AM11" s="81" t="n">
        <v>2</v>
      </c>
      <c r="AN11" s="81" t="s">
        <v>735</v>
      </c>
      <c r="AO11" s="81" t="n">
        <v>2</v>
      </c>
      <c r="AP11" s="81" t="n">
        <v>2</v>
      </c>
    </row>
    <row r="12" customFormat="false" ht="15" hidden="false" customHeight="true" outlineLevel="0" collapsed="false">
      <c r="A12" s="80" t="s">
        <v>780</v>
      </c>
      <c r="B12" s="80" t="s">
        <v>781</v>
      </c>
      <c r="C12" s="81" t="s">
        <v>782</v>
      </c>
      <c r="D12" s="81" t="s">
        <v>783</v>
      </c>
      <c r="E12" s="81" t="s">
        <v>728</v>
      </c>
      <c r="F12" s="81" t="s">
        <v>784</v>
      </c>
      <c r="G12" s="81" t="s">
        <v>785</v>
      </c>
      <c r="H12" s="81" t="n">
        <v>2</v>
      </c>
      <c r="I12" s="81" t="s">
        <v>786</v>
      </c>
      <c r="J12" s="81" t="n">
        <v>3</v>
      </c>
      <c r="K12" s="81" t="s">
        <v>264</v>
      </c>
      <c r="L12" s="81" t="n">
        <v>1</v>
      </c>
      <c r="M12" s="81" t="n">
        <v>2</v>
      </c>
      <c r="N12" s="81" t="n">
        <v>2</v>
      </c>
      <c r="O12" s="81" t="n">
        <v>3</v>
      </c>
      <c r="P12" s="81" t="n">
        <v>3</v>
      </c>
      <c r="Q12" s="81" t="n">
        <v>3</v>
      </c>
      <c r="R12" s="81" t="n">
        <v>5</v>
      </c>
      <c r="S12" s="81" t="s">
        <v>299</v>
      </c>
      <c r="T12" s="81" t="s">
        <v>58</v>
      </c>
      <c r="U12" s="81" t="n">
        <v>9</v>
      </c>
      <c r="V12" s="81" t="s">
        <v>312</v>
      </c>
      <c r="W12" s="81" t="s">
        <v>717</v>
      </c>
      <c r="X12" s="81" t="s">
        <v>69</v>
      </c>
      <c r="Y12" s="81" t="n">
        <v>3</v>
      </c>
      <c r="Z12" s="81"/>
      <c r="AA12" s="81" t="s">
        <v>334</v>
      </c>
      <c r="AB12" s="81" t="n">
        <v>3</v>
      </c>
      <c r="AC12" s="81" t="n">
        <v>2</v>
      </c>
      <c r="AD12" s="81" t="n">
        <v>3</v>
      </c>
      <c r="AE12" s="81" t="n">
        <v>2</v>
      </c>
      <c r="AF12" s="81" t="n">
        <v>3</v>
      </c>
      <c r="AG12" s="81" t="n">
        <v>25</v>
      </c>
      <c r="AH12" s="81" t="n">
        <v>39</v>
      </c>
      <c r="AI12" s="81" t="s">
        <v>368</v>
      </c>
      <c r="AJ12" s="81" t="s">
        <v>373</v>
      </c>
      <c r="AK12" s="81" t="s">
        <v>378</v>
      </c>
      <c r="AL12" s="81" t="s">
        <v>383</v>
      </c>
      <c r="AM12" s="81" t="n">
        <v>3</v>
      </c>
      <c r="AN12" s="81" t="s">
        <v>392</v>
      </c>
      <c r="AO12" s="81" t="n">
        <v>2</v>
      </c>
      <c r="AP12" s="81" t="n">
        <v>2</v>
      </c>
    </row>
    <row r="13" customFormat="false" ht="23.25" hidden="false" customHeight="true" outlineLevel="0" collapsed="false">
      <c r="A13" s="80" t="s">
        <v>787</v>
      </c>
      <c r="B13" s="80" t="s">
        <v>788</v>
      </c>
      <c r="C13" s="81" t="s">
        <v>789</v>
      </c>
      <c r="D13" s="81" t="s">
        <v>790</v>
      </c>
      <c r="E13" s="81" t="s">
        <v>234</v>
      </c>
      <c r="F13" s="81" t="s">
        <v>791</v>
      </c>
      <c r="G13" s="81" t="s">
        <v>792</v>
      </c>
      <c r="H13" s="81" t="n">
        <v>0</v>
      </c>
      <c r="I13" s="81"/>
      <c r="J13" s="81" t="n">
        <v>1</v>
      </c>
      <c r="K13" s="81" t="s">
        <v>264</v>
      </c>
      <c r="L13" s="81" t="n">
        <v>2</v>
      </c>
      <c r="M13" s="81" t="n">
        <v>3</v>
      </c>
      <c r="N13" s="81" t="n">
        <v>3</v>
      </c>
      <c r="O13" s="81" t="n">
        <v>0</v>
      </c>
      <c r="P13" s="81" t="n">
        <v>1</v>
      </c>
      <c r="Q13" s="81" t="n">
        <v>1</v>
      </c>
      <c r="R13" s="81" t="n">
        <v>6</v>
      </c>
      <c r="S13" s="81" t="s">
        <v>299</v>
      </c>
      <c r="T13" s="81" t="s">
        <v>69</v>
      </c>
      <c r="U13" s="81" t="n">
        <v>13</v>
      </c>
      <c r="V13" s="81" t="s">
        <v>312</v>
      </c>
      <c r="W13" s="81" t="s">
        <v>793</v>
      </c>
      <c r="X13" s="81" t="s">
        <v>69</v>
      </c>
      <c r="Y13" s="81" t="n">
        <v>3</v>
      </c>
      <c r="Z13" s="81"/>
      <c r="AA13" s="81" t="s">
        <v>334</v>
      </c>
      <c r="AB13" s="81" t="n">
        <v>1</v>
      </c>
      <c r="AC13" s="81" t="n">
        <v>3</v>
      </c>
      <c r="AD13" s="81" t="n">
        <v>2</v>
      </c>
      <c r="AE13" s="81" t="n">
        <v>3</v>
      </c>
      <c r="AF13" s="81" t="n">
        <v>3</v>
      </c>
      <c r="AG13" s="81" t="n">
        <v>19</v>
      </c>
      <c r="AH13" s="81" t="n">
        <v>41</v>
      </c>
      <c r="AI13" s="81" t="s">
        <v>383</v>
      </c>
      <c r="AJ13" s="81" t="s">
        <v>373</v>
      </c>
      <c r="AK13" s="81" t="s">
        <v>383</v>
      </c>
      <c r="AL13" s="81" t="s">
        <v>383</v>
      </c>
      <c r="AM13" s="81" t="n">
        <v>1</v>
      </c>
      <c r="AN13" s="81" t="s">
        <v>392</v>
      </c>
      <c r="AO13" s="81" t="n">
        <v>1</v>
      </c>
      <c r="AP13" s="81" t="n">
        <v>3</v>
      </c>
    </row>
    <row r="14" customFormat="false" ht="23.25" hidden="false" customHeight="true" outlineLevel="0" collapsed="false">
      <c r="A14" s="80" t="s">
        <v>794</v>
      </c>
      <c r="B14" s="80" t="s">
        <v>795</v>
      </c>
      <c r="C14" s="81" t="s">
        <v>796</v>
      </c>
      <c r="D14" s="81" t="s">
        <v>797</v>
      </c>
      <c r="E14" s="81" t="s">
        <v>798</v>
      </c>
      <c r="F14" s="81" t="s">
        <v>799</v>
      </c>
      <c r="G14" s="81" t="s">
        <v>800</v>
      </c>
      <c r="H14" s="81" t="n">
        <v>0</v>
      </c>
      <c r="I14" s="81"/>
      <c r="J14" s="81" t="n">
        <v>1</v>
      </c>
      <c r="K14" s="81" t="s">
        <v>762</v>
      </c>
      <c r="L14" s="81" t="n">
        <v>1</v>
      </c>
      <c r="M14" s="81" t="n">
        <v>2</v>
      </c>
      <c r="N14" s="81" t="n">
        <v>1</v>
      </c>
      <c r="O14" s="81" t="n">
        <v>2</v>
      </c>
      <c r="P14" s="81" t="n">
        <v>0</v>
      </c>
      <c r="Q14" s="81" t="n">
        <v>1</v>
      </c>
      <c r="R14" s="81" t="n">
        <v>2</v>
      </c>
      <c r="S14" s="81" t="s">
        <v>299</v>
      </c>
      <c r="T14" s="81" t="s">
        <v>58</v>
      </c>
      <c r="U14" s="81" t="n">
        <v>8</v>
      </c>
      <c r="V14" s="81" t="s">
        <v>312</v>
      </c>
      <c r="W14" s="81" t="s">
        <v>769</v>
      </c>
      <c r="X14" s="81" t="s">
        <v>58</v>
      </c>
      <c r="Y14" s="81" t="n">
        <v>1</v>
      </c>
      <c r="Z14" s="81" t="s">
        <v>801</v>
      </c>
      <c r="AA14" s="81" t="s">
        <v>334</v>
      </c>
      <c r="AB14" s="81" t="n">
        <v>3</v>
      </c>
      <c r="AC14" s="81" t="n">
        <v>1</v>
      </c>
      <c r="AD14" s="81" t="n">
        <v>1</v>
      </c>
      <c r="AE14" s="81" t="n">
        <v>2</v>
      </c>
      <c r="AF14" s="81" t="n">
        <v>1</v>
      </c>
      <c r="AG14" s="81" t="n">
        <v>5</v>
      </c>
      <c r="AH14" s="81" t="n">
        <v>12</v>
      </c>
      <c r="AI14" s="81" t="s">
        <v>383</v>
      </c>
      <c r="AJ14" s="81" t="s">
        <v>754</v>
      </c>
      <c r="AK14" s="81" t="s">
        <v>383</v>
      </c>
      <c r="AL14" s="81" t="s">
        <v>383</v>
      </c>
      <c r="AM14" s="81" t="n">
        <v>1</v>
      </c>
      <c r="AN14" s="81" t="s">
        <v>771</v>
      </c>
      <c r="AO14" s="81" t="n">
        <v>2</v>
      </c>
      <c r="AP14" s="81" t="n">
        <v>1</v>
      </c>
    </row>
    <row r="15" customFormat="false" ht="15" hidden="false" customHeight="true" outlineLevel="0" collapsed="false">
      <c r="A15" s="80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</row>
    <row r="16" customFormat="false" ht="15" hidden="false" customHeight="true" outlineLevel="0" collapsed="false">
      <c r="A16" s="80"/>
      <c r="B16" s="80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</row>
    <row r="17" customFormat="false" ht="15" hidden="false" customHeight="true" outlineLevel="0" collapsed="false">
      <c r="A17" s="80"/>
      <c r="B17" s="80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</row>
    <row r="18" customFormat="false" ht="15" hidden="false" customHeight="true" outlineLevel="0" collapsed="false">
      <c r="A18" s="80"/>
      <c r="B18" s="80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</row>
    <row r="19" customFormat="false" ht="15" hidden="false" customHeight="true" outlineLevel="0" collapsed="false">
      <c r="A19" s="80"/>
      <c r="B19" s="80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</row>
    <row r="20" customFormat="false" ht="15" hidden="false" customHeight="true" outlineLevel="0" collapsed="false">
      <c r="A20" s="80"/>
      <c r="B20" s="80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</row>
    <row r="21" customFormat="false" ht="15" hidden="false" customHeight="true" outlineLevel="0" collapsed="false">
      <c r="A21" s="80"/>
      <c r="B21" s="80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</row>
    <row r="22" customFormat="false" ht="15" hidden="false" customHeight="true" outlineLevel="0" collapsed="false">
      <c r="A22" s="80"/>
      <c r="B22" s="80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</row>
  </sheetData>
  <mergeCells count="10">
    <mergeCell ref="A1:B1"/>
    <mergeCell ref="C1:G1"/>
    <mergeCell ref="H1:J1"/>
    <mergeCell ref="K1:N1"/>
    <mergeCell ref="O1:Q1"/>
    <mergeCell ref="R1:V1"/>
    <mergeCell ref="W1:Y1"/>
    <mergeCell ref="Z1:AB1"/>
    <mergeCell ref="AC1:AL1"/>
    <mergeCell ref="AM1:AP1"/>
  </mergeCells>
  <dataValidations count="12">
    <dataValidation allowBlank="true" error="Enter an integer between 0 and 3" errorStyle="stop" operator="between" showDropDown="false" showErrorMessage="false" showInputMessage="false" sqref="H3:H22 J3:J22 L3:L22 N3:Q22 Y3:Y22 AB3:AF22 AM3:AM22 AO3:AP22" type="whole">
      <formula1>0</formula1>
      <formula2>3</formula2>
    </dataValidation>
    <dataValidation allowBlank="true" errorStyle="stop" operator="between" showDropDown="false" showErrorMessage="false" showInputMessage="false" sqref="E3:E22" type="list">
      <formula1>"Hardware,Firmware,OS,Middleware,App,Cloud,UI"</formula1>
      <formula2>0</formula2>
    </dataValidation>
    <dataValidation allowBlank="true" errorStyle="stop" operator="between" showDropDown="false" showErrorMessage="false" showInputMessage="false" sqref="K3:K22" type="list">
      <formula1>"Apparatus,Method,System,CRM,Design"</formula1>
      <formula2>0</formula2>
    </dataValidation>
    <dataValidation allowBlank="true" errorStyle="stop" operator="between" showDropDown="false" showErrorMessage="false" showInputMessage="false" sqref="S3:S22" type="list">
      <formula1>"Pending,Granted,Mixed"</formula1>
      <formula2>0</formula2>
    </dataValidation>
    <dataValidation allowBlank="true" errorStyle="stop" operator="between" showDropDown="false" showErrorMessage="false" showInputMessage="false" sqref="T3:T22 X3:X22" type="list">
      <formula1>"Yes,No"</formula1>
      <formula2>0</formula2>
    </dataValidation>
    <dataValidation allowBlank="true" errorStyle="stop" operator="between" showDropDown="false" showErrorMessage="false" showInputMessage="false" sqref="V3:V22" type="list">
      <formula1>"Active,Lapsed,At-risk"</formula1>
      <formula2>0</formula2>
    </dataValidation>
    <dataValidation allowBlank="true" errorStyle="stop" operator="between" showDropDown="false" showErrorMessage="false" showInputMessage="false" sqref="AA3:AA22" type="list">
      <formula1>"Legacy,Current,Next-gen"</formula1>
      <formula2>0</formula2>
    </dataValidation>
    <dataValidation allowBlank="true" errorStyle="stop" operator="between" showDropDown="false" showErrorMessage="false" showInputMessage="false" sqref="AI3:AI22" type="list">
      <formula1>"None,Survived,Pending,Lost-claims"</formula1>
      <formula2>0</formula2>
    </dataValidation>
    <dataValidation allowBlank="true" errorStyle="stop" operator="between" showDropDown="false" showErrorMessage="false" showInputMessage="false" sqref="AJ3:AJ22" type="list">
      <formula1>"Clean,Minor gaps,Encumbered"</formula1>
      <formula2>0</formula2>
    </dataValidation>
    <dataValidation allowBlank="true" errorStyle="stop" operator="between" showDropDown="false" showErrorMessage="false" showInputMessage="false" sqref="AK3:AK22" type="list">
      <formula1>"None,Partial,Full"</formula1>
      <formula2>0</formula2>
    </dataValidation>
    <dataValidation allowBlank="true" errorStyle="stop" operator="between" showDropDown="false" showErrorMessage="false" showInputMessage="false" sqref="AL3:AL22" type="list">
      <formula1>"None,Non-exclusive licensed,Exclusive licensed,Encumbered"</formula1>
      <formula2>0</formula2>
    </dataValidation>
    <dataValidation allowBlank="true" errorStyle="stop" operator="between" showDropDown="false" showErrorMessage="false" showInputMessage="false" sqref="AN3:AN22" type="list">
      <formula1>"Idea-only,Prototyped,Productized"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50"/>
    <col collapsed="false" customWidth="true" hidden="false" outlineLevel="0" max="4" min="4" style="1" width="55"/>
    <col collapsed="false" customWidth="true" hidden="false" outlineLevel="0" max="5" min="5" style="1" width="22"/>
  </cols>
  <sheetData>
    <row r="1" customFormat="false" ht="27.75" hidden="false" customHeight="true" outlineLevel="0" collapsed="false">
      <c r="A1" s="22" t="s">
        <v>412</v>
      </c>
      <c r="B1" s="22" t="s">
        <v>802</v>
      </c>
      <c r="C1" s="22" t="s">
        <v>803</v>
      </c>
      <c r="D1" s="22" t="s">
        <v>804</v>
      </c>
      <c r="E1" s="22" t="s">
        <v>805</v>
      </c>
    </row>
    <row r="2" customFormat="false" ht="23.25" hidden="false" customHeight="true" outlineLevel="0" collapsed="false">
      <c r="A2" s="82" t="n">
        <v>1</v>
      </c>
      <c r="B2" s="25" t="s">
        <v>806</v>
      </c>
      <c r="C2" s="25" t="s">
        <v>807</v>
      </c>
      <c r="D2" s="25" t="s">
        <v>808</v>
      </c>
      <c r="E2" s="25" t="s">
        <v>220</v>
      </c>
    </row>
    <row r="3" customFormat="false" ht="23.25" hidden="false" customHeight="true" outlineLevel="0" collapsed="false">
      <c r="A3" s="82" t="n">
        <v>2</v>
      </c>
      <c r="B3" s="25" t="s">
        <v>809</v>
      </c>
      <c r="C3" s="25" t="s">
        <v>810</v>
      </c>
      <c r="D3" s="25" t="s">
        <v>811</v>
      </c>
      <c r="E3" s="25" t="s">
        <v>424</v>
      </c>
    </row>
    <row r="4" customFormat="false" ht="23.25" hidden="false" customHeight="true" outlineLevel="0" collapsed="false">
      <c r="A4" s="82" t="n">
        <v>3</v>
      </c>
      <c r="B4" s="25" t="s">
        <v>812</v>
      </c>
      <c r="C4" s="25" t="s">
        <v>813</v>
      </c>
      <c r="D4" s="25" t="s">
        <v>814</v>
      </c>
      <c r="E4" s="25" t="s">
        <v>235</v>
      </c>
    </row>
    <row r="5" customFormat="false" ht="23.25" hidden="false" customHeight="true" outlineLevel="0" collapsed="false">
      <c r="A5" s="82" t="n">
        <v>4</v>
      </c>
      <c r="B5" s="25" t="s">
        <v>815</v>
      </c>
      <c r="C5" s="25" t="s">
        <v>816</v>
      </c>
      <c r="D5" s="25" t="s">
        <v>817</v>
      </c>
      <c r="E5" s="25" t="s">
        <v>230</v>
      </c>
    </row>
    <row r="6" customFormat="false" ht="23.25" hidden="false" customHeight="true" outlineLevel="0" collapsed="false">
      <c r="A6" s="82" t="n">
        <v>5</v>
      </c>
      <c r="B6" s="25" t="s">
        <v>818</v>
      </c>
      <c r="C6" s="25" t="s">
        <v>819</v>
      </c>
      <c r="D6" s="25" t="s">
        <v>820</v>
      </c>
      <c r="E6" s="25" t="s">
        <v>240</v>
      </c>
    </row>
    <row r="7" customFormat="false" ht="23.25" hidden="false" customHeight="true" outlineLevel="0" collapsed="false">
      <c r="A7" s="82" t="n">
        <v>6</v>
      </c>
      <c r="B7" s="25" t="s">
        <v>821</v>
      </c>
      <c r="C7" s="25" t="s">
        <v>822</v>
      </c>
      <c r="D7" s="25" t="s">
        <v>823</v>
      </c>
      <c r="E7" s="25" t="s">
        <v>824</v>
      </c>
    </row>
    <row r="8" customFormat="false" ht="23.25" hidden="false" customHeight="true" outlineLevel="0" collapsed="false">
      <c r="A8" s="82" t="n">
        <v>7</v>
      </c>
      <c r="B8" s="25" t="s">
        <v>825</v>
      </c>
      <c r="C8" s="25" t="s">
        <v>826</v>
      </c>
      <c r="D8" s="25" t="s">
        <v>827</v>
      </c>
      <c r="E8" s="25" t="s">
        <v>824</v>
      </c>
    </row>
    <row r="9" customFormat="false" ht="23.25" hidden="false" customHeight="true" outlineLevel="0" collapsed="false">
      <c r="A9" s="82" t="n">
        <v>8</v>
      </c>
      <c r="B9" s="25" t="s">
        <v>828</v>
      </c>
      <c r="C9" s="25" t="s">
        <v>829</v>
      </c>
      <c r="D9" s="25" t="s">
        <v>830</v>
      </c>
      <c r="E9" s="25" t="s">
        <v>831</v>
      </c>
    </row>
    <row r="10" customFormat="false" ht="23.25" hidden="false" customHeight="true" outlineLevel="0" collapsed="false">
      <c r="A10" s="82" t="n">
        <v>9</v>
      </c>
      <c r="B10" s="25" t="s">
        <v>832</v>
      </c>
      <c r="C10" s="25" t="s">
        <v>833</v>
      </c>
      <c r="D10" s="25" t="s">
        <v>834</v>
      </c>
      <c r="E10" s="25" t="s">
        <v>254</v>
      </c>
    </row>
    <row r="11" customFormat="false" ht="23.25" hidden="false" customHeight="true" outlineLevel="0" collapsed="false">
      <c r="A11" s="82" t="n">
        <v>10</v>
      </c>
      <c r="B11" s="25" t="s">
        <v>835</v>
      </c>
      <c r="C11" s="25" t="s">
        <v>836</v>
      </c>
      <c r="D11" s="25" t="s">
        <v>837</v>
      </c>
      <c r="E11" s="25" t="s">
        <v>330</v>
      </c>
    </row>
    <row r="12" customFormat="false" ht="23.25" hidden="false" customHeight="true" outlineLevel="0" collapsed="false">
      <c r="A12" s="82" t="n">
        <v>11</v>
      </c>
      <c r="B12" s="25" t="s">
        <v>838</v>
      </c>
      <c r="C12" s="25" t="s">
        <v>839</v>
      </c>
      <c r="D12" s="25" t="s">
        <v>840</v>
      </c>
      <c r="E12" s="25" t="s">
        <v>260</v>
      </c>
    </row>
    <row r="13" customFormat="false" ht="15" hidden="false" customHeight="true" outlineLevel="0" collapsed="false">
      <c r="A13" s="82" t="n">
        <v>12</v>
      </c>
      <c r="B13" s="25" t="s">
        <v>841</v>
      </c>
      <c r="C13" s="25" t="s">
        <v>842</v>
      </c>
      <c r="D13" s="25" t="s">
        <v>843</v>
      </c>
      <c r="E13" s="25" t="s">
        <v>427</v>
      </c>
    </row>
    <row r="14" customFormat="false" ht="23.25" hidden="false" customHeight="true" outlineLevel="0" collapsed="false">
      <c r="A14" s="82" t="n">
        <v>13</v>
      </c>
      <c r="B14" s="25" t="s">
        <v>844</v>
      </c>
      <c r="C14" s="25" t="s">
        <v>845</v>
      </c>
      <c r="D14" s="25" t="s">
        <v>846</v>
      </c>
      <c r="E14" s="25" t="s">
        <v>847</v>
      </c>
    </row>
    <row r="15" customFormat="false" ht="23.25" hidden="false" customHeight="true" outlineLevel="0" collapsed="false">
      <c r="A15" s="82" t="n">
        <v>14</v>
      </c>
      <c r="B15" s="25" t="s">
        <v>848</v>
      </c>
      <c r="C15" s="25" t="s">
        <v>849</v>
      </c>
      <c r="D15" s="25" t="s">
        <v>850</v>
      </c>
      <c r="E15" s="25" t="s">
        <v>291</v>
      </c>
    </row>
    <row r="16" customFormat="false" ht="15" hidden="false" customHeight="true" outlineLevel="0" collapsed="false">
      <c r="A16" s="82" t="n">
        <v>15</v>
      </c>
      <c r="B16" s="25" t="s">
        <v>851</v>
      </c>
      <c r="C16" s="25" t="s">
        <v>852</v>
      </c>
      <c r="D16" s="25" t="s">
        <v>853</v>
      </c>
      <c r="E16" s="25" t="s">
        <v>304</v>
      </c>
    </row>
    <row r="17" customFormat="false" ht="23.25" hidden="false" customHeight="true" outlineLevel="0" collapsed="false">
      <c r="A17" s="82" t="n">
        <v>16</v>
      </c>
      <c r="B17" s="25" t="s">
        <v>854</v>
      </c>
      <c r="C17" s="25" t="s">
        <v>855</v>
      </c>
      <c r="D17" s="25" t="s">
        <v>856</v>
      </c>
      <c r="E17" s="25" t="s">
        <v>857</v>
      </c>
    </row>
    <row r="18" customFormat="false" ht="23.25" hidden="false" customHeight="true" outlineLevel="0" collapsed="false">
      <c r="A18" s="82" t="n">
        <v>17</v>
      </c>
      <c r="B18" s="25" t="s">
        <v>858</v>
      </c>
      <c r="C18" s="25" t="s">
        <v>859</v>
      </c>
      <c r="D18" s="25" t="s">
        <v>860</v>
      </c>
      <c r="E18" s="25" t="s">
        <v>335</v>
      </c>
    </row>
    <row r="19" customFormat="false" ht="23.25" hidden="false" customHeight="true" outlineLevel="0" collapsed="false">
      <c r="A19" s="82" t="n">
        <v>18</v>
      </c>
      <c r="B19" s="25" t="s">
        <v>861</v>
      </c>
      <c r="C19" s="25" t="s">
        <v>862</v>
      </c>
      <c r="D19" s="25" t="s">
        <v>863</v>
      </c>
      <c r="E19" s="25" t="s">
        <v>326</v>
      </c>
    </row>
    <row r="20" customFormat="false" ht="23.25" hidden="false" customHeight="true" outlineLevel="0" collapsed="false">
      <c r="A20" s="82" t="n">
        <v>19</v>
      </c>
      <c r="B20" s="25" t="s">
        <v>864</v>
      </c>
      <c r="C20" s="25" t="s">
        <v>865</v>
      </c>
      <c r="D20" s="25" t="s">
        <v>866</v>
      </c>
      <c r="E20" s="25" t="s">
        <v>286</v>
      </c>
    </row>
    <row r="21" customFormat="false" ht="15" hidden="false" customHeight="true" outlineLevel="0" collapsed="false">
      <c r="A21" s="82" t="n">
        <v>20</v>
      </c>
      <c r="B21" s="25" t="s">
        <v>867</v>
      </c>
      <c r="C21" s="25" t="s">
        <v>868</v>
      </c>
      <c r="D21" s="25" t="s">
        <v>869</v>
      </c>
      <c r="E21" s="25" t="s">
        <v>870</v>
      </c>
    </row>
    <row r="22" customFormat="false" ht="23.25" hidden="false" customHeight="true" outlineLevel="0" collapsed="false">
      <c r="A22" s="82" t="n">
        <v>21</v>
      </c>
      <c r="B22" s="25" t="s">
        <v>871</v>
      </c>
      <c r="C22" s="25" t="s">
        <v>872</v>
      </c>
      <c r="D22" s="25" t="s">
        <v>873</v>
      </c>
      <c r="E22" s="25" t="s">
        <v>874</v>
      </c>
    </row>
    <row r="23" customFormat="false" ht="34.5" hidden="false" customHeight="true" outlineLevel="0" collapsed="false">
      <c r="A23" s="82" t="n">
        <v>22</v>
      </c>
      <c r="B23" s="25" t="s">
        <v>875</v>
      </c>
      <c r="C23" s="25" t="s">
        <v>876</v>
      </c>
      <c r="D23" s="25" t="s">
        <v>877</v>
      </c>
      <c r="E23" s="25" t="s">
        <v>878</v>
      </c>
    </row>
    <row r="24" customFormat="false" ht="34.5" hidden="false" customHeight="true" outlineLevel="0" collapsed="false">
      <c r="A24" s="82" t="n">
        <v>23</v>
      </c>
      <c r="B24" s="25" t="s">
        <v>879</v>
      </c>
      <c r="C24" s="25" t="s">
        <v>880</v>
      </c>
      <c r="D24" s="25" t="s">
        <v>881</v>
      </c>
      <c r="E24" s="25" t="s">
        <v>882</v>
      </c>
    </row>
    <row r="25" customFormat="false" ht="34.5" hidden="false" customHeight="true" outlineLevel="0" collapsed="false">
      <c r="A25" s="82" t="n">
        <v>24</v>
      </c>
      <c r="B25" s="25" t="s">
        <v>883</v>
      </c>
      <c r="C25" s="25" t="s">
        <v>884</v>
      </c>
      <c r="D25" s="25" t="s">
        <v>885</v>
      </c>
      <c r="E25" s="25" t="s">
        <v>886</v>
      </c>
    </row>
    <row r="26" customFormat="false" ht="34.5" hidden="false" customHeight="true" outlineLevel="0" collapsed="false">
      <c r="A26" s="82" t="n">
        <v>25</v>
      </c>
      <c r="B26" s="25" t="s">
        <v>887</v>
      </c>
      <c r="C26" s="25" t="s">
        <v>888</v>
      </c>
      <c r="D26" s="25" t="s">
        <v>889</v>
      </c>
      <c r="E26" s="25" t="s">
        <v>300</v>
      </c>
    </row>
    <row r="27" customFormat="false" ht="34.5" hidden="false" customHeight="true" outlineLevel="0" collapsed="false">
      <c r="A27" s="82" t="n">
        <v>26</v>
      </c>
      <c r="B27" s="25" t="s">
        <v>890</v>
      </c>
      <c r="C27" s="25" t="s">
        <v>891</v>
      </c>
      <c r="D27" s="25" t="s">
        <v>892</v>
      </c>
      <c r="E27" s="25" t="s">
        <v>374</v>
      </c>
    </row>
    <row r="28" customFormat="false" ht="23.25" hidden="false" customHeight="true" outlineLevel="0" collapsed="false">
      <c r="A28" s="82" t="n">
        <v>27</v>
      </c>
      <c r="B28" s="25" t="s">
        <v>893</v>
      </c>
      <c r="C28" s="25" t="s">
        <v>894</v>
      </c>
      <c r="D28" s="25" t="s">
        <v>895</v>
      </c>
      <c r="E28" s="25" t="s">
        <v>364</v>
      </c>
    </row>
    <row r="29" customFormat="false" ht="23.25" hidden="false" customHeight="true" outlineLevel="0" collapsed="false">
      <c r="A29" s="82" t="n">
        <v>28</v>
      </c>
      <c r="B29" s="25" t="s">
        <v>896</v>
      </c>
      <c r="C29" s="25" t="s">
        <v>897</v>
      </c>
      <c r="D29" s="25" t="s">
        <v>898</v>
      </c>
      <c r="E29" s="25" t="s">
        <v>899</v>
      </c>
    </row>
    <row r="30" customFormat="false" ht="34.5" hidden="false" customHeight="true" outlineLevel="0" collapsed="false">
      <c r="A30" s="82" t="n">
        <v>29</v>
      </c>
      <c r="B30" s="25" t="s">
        <v>900</v>
      </c>
      <c r="C30" s="25" t="s">
        <v>901</v>
      </c>
      <c r="D30" s="25" t="s">
        <v>902</v>
      </c>
      <c r="E30" s="25" t="s">
        <v>356</v>
      </c>
    </row>
    <row r="31" customFormat="false" ht="34.5" hidden="false" customHeight="true" outlineLevel="0" collapsed="false">
      <c r="A31" s="82" t="n">
        <v>30</v>
      </c>
      <c r="B31" s="25" t="s">
        <v>903</v>
      </c>
      <c r="C31" s="25" t="s">
        <v>904</v>
      </c>
      <c r="D31" s="25" t="s">
        <v>905</v>
      </c>
      <c r="E31" s="25" t="s">
        <v>906</v>
      </c>
    </row>
    <row r="32" customFormat="false" ht="34.5" hidden="false" customHeight="true" outlineLevel="0" collapsed="false">
      <c r="A32" s="82" t="n">
        <v>31</v>
      </c>
      <c r="B32" s="25" t="s">
        <v>907</v>
      </c>
      <c r="C32" s="25" t="s">
        <v>908</v>
      </c>
      <c r="D32" s="25" t="s">
        <v>909</v>
      </c>
      <c r="E32" s="25" t="s">
        <v>910</v>
      </c>
    </row>
    <row r="33" customFormat="false" ht="34.5" hidden="false" customHeight="true" outlineLevel="0" collapsed="false">
      <c r="A33" s="82" t="n">
        <v>32</v>
      </c>
      <c r="B33" s="25" t="s">
        <v>911</v>
      </c>
      <c r="C33" s="25" t="s">
        <v>912</v>
      </c>
      <c r="D33" s="25" t="s">
        <v>913</v>
      </c>
      <c r="E33" s="25" t="s">
        <v>304</v>
      </c>
    </row>
    <row r="34" customFormat="false" ht="34.5" hidden="false" customHeight="true" outlineLevel="0" collapsed="false">
      <c r="A34" s="82" t="n">
        <v>33</v>
      </c>
      <c r="B34" s="25" t="s">
        <v>914</v>
      </c>
      <c r="C34" s="25" t="s">
        <v>915</v>
      </c>
      <c r="D34" s="25" t="s">
        <v>916</v>
      </c>
      <c r="E34" s="25" t="s">
        <v>917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23" min="3" style="1" width="14"/>
    <col collapsed="false" customWidth="true" hidden="false" outlineLevel="0" max="35" min="24" style="1" width="16"/>
    <col collapsed="false" customWidth="true" hidden="false" outlineLevel="0" max="36" min="36" style="1" width="12"/>
  </cols>
  <sheetData>
    <row r="1" customFormat="false" ht="21.75" hidden="false" customHeight="true" outlineLevel="0" collapsed="false">
      <c r="A1" s="46" t="s">
        <v>918</v>
      </c>
      <c r="B1" s="46"/>
      <c r="C1" s="71" t="s">
        <v>919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22" t="s">
        <v>920</v>
      </c>
    </row>
    <row r="2" customFormat="false" ht="42" hidden="false" customHeight="true" outlineLevel="0" collapsed="false">
      <c r="A2" s="13" t="s">
        <v>670</v>
      </c>
      <c r="B2" s="13" t="s">
        <v>671</v>
      </c>
      <c r="C2" s="13" t="str">
        <f aca="false">IF(Configuration!$C$10="No","[DISABLED] B1 Tech Domain","B1 Tech Domain")</f>
        <v>B1 Tech Domain</v>
      </c>
      <c r="D2" s="13" t="str">
        <f aca="false">IF(Configuration!$C$11="No","[DISABLED] B2 SEP","B2 SEP")</f>
        <v>B2 SEP</v>
      </c>
      <c r="E2" s="13" t="str">
        <f aca="false">IF(Configuration!$C$12="No","[DISABLED] B3 Product Arch","B3 Product Arch")</f>
        <v>B3 Product Arch</v>
      </c>
      <c r="F2" s="13" t="str">
        <f aca="false">IF(Configuration!$C$13="No","[DISABLED] B4 Stack Layer","B4 Stack Layer")</f>
        <v>B4 Stack Layer</v>
      </c>
      <c r="G2" s="13" t="str">
        <f aca="false">IF(Configuration!$C$14="No","[DISABLED] B5 Use-Case","B5 Use-Case")</f>
        <v>B5 Use-Case</v>
      </c>
      <c r="H2" s="13" t="str">
        <f aca="false">IF(Configuration!$C$15="No","[DISABLED] B6 Mfg/Process","B6 Mfg/Process")</f>
        <v>B6 Mfg/Process</v>
      </c>
      <c r="I2" s="13" t="str">
        <f aca="false">IF(Configuration!$C$16="No","[DISABLED] B7 Materials","B7 Materials")</f>
        <v>B7 Materials</v>
      </c>
      <c r="J2" s="13" t="str">
        <f aca="false">IF(Configuration!$C$17="No","[DISABLED] B8 Algorithm","B8 Algorithm")</f>
        <v>B8 Algorithm</v>
      </c>
      <c r="K2" s="13" t="str">
        <f aca="false">IF(Configuration!$C$18="No","[DISABLED] B9 Interop","B9 Interop")</f>
        <v>B9 Interop</v>
      </c>
      <c r="L2" s="13" t="str">
        <f aca="false">IF(Configuration!$C$19="No","[DISABLED] B10 Generational","B10 Generational")</f>
        <v>B10 Generational</v>
      </c>
      <c r="M2" s="13" t="str">
        <f aca="false">IF(Configuration!$C$20="No","[DISABLED] B11 Claim-Type","B11 Claim-Type")</f>
        <v>B11 Claim-Type</v>
      </c>
      <c r="N2" s="13" t="str">
        <f aca="false">IF(Configuration!$C$21="No","[DISABLED] B12 Detectable","B12 Detectable")</f>
        <v>B12 Detectable</v>
      </c>
      <c r="O2" s="13" t="str">
        <f aca="false">IF(Configuration!$C$22="No","[DISABLED] B13 Geographic","B13 Geographic")</f>
        <v>B13 Geographic</v>
      </c>
      <c r="P2" s="13" t="str">
        <f aca="false">IF(Configuration!$C$23="No","[DISABLED] B14 Family","B14 Family")</f>
        <v>B14 Family</v>
      </c>
      <c r="Q2" s="13" t="str">
        <f aca="false">IF(Configuration!$C$24="No","[DISABLED] B15 Lifecycle","B15 Lifecycle")</f>
        <v>B15 Lifecycle</v>
      </c>
      <c r="R2" s="13" t="str">
        <f aca="false">IF(Configuration!$C$25="No","[DISABLED] B16 Foundational+Improv.","B16 Foundational+Improv.")</f>
        <v>B16 Foundational+Improv.</v>
      </c>
      <c r="S2" s="13" t="str">
        <f aca="false">IF(Configuration!$C$26="No","[DISABLED] B17 Cross-Industry","B17 Cross-Industry")</f>
        <v>B17 Cross-Industry</v>
      </c>
      <c r="T2" s="13" t="str">
        <f aca="false">IF(Configuration!$C$27="No","[DISABLED] B18 Convergent Theme","B18 Convergent Theme")</f>
        <v>B18 Convergent Theme</v>
      </c>
      <c r="U2" s="13" t="str">
        <f aca="false">IF(Configuration!$C$28="No","[DISABLED] B19 Defensive","B19 Defensive")</f>
        <v>B19 Defensive</v>
      </c>
      <c r="V2" s="13" t="str">
        <f aca="false">IF(Configuration!$C$29="No","[DISABLED] B20 Whitespace","B20 Whitespace")</f>
        <v>B20 Whitespace</v>
      </c>
      <c r="W2" s="13" t="str">
        <f aca="false">IF(Configuration!$C$30="No","[DISABLED] B21 Prosecution-Status","B21 Prosecution-Status")</f>
        <v>B21 Prosecution-Status</v>
      </c>
      <c r="X2" s="13" t="str">
        <f aca="false">IF(Configuration!$C$31="No","[DISABLED] B22 Anchor+Halo","B22 Anchor+Halo")</f>
        <v>B22 Anchor+Halo</v>
      </c>
      <c r="Y2" s="13" t="str">
        <f aca="false">IF(Configuration!$C$32="No","[DISABLED] B23 Picket-Fence","B23 Picket-Fence")</f>
        <v>B23 Picket-Fence</v>
      </c>
      <c r="Z2" s="13" t="str">
        <f aca="false">IF(Configuration!$C$33="No","[DISABLED] B24 Strong+Tail","B24 Strong+Tail")</f>
        <v>B24 Strong+Tail</v>
      </c>
      <c r="AA2" s="13" t="str">
        <f aca="false">IF(Configuration!$C$34="No","[DISABLED] B25 Continuation-Live","B25 Continuation-Live")</f>
        <v>B25 Continuation-Live</v>
      </c>
      <c r="AB2" s="13" t="str">
        <f aca="false">IF(Configuration!$C$35="No","[DISABLED] B26 EoU-Backed","B26 EoU-Backed")</f>
        <v>B26 EoU-Backed</v>
      </c>
      <c r="AC2" s="13" t="str">
        <f aca="false">IF(Configuration!$C$36="No","[DISABLED] B27 Battle-Tested","B27 Battle-Tested")</f>
        <v>B27 Battle-Tested</v>
      </c>
      <c r="AD2" s="13" t="str">
        <f aca="false">IF(Configuration!$C$37="No","[DISABLED] B28 Clean-Title","B28 Clean-Title")</f>
        <v>B28 Clean-Title</v>
      </c>
      <c r="AE2" s="13" t="str">
        <f aca="false">IF(Configuration!$C$38="No","[DISABLED] B29 High-Citation","B29 High-Citation")</f>
        <v>B29 High-Citation</v>
      </c>
      <c r="AF2" s="13" t="str">
        <f aca="false">IF(Configuration!$C$39="No","[DISABLED] B30 Adjacent Re-Read","B30 Adjacent Re-Read")</f>
        <v>B30 Adjacent Re-Read</v>
      </c>
      <c r="AG2" s="13" t="str">
        <f aca="false">IF(Configuration!$C$40="No","[DISABLED] B31 Salvage-Volume","B31 Salvage-Volume")</f>
        <v>B31 Salvage-Volume</v>
      </c>
      <c r="AH2" s="13" t="str">
        <f aca="false">IF(Configuration!$C$41="No","[DISABLED] B32 Pre-Expiry","B32 Pre-Expiry")</f>
        <v>B32 Pre-Expiry</v>
      </c>
      <c r="AI2" s="13" t="str">
        <f aca="false">IF(Configuration!$C$42="No","[DISABLED] B33 Provenance","B33 Provenance")</f>
        <v>B33 Provenance</v>
      </c>
      <c r="AJ2" s="13" t="s">
        <v>921</v>
      </c>
    </row>
    <row r="3" customFormat="false" ht="15" hidden="false" customHeight="true" outlineLevel="0" collapsed="false">
      <c r="A3" s="20" t="str">
        <f aca="false">'Patent Portfolio'!A3</f>
        <v>P-001</v>
      </c>
      <c r="B3" s="83" t="str">
        <f aca="false">'Patent Portfolio'!B3</f>
        <v>Beamforming pilot signaling for 5G NR</v>
      </c>
      <c r="C3" s="84" t="b">
        <f aca="false">IF(Configuration!$C$10="No","",IFERROR(IF('Patent Portfolio'!C3&lt;&gt;"",TRUE(),FALSE()),FALSE()))</f>
        <v>1</v>
      </c>
      <c r="D3" s="84" t="b">
        <f aca="false">IF(Configuration!$C$11="No","",IFERROR(IF(AND(N('Patent Portfolio'!H3)&gt;=Configuration!$C$44,'Patent Portfolio'!I3&lt;&gt;""),TRUE(),FALSE()),FALSE()))</f>
        <v>1</v>
      </c>
      <c r="E3" s="84" t="b">
        <f aca="false">IF(Configuration!$C$12="No","",IFERROR(IF('Patent Portfolio'!F3&lt;&gt;"",TRUE(),FALSE()),FALSE()))</f>
        <v>1</v>
      </c>
      <c r="F3" s="84" t="b">
        <f aca="false">IF(Configuration!$C$13="No","",IFERROR(IF('Patent Portfolio'!E3&lt;&gt;"",TRUE(),FALSE()),FALSE()))</f>
        <v>1</v>
      </c>
      <c r="G3" s="84" t="b">
        <f aca="false">IF(Configuration!$C$14="No","",IFERROR(IF('Patent Portfolio'!G3&lt;&gt;"",TRUE(),FALSE()),FALSE()))</f>
        <v>1</v>
      </c>
      <c r="H3" s="84" t="b">
        <f aca="false">IF(Configuration!$C$15="No","",IFERROR(IF(AND(OR(ISNUMBER(SEARCH("process",'Patent Portfolio'!C3)),ISNUMBER(SEARCH("fab",'Patent Portfolio'!C3)),ISNUMBER(SEARCH("manufac",'Patent Portfolio'!C3))),'Patent Portfolio'!K3="Method"),TRUE(),FALSE()),FALSE()))</f>
        <v>0</v>
      </c>
      <c r="I3" s="84" t="b">
        <f aca="false">IF(Configuration!$C$16="No","",IFERROR(IF(AND(OR(ISNUMBER(SEARCH("material",'Patent Portfolio'!C3)),ISNUMBER(SEARCH("chem",'Patent Portfolio'!C3)),ISNUMBER(SEARCH("battery",'Patent Portfolio'!C3)),ISNUMBER(SEARCH("electrolyte",'Patent Portfolio'!C3)),ISNUMBER(SEARCH("polymer",'Patent Portfolio'!C3))),OR('Patent Portfolio'!K3="Apparatus",'Patent Portfolio'!K3="Method")),TRUE(),FALSE()),FALSE()))</f>
        <v>0</v>
      </c>
      <c r="J3" s="84" t="b">
        <f aca="false">IF(Configuration!$C$17="No","",IFERROR(IF(AND(OR('Patent Portfolio'!E3="App",'Patent Portfolio'!E3="Middleware",'Patent Portfolio'!E3="Cloud"),OR('Patent Portfolio'!K3="Method",'Patent Portfolio'!K3="CRM")),TRUE(),FALSE()),FALSE()))</f>
        <v>0</v>
      </c>
      <c r="K3" s="84" t="b">
        <f aca="false">IF(Configuration!$C$18="No","",IFERROR(IF(N('Patent Portfolio'!J3)&gt;=Configuration!$C$45,TRUE(),FALSE()),FALSE()))</f>
        <v>1</v>
      </c>
      <c r="L3" s="84" t="b">
        <f aca="false">IF(Configuration!$C$19="No","",IFERROR(IF('Patent Portfolio'!AA3&lt;&gt;"",TRUE(),FALSE()),FALSE()))</f>
        <v>1</v>
      </c>
      <c r="M3" s="84" t="b">
        <f aca="false">IF(Configuration!$C$20="No","",IFERROR(IF('Patent Portfolio'!K3&lt;&gt;"",TRUE(),FALSE()),FALSE()))</f>
        <v>1</v>
      </c>
      <c r="N3" s="84" t="b">
        <f aca="false">IF(Configuration!$C$21="No","",IFERROR(IF(OR(N('Patent Portfolio'!O3)&gt;=Configuration!$C$46,N('Patent Portfolio'!P3)&gt;=Configuration!$C$47),TRUE(),FALSE()),FALSE()))</f>
        <v>1</v>
      </c>
      <c r="O3" s="84" t="b">
        <f aca="false">IF(Configuration!$C$22="No","",IFERROR(IF('Patent Portfolio'!X3="Yes",TRUE(),FALSE()),FALSE()))</f>
        <v>1</v>
      </c>
      <c r="P3" s="84" t="b">
        <f aca="false">IF(Configuration!$C$23="No","",IFERROR(IF(N('Patent Portfolio'!R3)&gt;=Configuration!$C$48,TRUE(),FALSE()),FALSE()))</f>
        <v>1</v>
      </c>
      <c r="Q3" s="84" t="b">
        <f aca="false">IF(Configuration!$C$24="No","",IFERROR(IF(N('Patent Portfolio'!U3)&gt;0,TRUE(),FALSE()),FALSE()))</f>
        <v>1</v>
      </c>
      <c r="R3" s="84" t="b">
        <f aca="false">IF(Configuration!$C$25="No","",IFERROR(IF(OR(N('Patent Portfolio'!L3)=3,N('Patent Portfolio'!L3)&lt;=1),TRUE(),FALSE()),FALSE()))</f>
        <v>0</v>
      </c>
      <c r="S3" s="84" t="b">
        <f aca="false">IF(Configuration!$C$26="No","",IFERROR(IF(N('Patent Portfolio'!AB3)&gt;=Configuration!$C$49,TRUE(),FALSE()),FALSE()))</f>
        <v>0</v>
      </c>
      <c r="T3" s="84" t="b">
        <f aca="false">IF(Configuration!$C$27="No","",IFERROR(IF('Patent Portfolio'!Z3&lt;&gt;"",TRUE(),FALSE()),FALSE()))</f>
        <v>0</v>
      </c>
      <c r="U3" s="84" t="b">
        <f aca="false">IF(Configuration!$C$28="No","",IFERROR(IF(N('Patent Portfolio'!Q3)&gt;=Configuration!$C$50,TRUE(),FALSE()),FALSE()))</f>
        <v>1</v>
      </c>
      <c r="V3" s="84" t="b">
        <f aca="false">IF(Configuration!$C$29="No","",IFERROR(IF(AND(N('Patent Portfolio'!N3)&gt;=Configuration!$C$51,'Patent Portfolio'!C3&lt;&gt;""),TRUE(),FALSE()),FALSE()))</f>
        <v>1</v>
      </c>
      <c r="W3" s="84" t="b">
        <f aca="false">IF(Configuration!$C$30="No","",IFERROR(IF(OR('Patent Portfolio'!S3="Pending",'Patent Portfolio'!T3="Yes"),TRUE(),FALSE()),FALSE()))</f>
        <v>1</v>
      </c>
      <c r="X3" s="84" t="b">
        <f aca="false">IF(Configuration!$C$31="No","",IFERROR(IF(AND(N('Patent Portfolio'!AC3)&gt;=Configuration!$C$52,N('Patent Portfolio'!L3)&gt;=1),TRUE(),FALSE()),FALSE()))</f>
        <v>1</v>
      </c>
      <c r="Y3" s="84" t="b">
        <f aca="false">IF(Configuration!$C$32="No","",IFERROR(IF(AND(N('Patent Portfolio'!N3)&gt;=1,OR('Patent Portfolio'!C3&lt;&gt;"",'Patent Portfolio'!I3&lt;&gt;"")),TRUE(),FALSE()),FALSE()))</f>
        <v>1</v>
      </c>
      <c r="Z3" s="84" t="b">
        <f aca="false">IF(Configuration!$C$33="No","",IFERROR(IF('Patent Portfolio'!C3&lt;&gt;"",TRUE(),FALSE()),FALSE()))</f>
        <v>1</v>
      </c>
      <c r="AA3" s="84" t="b">
        <f aca="false">IF(Configuration!$C$34="No","",IFERROR(IF('Patent Portfolio'!T3="Yes",TRUE(),FALSE()),FALSE()))</f>
        <v>1</v>
      </c>
      <c r="AB3" s="84" t="b">
        <f aca="false">IF(Configuration!$C$35="No","",IFERROR(IF(OR('Patent Portfolio'!AK3="Partial",'Patent Portfolio'!AK3="Full"),TRUE(),FALSE()),FALSE()))</f>
        <v>1</v>
      </c>
      <c r="AC3" s="84" t="b">
        <f aca="false">IF(Configuration!$C$36="No","",IFERROR(IF('Patent Portfolio'!AI3="Survived",TRUE(),FALSE()),FALSE()))</f>
        <v>1</v>
      </c>
      <c r="AD3" s="84" t="b">
        <f aca="false">IF(Configuration!$C$37="No","",IFERROR(IF(AND('Patent Portfolio'!AJ3="Clean",'Patent Portfolio'!AL3="None"),TRUE(),FALSE()),FALSE()))</f>
        <v>1</v>
      </c>
      <c r="AE3" s="84" t="b">
        <f aca="false">IF(Configuration!$C$38="No","",IFERROR(IF(N('Patent Portfolio'!AG3)&gt;=Configuration!$C$53,TRUE(),FALSE()),FALSE()))</f>
        <v>1</v>
      </c>
      <c r="AF3" s="84" t="b">
        <f aca="false">IF(Configuration!$C$39="No","",IFERROR(IF(AND(N('Patent Portfolio'!AO3)&gt;=2,N('Patent Portfolio'!AB3)&gt;=2),TRUE(),FALSE()),FALSE()))</f>
        <v>0</v>
      </c>
      <c r="AG3" s="84" t="b">
        <f aca="false">IF(Configuration!$C$40="No","",IFERROR(IF(OR(N('Patent Portfolio'!AC3)&lt;=Configuration!$C$56,N('Patent Portfolio'!U3)&lt;Configuration!$C$57,N('Patent Portfolio'!AD3)&lt;=Configuration!$C$58),TRUE(),FALSE()),FALSE()))</f>
        <v>0</v>
      </c>
      <c r="AH3" s="84" t="b">
        <f aca="false">IF(Configuration!$C$41="No","",IFERROR(IF(AND(N('Patent Portfolio'!U3)&gt;=Configuration!$C$54,N('Patent Portfolio'!U3)&lt;=Configuration!$C$55),TRUE(),FALSE()),FALSE()))</f>
        <v>0</v>
      </c>
      <c r="AI3" s="84" t="b">
        <f aca="false">IF(Configuration!$C$42="No","",IFERROR(IF(AND('Patent Portfolio'!C3&lt;&gt;"",'Patent Portfolio'!F3&lt;&gt;""),TRUE(),FALSE()),FALSE()))</f>
        <v>1</v>
      </c>
      <c r="AJ3" s="82" t="n">
        <f aca="false">COUNTIF(C3:AI3,TRUE())</f>
        <v>24</v>
      </c>
    </row>
    <row r="4" customFormat="false" ht="15" hidden="false" customHeight="true" outlineLevel="0" collapsed="false">
      <c r="A4" s="20" t="str">
        <f aca="false">'Patent Portfolio'!A4</f>
        <v>P-002</v>
      </c>
      <c r="B4" s="83" t="str">
        <f aca="false">'Patent Portfolio'!B4</f>
        <v>Polar code decoder architecture</v>
      </c>
      <c r="C4" s="84" t="b">
        <f aca="false">IF(Configuration!$C$10="No","",IFERROR(IF('Patent Portfolio'!C4&lt;&gt;"",TRUE(),FALSE()),FALSE()))</f>
        <v>1</v>
      </c>
      <c r="D4" s="84" t="b">
        <f aca="false">IF(Configuration!$C$11="No","",IFERROR(IF(AND(N('Patent Portfolio'!H4)&gt;=Configuration!$C$44,'Patent Portfolio'!I4&lt;&gt;""),TRUE(),FALSE()),FALSE()))</f>
        <v>1</v>
      </c>
      <c r="E4" s="84" t="b">
        <f aca="false">IF(Configuration!$C$12="No","",IFERROR(IF('Patent Portfolio'!F4&lt;&gt;"",TRUE(),FALSE()),FALSE()))</f>
        <v>1</v>
      </c>
      <c r="F4" s="84" t="b">
        <f aca="false">IF(Configuration!$C$13="No","",IFERROR(IF('Patent Portfolio'!E4&lt;&gt;"",TRUE(),FALSE()),FALSE()))</f>
        <v>1</v>
      </c>
      <c r="G4" s="84" t="b">
        <f aca="false">IF(Configuration!$C$14="No","",IFERROR(IF('Patent Portfolio'!G4&lt;&gt;"",TRUE(),FALSE()),FALSE()))</f>
        <v>1</v>
      </c>
      <c r="H4" s="84" t="b">
        <f aca="false">IF(Configuration!$C$15="No","",IFERROR(IF(AND(OR(ISNUMBER(SEARCH("process",'Patent Portfolio'!C4)),ISNUMBER(SEARCH("fab",'Patent Portfolio'!C4)),ISNUMBER(SEARCH("manufac",'Patent Portfolio'!C4))),'Patent Portfolio'!K4="Method"),TRUE(),FALSE()),FALSE()))</f>
        <v>0</v>
      </c>
      <c r="I4" s="84" t="b">
        <f aca="false">IF(Configuration!$C$16="No","",IFERROR(IF(AND(OR(ISNUMBER(SEARCH("material",'Patent Portfolio'!C4)),ISNUMBER(SEARCH("chem",'Patent Portfolio'!C4)),ISNUMBER(SEARCH("battery",'Patent Portfolio'!C4)),ISNUMBER(SEARCH("electrolyte",'Patent Portfolio'!C4)),ISNUMBER(SEARCH("polymer",'Patent Portfolio'!C4))),OR('Patent Portfolio'!K4="Apparatus",'Patent Portfolio'!K4="Method")),TRUE(),FALSE()),FALSE()))</f>
        <v>0</v>
      </c>
      <c r="J4" s="84" t="b">
        <f aca="false">IF(Configuration!$C$17="No","",IFERROR(IF(AND(OR('Patent Portfolio'!E4="App",'Patent Portfolio'!E4="Middleware",'Patent Portfolio'!E4="Cloud"),OR('Patent Portfolio'!K4="Method",'Patent Portfolio'!K4="CRM")),TRUE(),FALSE()),FALSE()))</f>
        <v>0</v>
      </c>
      <c r="K4" s="84" t="b">
        <f aca="false">IF(Configuration!$C$18="No","",IFERROR(IF(N('Patent Portfolio'!J4)&gt;=Configuration!$C$45,TRUE(),FALSE()),FALSE()))</f>
        <v>1</v>
      </c>
      <c r="L4" s="84" t="b">
        <f aca="false">IF(Configuration!$C$19="No","",IFERROR(IF('Patent Portfolio'!AA4&lt;&gt;"",TRUE(),FALSE()),FALSE()))</f>
        <v>1</v>
      </c>
      <c r="M4" s="84" t="b">
        <f aca="false">IF(Configuration!$C$20="No","",IFERROR(IF('Patent Portfolio'!K4&lt;&gt;"",TRUE(),FALSE()),FALSE()))</f>
        <v>1</v>
      </c>
      <c r="N4" s="84" t="b">
        <f aca="false">IF(Configuration!$C$21="No","",IFERROR(IF(OR(N('Patent Portfolio'!O4)&gt;=Configuration!$C$46,N('Patent Portfolio'!P4)&gt;=Configuration!$C$47),TRUE(),FALSE()),FALSE()))</f>
        <v>1</v>
      </c>
      <c r="O4" s="84" t="b">
        <f aca="false">IF(Configuration!$C$22="No","",IFERROR(IF('Patent Portfolio'!X4="Yes",TRUE(),FALSE()),FALSE()))</f>
        <v>1</v>
      </c>
      <c r="P4" s="84" t="b">
        <f aca="false">IF(Configuration!$C$23="No","",IFERROR(IF(N('Patent Portfolio'!R4)&gt;=Configuration!$C$48,TRUE(),FALSE()),FALSE()))</f>
        <v>1</v>
      </c>
      <c r="Q4" s="84" t="b">
        <f aca="false">IF(Configuration!$C$24="No","",IFERROR(IF(N('Patent Portfolio'!U4)&gt;0,TRUE(),FALSE()),FALSE()))</f>
        <v>1</v>
      </c>
      <c r="R4" s="84" t="b">
        <f aca="false">IF(Configuration!$C$25="No","",IFERROR(IF(OR(N('Patent Portfolio'!L4)=3,N('Patent Portfolio'!L4)&lt;=1),TRUE(),FALSE()),FALSE()))</f>
        <v>0</v>
      </c>
      <c r="S4" s="84" t="b">
        <f aca="false">IF(Configuration!$C$26="No","",IFERROR(IF(N('Patent Portfolio'!AB4)&gt;=Configuration!$C$49,TRUE(),FALSE()),FALSE()))</f>
        <v>0</v>
      </c>
      <c r="T4" s="84" t="b">
        <f aca="false">IF(Configuration!$C$27="No","",IFERROR(IF('Patent Portfolio'!Z4&lt;&gt;"",TRUE(),FALSE()),FALSE()))</f>
        <v>0</v>
      </c>
      <c r="U4" s="84" t="b">
        <f aca="false">IF(Configuration!$C$28="No","",IFERROR(IF(N('Patent Portfolio'!Q4)&gt;=Configuration!$C$50,TRUE(),FALSE()),FALSE()))</f>
        <v>1</v>
      </c>
      <c r="V4" s="84" t="b">
        <f aca="false">IF(Configuration!$C$29="No","",IFERROR(IF(AND(N('Patent Portfolio'!N4)&gt;=Configuration!$C$51,'Patent Portfolio'!C4&lt;&gt;""),TRUE(),FALSE()),FALSE()))</f>
        <v>1</v>
      </c>
      <c r="W4" s="84" t="b">
        <f aca="false">IF(Configuration!$C$30="No","",IFERROR(IF(OR('Patent Portfolio'!S4="Pending",'Patent Portfolio'!T4="Yes"),TRUE(),FALSE()),FALSE()))</f>
        <v>0</v>
      </c>
      <c r="X4" s="84" t="b">
        <f aca="false">IF(Configuration!$C$31="No","",IFERROR(IF(AND(N('Patent Portfolio'!AC4)&gt;=Configuration!$C$52,N('Patent Portfolio'!L4)&gt;=1),TRUE(),FALSE()),FALSE()))</f>
        <v>1</v>
      </c>
      <c r="Y4" s="84" t="b">
        <f aca="false">IF(Configuration!$C$32="No","",IFERROR(IF(AND(N('Patent Portfolio'!N4)&gt;=1,OR('Patent Portfolio'!C4&lt;&gt;"",'Patent Portfolio'!I4&lt;&gt;"")),TRUE(),FALSE()),FALSE()))</f>
        <v>1</v>
      </c>
      <c r="Z4" s="84" t="b">
        <f aca="false">IF(Configuration!$C$33="No","",IFERROR(IF('Patent Portfolio'!C4&lt;&gt;"",TRUE(),FALSE()),FALSE()))</f>
        <v>1</v>
      </c>
      <c r="AA4" s="84" t="b">
        <f aca="false">IF(Configuration!$C$34="No","",IFERROR(IF('Patent Portfolio'!T4="Yes",TRUE(),FALSE()),FALSE()))</f>
        <v>0</v>
      </c>
      <c r="AB4" s="84" t="b">
        <f aca="false">IF(Configuration!$C$35="No","",IFERROR(IF(OR('Patent Portfolio'!AK4="Partial",'Patent Portfolio'!AK4="Full"),TRUE(),FALSE()),FALSE()))</f>
        <v>1</v>
      </c>
      <c r="AC4" s="84" t="b">
        <f aca="false">IF(Configuration!$C$36="No","",IFERROR(IF('Patent Portfolio'!AI4="Survived",TRUE(),FALSE()),FALSE()))</f>
        <v>0</v>
      </c>
      <c r="AD4" s="84" t="b">
        <f aca="false">IF(Configuration!$C$37="No","",IFERROR(IF(AND('Patent Portfolio'!AJ4="Clean",'Patent Portfolio'!AL4="None"),TRUE(),FALSE()),FALSE()))</f>
        <v>1</v>
      </c>
      <c r="AE4" s="84" t="b">
        <f aca="false">IF(Configuration!$C$38="No","",IFERROR(IF(N('Patent Portfolio'!AG4)&gt;=Configuration!$C$53,TRUE(),FALSE()),FALSE()))</f>
        <v>1</v>
      </c>
      <c r="AF4" s="84" t="b">
        <f aca="false">IF(Configuration!$C$39="No","",IFERROR(IF(AND(N('Patent Portfolio'!AO4)&gt;=2,N('Patent Portfolio'!AB4)&gt;=2),TRUE(),FALSE()),FALSE()))</f>
        <v>0</v>
      </c>
      <c r="AG4" s="84" t="b">
        <f aca="false">IF(Configuration!$C$40="No","",IFERROR(IF(OR(N('Patent Portfolio'!AC4)&lt;=Configuration!$C$56,N('Patent Portfolio'!U4)&lt;Configuration!$C$57,N('Patent Portfolio'!AD4)&lt;=Configuration!$C$58),TRUE(),FALSE()),FALSE()))</f>
        <v>0</v>
      </c>
      <c r="AH4" s="84" t="b">
        <f aca="false">IF(Configuration!$C$41="No","",IFERROR(IF(AND(N('Patent Portfolio'!U4)&gt;=Configuration!$C$54,N('Patent Portfolio'!U4)&lt;=Configuration!$C$55),TRUE(),FALSE()),FALSE()))</f>
        <v>0</v>
      </c>
      <c r="AI4" s="84" t="b">
        <f aca="false">IF(Configuration!$C$42="No","",IFERROR(IF(AND('Patent Portfolio'!C4&lt;&gt;"",'Patent Portfolio'!F4&lt;&gt;""),TRUE(),FALSE()),FALSE()))</f>
        <v>1</v>
      </c>
      <c r="AJ4" s="82" t="n">
        <f aca="false">COUNTIF(C4:AI4,TRUE())</f>
        <v>21</v>
      </c>
    </row>
    <row r="5" customFormat="false" ht="15" hidden="false" customHeight="true" outlineLevel="0" collapsed="false">
      <c r="A5" s="20" t="str">
        <f aca="false">'Patent Portfolio'!A5</f>
        <v>P-003</v>
      </c>
      <c r="B5" s="83" t="str">
        <f aca="false">'Patent Portfolio'!B5</f>
        <v>Adaptive Wi-Fi 7 channel sounding</v>
      </c>
      <c r="C5" s="84" t="b">
        <f aca="false">IF(Configuration!$C$10="No","",IFERROR(IF('Patent Portfolio'!C5&lt;&gt;"",TRUE(),FALSE()),FALSE()))</f>
        <v>1</v>
      </c>
      <c r="D5" s="84" t="b">
        <f aca="false">IF(Configuration!$C$11="No","",IFERROR(IF(AND(N('Patent Portfolio'!H5)&gt;=Configuration!$C$44,'Patent Portfolio'!I5&lt;&gt;""),TRUE(),FALSE()),FALSE()))</f>
        <v>1</v>
      </c>
      <c r="E5" s="84" t="b">
        <f aca="false">IF(Configuration!$C$12="No","",IFERROR(IF('Patent Portfolio'!F5&lt;&gt;"",TRUE(),FALSE()),FALSE()))</f>
        <v>1</v>
      </c>
      <c r="F5" s="84" t="b">
        <f aca="false">IF(Configuration!$C$13="No","",IFERROR(IF('Patent Portfolio'!E5&lt;&gt;"",TRUE(),FALSE()),FALSE()))</f>
        <v>1</v>
      </c>
      <c r="G5" s="84" t="b">
        <f aca="false">IF(Configuration!$C$14="No","",IFERROR(IF('Patent Portfolio'!G5&lt;&gt;"",TRUE(),FALSE()),FALSE()))</f>
        <v>1</v>
      </c>
      <c r="H5" s="84" t="b">
        <f aca="false">IF(Configuration!$C$15="No","",IFERROR(IF(AND(OR(ISNUMBER(SEARCH("process",'Patent Portfolio'!C5)),ISNUMBER(SEARCH("fab",'Patent Portfolio'!C5)),ISNUMBER(SEARCH("manufac",'Patent Portfolio'!C5))),'Patent Portfolio'!K5="Method"),TRUE(),FALSE()),FALSE()))</f>
        <v>0</v>
      </c>
      <c r="I5" s="84" t="b">
        <f aca="false">IF(Configuration!$C$16="No","",IFERROR(IF(AND(OR(ISNUMBER(SEARCH("material",'Patent Portfolio'!C5)),ISNUMBER(SEARCH("chem",'Patent Portfolio'!C5)),ISNUMBER(SEARCH("battery",'Patent Portfolio'!C5)),ISNUMBER(SEARCH("electrolyte",'Patent Portfolio'!C5)),ISNUMBER(SEARCH("polymer",'Patent Portfolio'!C5))),OR('Patent Portfolio'!K5="Apparatus",'Patent Portfolio'!K5="Method")),TRUE(),FALSE()),FALSE()))</f>
        <v>0</v>
      </c>
      <c r="J5" s="84" t="b">
        <f aca="false">IF(Configuration!$C$17="No","",IFERROR(IF(AND(OR('Patent Portfolio'!E5="App",'Patent Portfolio'!E5="Middleware",'Patent Portfolio'!E5="Cloud"),OR('Patent Portfolio'!K5="Method",'Patent Portfolio'!K5="CRM")),TRUE(),FALSE()),FALSE()))</f>
        <v>0</v>
      </c>
      <c r="K5" s="84" t="b">
        <f aca="false">IF(Configuration!$C$18="No","",IFERROR(IF(N('Patent Portfolio'!J5)&gt;=Configuration!$C$45,TRUE(),FALSE()),FALSE()))</f>
        <v>1</v>
      </c>
      <c r="L5" s="84" t="b">
        <f aca="false">IF(Configuration!$C$19="No","",IFERROR(IF('Patent Portfolio'!AA5&lt;&gt;"",TRUE(),FALSE()),FALSE()))</f>
        <v>1</v>
      </c>
      <c r="M5" s="84" t="b">
        <f aca="false">IF(Configuration!$C$20="No","",IFERROR(IF('Patent Portfolio'!K5&lt;&gt;"",TRUE(),FALSE()),FALSE()))</f>
        <v>1</v>
      </c>
      <c r="N5" s="84" t="b">
        <f aca="false">IF(Configuration!$C$21="No","",IFERROR(IF(OR(N('Patent Portfolio'!O5)&gt;=Configuration!$C$46,N('Patent Portfolio'!P5)&gt;=Configuration!$C$47),TRUE(),FALSE()),FALSE()))</f>
        <v>1</v>
      </c>
      <c r="O5" s="84" t="b">
        <f aca="false">IF(Configuration!$C$22="No","",IFERROR(IF('Patent Portfolio'!X5="Yes",TRUE(),FALSE()),FALSE()))</f>
        <v>1</v>
      </c>
      <c r="P5" s="84" t="b">
        <f aca="false">IF(Configuration!$C$23="No","",IFERROR(IF(N('Patent Portfolio'!R5)&gt;=Configuration!$C$48,TRUE(),FALSE()),FALSE()))</f>
        <v>1</v>
      </c>
      <c r="Q5" s="84" t="b">
        <f aca="false">IF(Configuration!$C$24="No","",IFERROR(IF(N('Patent Portfolio'!U5)&gt;0,TRUE(),FALSE()),FALSE()))</f>
        <v>1</v>
      </c>
      <c r="R5" s="84" t="b">
        <f aca="false">IF(Configuration!$C$25="No","",IFERROR(IF(OR(N('Patent Portfolio'!L5)=3,N('Patent Portfolio'!L5)&lt;=1),TRUE(),FALSE()),FALSE()))</f>
        <v>1</v>
      </c>
      <c r="S5" s="84" t="b">
        <f aca="false">IF(Configuration!$C$26="No","",IFERROR(IF(N('Patent Portfolio'!AB5)&gt;=Configuration!$C$49,TRUE(),FALSE()),FALSE()))</f>
        <v>1</v>
      </c>
      <c r="T5" s="84" t="b">
        <f aca="false">IF(Configuration!$C$27="No","",IFERROR(IF('Patent Portfolio'!Z5&lt;&gt;"",TRUE(),FALSE()),FALSE()))</f>
        <v>0</v>
      </c>
      <c r="U5" s="84" t="b">
        <f aca="false">IF(Configuration!$C$28="No","",IFERROR(IF(N('Patent Portfolio'!Q5)&gt;=Configuration!$C$50,TRUE(),FALSE()),FALSE()))</f>
        <v>1</v>
      </c>
      <c r="V5" s="84" t="b">
        <f aca="false">IF(Configuration!$C$29="No","",IFERROR(IF(AND(N('Patent Portfolio'!N5)&gt;=Configuration!$C$51,'Patent Portfolio'!C5&lt;&gt;""),TRUE(),FALSE()),FALSE()))</f>
        <v>1</v>
      </c>
      <c r="W5" s="84" t="b">
        <f aca="false">IF(Configuration!$C$30="No","",IFERROR(IF(OR('Patent Portfolio'!S5="Pending",'Patent Portfolio'!T5="Yes"),TRUE(),FALSE()),FALSE()))</f>
        <v>1</v>
      </c>
      <c r="X5" s="84" t="b">
        <f aca="false">IF(Configuration!$C$31="No","",IFERROR(IF(AND(N('Patent Portfolio'!AC5)&gt;=Configuration!$C$52,N('Patent Portfolio'!L5)&gt;=1),TRUE(),FALSE()),FALSE()))</f>
        <v>1</v>
      </c>
      <c r="Y5" s="84" t="b">
        <f aca="false">IF(Configuration!$C$32="No","",IFERROR(IF(AND(N('Patent Portfolio'!N5)&gt;=1,OR('Patent Portfolio'!C5&lt;&gt;"",'Patent Portfolio'!I5&lt;&gt;"")),TRUE(),FALSE()),FALSE()))</f>
        <v>1</v>
      </c>
      <c r="Z5" s="84" t="b">
        <f aca="false">IF(Configuration!$C$33="No","",IFERROR(IF('Patent Portfolio'!C5&lt;&gt;"",TRUE(),FALSE()),FALSE()))</f>
        <v>1</v>
      </c>
      <c r="AA5" s="84" t="b">
        <f aca="false">IF(Configuration!$C$34="No","",IFERROR(IF('Patent Portfolio'!T5="Yes",TRUE(),FALSE()),FALSE()))</f>
        <v>1</v>
      </c>
      <c r="AB5" s="84" t="b">
        <f aca="false">IF(Configuration!$C$35="No","",IFERROR(IF(OR('Patent Portfolio'!AK5="Partial",'Patent Portfolio'!AK5="Full"),TRUE(),FALSE()),FALSE()))</f>
        <v>0</v>
      </c>
      <c r="AC5" s="84" t="b">
        <f aca="false">IF(Configuration!$C$36="No","",IFERROR(IF('Patent Portfolio'!AI5="Survived",TRUE(),FALSE()),FALSE()))</f>
        <v>0</v>
      </c>
      <c r="AD5" s="84" t="b">
        <f aca="false">IF(Configuration!$C$37="No","",IFERROR(IF(AND('Patent Portfolio'!AJ5="Clean",'Patent Portfolio'!AL5="None"),TRUE(),FALSE()),FALSE()))</f>
        <v>1</v>
      </c>
      <c r="AE5" s="84" t="b">
        <f aca="false">IF(Configuration!$C$38="No","",IFERROR(IF(N('Patent Portfolio'!AG5)&gt;=Configuration!$C$53,TRUE(),FALSE()),FALSE()))</f>
        <v>0</v>
      </c>
      <c r="AF5" s="84" t="b">
        <f aca="false">IF(Configuration!$C$39="No","",IFERROR(IF(AND(N('Patent Portfolio'!AO5)&gt;=2,N('Patent Portfolio'!AB5)&gt;=2),TRUE(),FALSE()),FALSE()))</f>
        <v>1</v>
      </c>
      <c r="AG5" s="84" t="b">
        <f aca="false">IF(Configuration!$C$40="No","",IFERROR(IF(OR(N('Patent Portfolio'!AC5)&lt;=Configuration!$C$56,N('Patent Portfolio'!U5)&lt;Configuration!$C$57,N('Patent Portfolio'!AD5)&lt;=Configuration!$C$58),TRUE(),FALSE()),FALSE()))</f>
        <v>0</v>
      </c>
      <c r="AH5" s="84" t="b">
        <f aca="false">IF(Configuration!$C$41="No","",IFERROR(IF(AND(N('Patent Portfolio'!U5)&gt;=Configuration!$C$54,N('Patent Portfolio'!U5)&lt;=Configuration!$C$55),TRUE(),FALSE()),FALSE()))</f>
        <v>0</v>
      </c>
      <c r="AI5" s="84" t="b">
        <f aca="false">IF(Configuration!$C$42="No","",IFERROR(IF(AND('Patent Portfolio'!C5&lt;&gt;"",'Patent Portfolio'!F5&lt;&gt;""),TRUE(),FALSE()),FALSE()))</f>
        <v>1</v>
      </c>
      <c r="AJ5" s="82" t="n">
        <f aca="false">COUNTIF(C5:AI5,TRUE())</f>
        <v>24</v>
      </c>
    </row>
    <row r="6" customFormat="false" ht="23.25" hidden="false" customHeight="true" outlineLevel="0" collapsed="false">
      <c r="A6" s="20" t="str">
        <f aca="false">'Patent Portfolio'!A6</f>
        <v>P-004</v>
      </c>
      <c r="B6" s="83" t="str">
        <f aca="false">'Patent Portfolio'!B6</f>
        <v>Solid-state electrolyte composition for EV batteries</v>
      </c>
      <c r="C6" s="84" t="b">
        <f aca="false">IF(Configuration!$C$10="No","",IFERROR(IF('Patent Portfolio'!C6&lt;&gt;"",TRUE(),FALSE()),FALSE()))</f>
        <v>1</v>
      </c>
      <c r="D6" s="84" t="b">
        <f aca="false">IF(Configuration!$C$11="No","",IFERROR(IF(AND(N('Patent Portfolio'!H6)&gt;=Configuration!$C$44,'Patent Portfolio'!I6&lt;&gt;""),TRUE(),FALSE()),FALSE()))</f>
        <v>0</v>
      </c>
      <c r="E6" s="84" t="b">
        <f aca="false">IF(Configuration!$C$12="No","",IFERROR(IF('Patent Portfolio'!F6&lt;&gt;"",TRUE(),FALSE()),FALSE()))</f>
        <v>1</v>
      </c>
      <c r="F6" s="84" t="b">
        <f aca="false">IF(Configuration!$C$13="No","",IFERROR(IF('Patent Portfolio'!E6&lt;&gt;"",TRUE(),FALSE()),FALSE()))</f>
        <v>1</v>
      </c>
      <c r="G6" s="84" t="b">
        <f aca="false">IF(Configuration!$C$14="No","",IFERROR(IF('Patent Portfolio'!G6&lt;&gt;"",TRUE(),FALSE()),FALSE()))</f>
        <v>1</v>
      </c>
      <c r="H6" s="84" t="b">
        <f aca="false">IF(Configuration!$C$15="No","",IFERROR(IF(AND(OR(ISNUMBER(SEARCH("process",'Patent Portfolio'!C6)),ISNUMBER(SEARCH("fab",'Patent Portfolio'!C6)),ISNUMBER(SEARCH("manufac",'Patent Portfolio'!C6))),'Patent Portfolio'!K6="Method"),TRUE(),FALSE()),FALSE()))</f>
        <v>0</v>
      </c>
      <c r="I6" s="84" t="b">
        <f aca="false">IF(Configuration!$C$16="No","",IFERROR(IF(AND(OR(ISNUMBER(SEARCH("material",'Patent Portfolio'!C6)),ISNUMBER(SEARCH("chem",'Patent Portfolio'!C6)),ISNUMBER(SEARCH("battery",'Patent Portfolio'!C6)),ISNUMBER(SEARCH("electrolyte",'Patent Portfolio'!C6)),ISNUMBER(SEARCH("polymer",'Patent Portfolio'!C6))),OR('Patent Portfolio'!K6="Apparatus",'Patent Portfolio'!K6="Method")),TRUE(),FALSE()),FALSE()))</f>
        <v>1</v>
      </c>
      <c r="J6" s="84" t="b">
        <f aca="false">IF(Configuration!$C$17="No","",IFERROR(IF(AND(OR('Patent Portfolio'!E6="App",'Patent Portfolio'!E6="Middleware",'Patent Portfolio'!E6="Cloud"),OR('Patent Portfolio'!K6="Method",'Patent Portfolio'!K6="CRM")),TRUE(),FALSE()),FALSE()))</f>
        <v>0</v>
      </c>
      <c r="K6" s="84" t="b">
        <f aca="false">IF(Configuration!$C$18="No","",IFERROR(IF(N('Patent Portfolio'!J6)&gt;=Configuration!$C$45,TRUE(),FALSE()),FALSE()))</f>
        <v>0</v>
      </c>
      <c r="L6" s="84" t="b">
        <f aca="false">IF(Configuration!$C$19="No","",IFERROR(IF('Patent Portfolio'!AA6&lt;&gt;"",TRUE(),FALSE()),FALSE()))</f>
        <v>1</v>
      </c>
      <c r="M6" s="84" t="b">
        <f aca="false">IF(Configuration!$C$20="No","",IFERROR(IF('Patent Portfolio'!K6&lt;&gt;"",TRUE(),FALSE()),FALSE()))</f>
        <v>1</v>
      </c>
      <c r="N6" s="84" t="b">
        <f aca="false">IF(Configuration!$C$21="No","",IFERROR(IF(OR(N('Patent Portfolio'!O6)&gt;=Configuration!$C$46,N('Patent Portfolio'!P6)&gt;=Configuration!$C$47),TRUE(),FALSE()),FALSE()))</f>
        <v>1</v>
      </c>
      <c r="O6" s="84" t="b">
        <f aca="false">IF(Configuration!$C$22="No","",IFERROR(IF('Patent Portfolio'!X6="Yes",TRUE(),FALSE()),FALSE()))</f>
        <v>1</v>
      </c>
      <c r="P6" s="84" t="b">
        <f aca="false">IF(Configuration!$C$23="No","",IFERROR(IF(N('Patent Portfolio'!R6)&gt;=Configuration!$C$48,TRUE(),FALSE()),FALSE()))</f>
        <v>1</v>
      </c>
      <c r="Q6" s="84" t="b">
        <f aca="false">IF(Configuration!$C$24="No","",IFERROR(IF(N('Patent Portfolio'!U6)&gt;0,TRUE(),FALSE()),FALSE()))</f>
        <v>1</v>
      </c>
      <c r="R6" s="84" t="b">
        <f aca="false">IF(Configuration!$C$25="No","",IFERROR(IF(OR(N('Patent Portfolio'!L6)=3,N('Patent Portfolio'!L6)&lt;=1),TRUE(),FALSE()),FALSE()))</f>
        <v>1</v>
      </c>
      <c r="S6" s="84" t="b">
        <f aca="false">IF(Configuration!$C$26="No","",IFERROR(IF(N('Patent Portfolio'!AB6)&gt;=Configuration!$C$49,TRUE(),FALSE()),FALSE()))</f>
        <v>1</v>
      </c>
      <c r="T6" s="84" t="b">
        <f aca="false">IF(Configuration!$C$27="No","",IFERROR(IF('Patent Portfolio'!Z6&lt;&gt;"",TRUE(),FALSE()),FALSE()))</f>
        <v>0</v>
      </c>
      <c r="U6" s="84" t="b">
        <f aca="false">IF(Configuration!$C$28="No","",IFERROR(IF(N('Patent Portfolio'!Q6)&gt;=Configuration!$C$50,TRUE(),FALSE()),FALSE()))</f>
        <v>1</v>
      </c>
      <c r="V6" s="84" t="b">
        <f aca="false">IF(Configuration!$C$29="No","",IFERROR(IF(AND(N('Patent Portfolio'!N6)&gt;=Configuration!$C$51,'Patent Portfolio'!C6&lt;&gt;""),TRUE(),FALSE()),FALSE()))</f>
        <v>1</v>
      </c>
      <c r="W6" s="84" t="b">
        <f aca="false">IF(Configuration!$C$30="No","",IFERROR(IF(OR('Patent Portfolio'!S6="Pending",'Patent Portfolio'!T6="Yes"),TRUE(),FALSE()),FALSE()))</f>
        <v>1</v>
      </c>
      <c r="X6" s="84" t="b">
        <f aca="false">IF(Configuration!$C$31="No","",IFERROR(IF(AND(N('Patent Portfolio'!AC6)&gt;=Configuration!$C$52,N('Patent Portfolio'!L6)&gt;=1),TRUE(),FALSE()),FALSE()))</f>
        <v>1</v>
      </c>
      <c r="Y6" s="84" t="b">
        <f aca="false">IF(Configuration!$C$32="No","",IFERROR(IF(AND(N('Patent Portfolio'!N6)&gt;=1,OR('Patent Portfolio'!C6&lt;&gt;"",'Patent Portfolio'!I6&lt;&gt;"")),TRUE(),FALSE()),FALSE()))</f>
        <v>1</v>
      </c>
      <c r="Z6" s="84" t="b">
        <f aca="false">IF(Configuration!$C$33="No","",IFERROR(IF('Patent Portfolio'!C6&lt;&gt;"",TRUE(),FALSE()),FALSE()))</f>
        <v>1</v>
      </c>
      <c r="AA6" s="84" t="b">
        <f aca="false">IF(Configuration!$C$34="No","",IFERROR(IF('Patent Portfolio'!T6="Yes",TRUE(),FALSE()),FALSE()))</f>
        <v>1</v>
      </c>
      <c r="AB6" s="84" t="b">
        <f aca="false">IF(Configuration!$C$35="No","",IFERROR(IF(OR('Patent Portfolio'!AK6="Partial",'Patent Portfolio'!AK6="Full"),TRUE(),FALSE()),FALSE()))</f>
        <v>1</v>
      </c>
      <c r="AC6" s="84" t="b">
        <f aca="false">IF(Configuration!$C$36="No","",IFERROR(IF('Patent Portfolio'!AI6="Survived",TRUE(),FALSE()),FALSE()))</f>
        <v>0</v>
      </c>
      <c r="AD6" s="84" t="b">
        <f aca="false">IF(Configuration!$C$37="No","",IFERROR(IF(AND('Patent Portfolio'!AJ6="Clean",'Patent Portfolio'!AL6="None"),TRUE(),FALSE()),FALSE()))</f>
        <v>1</v>
      </c>
      <c r="AE6" s="84" t="b">
        <f aca="false">IF(Configuration!$C$38="No","",IFERROR(IF(N('Patent Portfolio'!AG6)&gt;=Configuration!$C$53,TRUE(),FALSE()),FALSE()))</f>
        <v>1</v>
      </c>
      <c r="AF6" s="84" t="b">
        <f aca="false">IF(Configuration!$C$39="No","",IFERROR(IF(AND(N('Patent Portfolio'!AO6)&gt;=2,N('Patent Portfolio'!AB6)&gt;=2),TRUE(),FALSE()),FALSE()))</f>
        <v>1</v>
      </c>
      <c r="AG6" s="84" t="b">
        <f aca="false">IF(Configuration!$C$40="No","",IFERROR(IF(OR(N('Patent Portfolio'!AC6)&lt;=Configuration!$C$56,N('Patent Portfolio'!U6)&lt;Configuration!$C$57,N('Patent Portfolio'!AD6)&lt;=Configuration!$C$58),TRUE(),FALSE()),FALSE()))</f>
        <v>0</v>
      </c>
      <c r="AH6" s="84" t="b">
        <f aca="false">IF(Configuration!$C$41="No","",IFERROR(IF(AND(N('Patent Portfolio'!U6)&gt;=Configuration!$C$54,N('Patent Portfolio'!U6)&lt;=Configuration!$C$55),TRUE(),FALSE()),FALSE()))</f>
        <v>0</v>
      </c>
      <c r="AI6" s="84" t="b">
        <f aca="false">IF(Configuration!$C$42="No","",IFERROR(IF(AND('Patent Portfolio'!C6&lt;&gt;"",'Patent Portfolio'!F6&lt;&gt;""),TRUE(),FALSE()),FALSE()))</f>
        <v>1</v>
      </c>
      <c r="AJ6" s="82" t="n">
        <f aca="false">COUNTIF(C6:AI6,TRUE())</f>
        <v>25</v>
      </c>
    </row>
    <row r="7" customFormat="false" ht="23.25" hidden="false" customHeight="true" outlineLevel="0" collapsed="false">
      <c r="A7" s="20" t="str">
        <f aca="false">'Patent Portfolio'!A7</f>
        <v>P-005</v>
      </c>
      <c r="B7" s="83" t="str">
        <f aca="false">'Patent Portfolio'!B7</f>
        <v>Battery thermal management with phase-change material</v>
      </c>
      <c r="C7" s="84" t="b">
        <f aca="false">IF(Configuration!$C$10="No","",IFERROR(IF('Patent Portfolio'!C7&lt;&gt;"",TRUE(),FALSE()),FALSE()))</f>
        <v>1</v>
      </c>
      <c r="D7" s="84" t="b">
        <f aca="false">IF(Configuration!$C$11="No","",IFERROR(IF(AND(N('Patent Portfolio'!H7)&gt;=Configuration!$C$44,'Patent Portfolio'!I7&lt;&gt;""),TRUE(),FALSE()),FALSE()))</f>
        <v>0</v>
      </c>
      <c r="E7" s="84" t="b">
        <f aca="false">IF(Configuration!$C$12="No","",IFERROR(IF('Patent Portfolio'!F7&lt;&gt;"",TRUE(),FALSE()),FALSE()))</f>
        <v>1</v>
      </c>
      <c r="F7" s="84" t="b">
        <f aca="false">IF(Configuration!$C$13="No","",IFERROR(IF('Patent Portfolio'!E7&lt;&gt;"",TRUE(),FALSE()),FALSE()))</f>
        <v>1</v>
      </c>
      <c r="G7" s="84" t="b">
        <f aca="false">IF(Configuration!$C$14="No","",IFERROR(IF('Patent Portfolio'!G7&lt;&gt;"",TRUE(),FALSE()),FALSE()))</f>
        <v>1</v>
      </c>
      <c r="H7" s="84" t="b">
        <f aca="false">IF(Configuration!$C$15="No","",IFERROR(IF(AND(OR(ISNUMBER(SEARCH("process",'Patent Portfolio'!C7)),ISNUMBER(SEARCH("fab",'Patent Portfolio'!C7)),ISNUMBER(SEARCH("manufac",'Patent Portfolio'!C7))),'Patent Portfolio'!K7="Method"),TRUE(),FALSE()),FALSE()))</f>
        <v>0</v>
      </c>
      <c r="I7" s="84" t="b">
        <f aca="false">IF(Configuration!$C$16="No","",IFERROR(IF(AND(OR(ISNUMBER(SEARCH("material",'Patent Portfolio'!C7)),ISNUMBER(SEARCH("chem",'Patent Portfolio'!C7)),ISNUMBER(SEARCH("battery",'Patent Portfolio'!C7)),ISNUMBER(SEARCH("electrolyte",'Patent Portfolio'!C7)),ISNUMBER(SEARCH("polymer",'Patent Portfolio'!C7))),OR('Patent Portfolio'!K7="Apparatus",'Patent Portfolio'!K7="Method")),TRUE(),FALSE()),FALSE()))</f>
        <v>0</v>
      </c>
      <c r="J7" s="84" t="b">
        <f aca="false">IF(Configuration!$C$17="No","",IFERROR(IF(AND(OR('Patent Portfolio'!E7="App",'Patent Portfolio'!E7="Middleware",'Patent Portfolio'!E7="Cloud"),OR('Patent Portfolio'!K7="Method",'Patent Portfolio'!K7="CRM")),TRUE(),FALSE()),FALSE()))</f>
        <v>0</v>
      </c>
      <c r="K7" s="84" t="b">
        <f aca="false">IF(Configuration!$C$18="No","",IFERROR(IF(N('Patent Portfolio'!J7)&gt;=Configuration!$C$45,TRUE(),FALSE()),FALSE()))</f>
        <v>0</v>
      </c>
      <c r="L7" s="84" t="b">
        <f aca="false">IF(Configuration!$C$19="No","",IFERROR(IF('Patent Portfolio'!AA7&lt;&gt;"",TRUE(),FALSE()),FALSE()))</f>
        <v>1</v>
      </c>
      <c r="M7" s="84" t="b">
        <f aca="false">IF(Configuration!$C$20="No","",IFERROR(IF('Patent Portfolio'!K7&lt;&gt;"",TRUE(),FALSE()),FALSE()))</f>
        <v>1</v>
      </c>
      <c r="N7" s="84" t="b">
        <f aca="false">IF(Configuration!$C$21="No","",IFERROR(IF(OR(N('Patent Portfolio'!O7)&gt;=Configuration!$C$46,N('Patent Portfolio'!P7)&gt;=Configuration!$C$47),TRUE(),FALSE()),FALSE()))</f>
        <v>1</v>
      </c>
      <c r="O7" s="84" t="b">
        <f aca="false">IF(Configuration!$C$22="No","",IFERROR(IF('Patent Portfolio'!X7="Yes",TRUE(),FALSE()),FALSE()))</f>
        <v>1</v>
      </c>
      <c r="P7" s="84" t="b">
        <f aca="false">IF(Configuration!$C$23="No","",IFERROR(IF(N('Patent Portfolio'!R7)&gt;=Configuration!$C$48,TRUE(),FALSE()),FALSE()))</f>
        <v>1</v>
      </c>
      <c r="Q7" s="84" t="b">
        <f aca="false">IF(Configuration!$C$24="No","",IFERROR(IF(N('Patent Portfolio'!U7)&gt;0,TRUE(),FALSE()),FALSE()))</f>
        <v>1</v>
      </c>
      <c r="R7" s="84" t="b">
        <f aca="false">IF(Configuration!$C$25="No","",IFERROR(IF(OR(N('Patent Portfolio'!L7)=3,N('Patent Portfolio'!L7)&lt;=1),TRUE(),FALSE()),FALSE()))</f>
        <v>0</v>
      </c>
      <c r="S7" s="84" t="b">
        <f aca="false">IF(Configuration!$C$26="No","",IFERROR(IF(N('Patent Portfolio'!AB7)&gt;=Configuration!$C$49,TRUE(),FALSE()),FALSE()))</f>
        <v>1</v>
      </c>
      <c r="T7" s="84" t="b">
        <f aca="false">IF(Configuration!$C$27="No","",IFERROR(IF('Patent Portfolio'!Z7&lt;&gt;"",TRUE(),FALSE()),FALSE()))</f>
        <v>0</v>
      </c>
      <c r="U7" s="84" t="b">
        <f aca="false">IF(Configuration!$C$28="No","",IFERROR(IF(N('Patent Portfolio'!Q7)&gt;=Configuration!$C$50,TRUE(),FALSE()),FALSE()))</f>
        <v>1</v>
      </c>
      <c r="V7" s="84" t="b">
        <f aca="false">IF(Configuration!$C$29="No","",IFERROR(IF(AND(N('Patent Portfolio'!N7)&gt;=Configuration!$C$51,'Patent Portfolio'!C7&lt;&gt;""),TRUE(),FALSE()),FALSE()))</f>
        <v>1</v>
      </c>
      <c r="W7" s="84" t="b">
        <f aca="false">IF(Configuration!$C$30="No","",IFERROR(IF(OR('Patent Portfolio'!S7="Pending",'Patent Portfolio'!T7="Yes"),TRUE(),FALSE()),FALSE()))</f>
        <v>0</v>
      </c>
      <c r="X7" s="84" t="b">
        <f aca="false">IF(Configuration!$C$31="No","",IFERROR(IF(AND(N('Patent Portfolio'!AC7)&gt;=Configuration!$C$52,N('Patent Portfolio'!L7)&gt;=1),TRUE(),FALSE()),FALSE()))</f>
        <v>1</v>
      </c>
      <c r="Y7" s="84" t="b">
        <f aca="false">IF(Configuration!$C$32="No","",IFERROR(IF(AND(N('Patent Portfolio'!N7)&gt;=1,OR('Patent Portfolio'!C7&lt;&gt;"",'Patent Portfolio'!I7&lt;&gt;"")),TRUE(),FALSE()),FALSE()))</f>
        <v>1</v>
      </c>
      <c r="Z7" s="84" t="b">
        <f aca="false">IF(Configuration!$C$33="No","",IFERROR(IF('Patent Portfolio'!C7&lt;&gt;"",TRUE(),FALSE()),FALSE()))</f>
        <v>1</v>
      </c>
      <c r="AA7" s="84" t="b">
        <f aca="false">IF(Configuration!$C$34="No","",IFERROR(IF('Patent Portfolio'!T7="Yes",TRUE(),FALSE()),FALSE()))</f>
        <v>0</v>
      </c>
      <c r="AB7" s="84" t="b">
        <f aca="false">IF(Configuration!$C$35="No","",IFERROR(IF(OR('Patent Portfolio'!AK7="Partial",'Patent Portfolio'!AK7="Full"),TRUE(),FALSE()),FALSE()))</f>
        <v>0</v>
      </c>
      <c r="AC7" s="84" t="b">
        <f aca="false">IF(Configuration!$C$36="No","",IFERROR(IF('Patent Portfolio'!AI7="Survived",TRUE(),FALSE()),FALSE()))</f>
        <v>0</v>
      </c>
      <c r="AD7" s="84" t="b">
        <f aca="false">IF(Configuration!$C$37="No","",IFERROR(IF(AND('Patent Portfolio'!AJ7="Clean",'Patent Portfolio'!AL7="None"),TRUE(),FALSE()),FALSE()))</f>
        <v>0</v>
      </c>
      <c r="AE7" s="84" t="b">
        <f aca="false">IF(Configuration!$C$38="No","",IFERROR(IF(N('Patent Portfolio'!AG7)&gt;=Configuration!$C$53,TRUE(),FALSE()),FALSE()))</f>
        <v>0</v>
      </c>
      <c r="AF7" s="84" t="b">
        <f aca="false">IF(Configuration!$C$39="No","",IFERROR(IF(AND(N('Patent Portfolio'!AO7)&gt;=2,N('Patent Portfolio'!AB7)&gt;=2),TRUE(),FALSE()),FALSE()))</f>
        <v>1</v>
      </c>
      <c r="AG7" s="84" t="b">
        <f aca="false">IF(Configuration!$C$40="No","",IFERROR(IF(OR(N('Patent Portfolio'!AC7)&lt;=Configuration!$C$56,N('Patent Portfolio'!U7)&lt;Configuration!$C$57,N('Patent Portfolio'!AD7)&lt;=Configuration!$C$58),TRUE(),FALSE()),FALSE()))</f>
        <v>0</v>
      </c>
      <c r="AH7" s="84" t="b">
        <f aca="false">IF(Configuration!$C$41="No","",IFERROR(IF(AND(N('Patent Portfolio'!U7)&gt;=Configuration!$C$54,N('Patent Portfolio'!U7)&lt;=Configuration!$C$55),TRUE(),FALSE()),FALSE()))</f>
        <v>0</v>
      </c>
      <c r="AI7" s="84" t="b">
        <f aca="false">IF(Configuration!$C$42="No","",IFERROR(IF(AND('Patent Portfolio'!C7&lt;&gt;"",'Patent Portfolio'!F7&lt;&gt;""),TRUE(),FALSE()),FALSE()))</f>
        <v>1</v>
      </c>
      <c r="AJ7" s="82" t="n">
        <f aca="false">COUNTIF(C7:AI7,TRUE())</f>
        <v>18</v>
      </c>
    </row>
    <row r="8" customFormat="false" ht="15" hidden="false" customHeight="true" outlineLevel="0" collapsed="false">
      <c r="A8" s="20" t="str">
        <f aca="false">'Patent Portfolio'!A8</f>
        <v>P-006</v>
      </c>
      <c r="B8" s="83" t="str">
        <f aca="false">'Patent Portfolio'!B8</f>
        <v>SiC MOSFET inverter control method</v>
      </c>
      <c r="C8" s="84" t="b">
        <f aca="false">IF(Configuration!$C$10="No","",IFERROR(IF('Patent Portfolio'!C8&lt;&gt;"",TRUE(),FALSE()),FALSE()))</f>
        <v>1</v>
      </c>
      <c r="D8" s="84" t="b">
        <f aca="false">IF(Configuration!$C$11="No","",IFERROR(IF(AND(N('Patent Portfolio'!H8)&gt;=Configuration!$C$44,'Patent Portfolio'!I8&lt;&gt;""),TRUE(),FALSE()),FALSE()))</f>
        <v>0</v>
      </c>
      <c r="E8" s="84" t="b">
        <f aca="false">IF(Configuration!$C$12="No","",IFERROR(IF('Patent Portfolio'!F8&lt;&gt;"",TRUE(),FALSE()),FALSE()))</f>
        <v>1</v>
      </c>
      <c r="F8" s="84" t="b">
        <f aca="false">IF(Configuration!$C$13="No","",IFERROR(IF('Patent Portfolio'!E8&lt;&gt;"",TRUE(),FALSE()),FALSE()))</f>
        <v>1</v>
      </c>
      <c r="G8" s="84" t="b">
        <f aca="false">IF(Configuration!$C$14="No","",IFERROR(IF('Patent Portfolio'!G8&lt;&gt;"",TRUE(),FALSE()),FALSE()))</f>
        <v>1</v>
      </c>
      <c r="H8" s="84" t="b">
        <f aca="false">IF(Configuration!$C$15="No","",IFERROR(IF(AND(OR(ISNUMBER(SEARCH("process",'Patent Portfolio'!C8)),ISNUMBER(SEARCH("fab",'Patent Portfolio'!C8)),ISNUMBER(SEARCH("manufac",'Patent Portfolio'!C8))),'Patent Portfolio'!K8="Method"),TRUE(),FALSE()),FALSE()))</f>
        <v>0</v>
      </c>
      <c r="I8" s="84" t="b">
        <f aca="false">IF(Configuration!$C$16="No","",IFERROR(IF(AND(OR(ISNUMBER(SEARCH("material",'Patent Portfolio'!C8)),ISNUMBER(SEARCH("chem",'Patent Portfolio'!C8)),ISNUMBER(SEARCH("battery",'Patent Portfolio'!C8)),ISNUMBER(SEARCH("electrolyte",'Patent Portfolio'!C8)),ISNUMBER(SEARCH("polymer",'Patent Portfolio'!C8))),OR('Patent Portfolio'!K8="Apparatus",'Patent Portfolio'!K8="Method")),TRUE(),FALSE()),FALSE()))</f>
        <v>0</v>
      </c>
      <c r="J8" s="84" t="b">
        <f aca="false">IF(Configuration!$C$17="No","",IFERROR(IF(AND(OR('Patent Portfolio'!E8="App",'Patent Portfolio'!E8="Middleware",'Patent Portfolio'!E8="Cloud"),OR('Patent Portfolio'!K8="Method",'Patent Portfolio'!K8="CRM")),TRUE(),FALSE()),FALSE()))</f>
        <v>0</v>
      </c>
      <c r="K8" s="84" t="b">
        <f aca="false">IF(Configuration!$C$18="No","",IFERROR(IF(N('Patent Portfolio'!J8)&gt;=Configuration!$C$45,TRUE(),FALSE()),FALSE()))</f>
        <v>0</v>
      </c>
      <c r="L8" s="84" t="b">
        <f aca="false">IF(Configuration!$C$19="No","",IFERROR(IF('Patent Portfolio'!AA8&lt;&gt;"",TRUE(),FALSE()),FALSE()))</f>
        <v>1</v>
      </c>
      <c r="M8" s="84" t="b">
        <f aca="false">IF(Configuration!$C$20="No","",IFERROR(IF('Patent Portfolio'!K8&lt;&gt;"",TRUE(),FALSE()),FALSE()))</f>
        <v>1</v>
      </c>
      <c r="N8" s="84" t="b">
        <f aca="false">IF(Configuration!$C$21="No","",IFERROR(IF(OR(N('Patent Portfolio'!O8)&gt;=Configuration!$C$46,N('Patent Portfolio'!P8)&gt;=Configuration!$C$47),TRUE(),FALSE()),FALSE()))</f>
        <v>1</v>
      </c>
      <c r="O8" s="84" t="b">
        <f aca="false">IF(Configuration!$C$22="No","",IFERROR(IF('Patent Portfolio'!X8="Yes",TRUE(),FALSE()),FALSE()))</f>
        <v>1</v>
      </c>
      <c r="P8" s="84" t="b">
        <f aca="false">IF(Configuration!$C$23="No","",IFERROR(IF(N('Patent Portfolio'!R8)&gt;=Configuration!$C$48,TRUE(),FALSE()),FALSE()))</f>
        <v>1</v>
      </c>
      <c r="Q8" s="84" t="b">
        <f aca="false">IF(Configuration!$C$24="No","",IFERROR(IF(N('Patent Portfolio'!U8)&gt;0,TRUE(),FALSE()),FALSE()))</f>
        <v>1</v>
      </c>
      <c r="R8" s="84" t="b">
        <f aca="false">IF(Configuration!$C$25="No","",IFERROR(IF(OR(N('Patent Portfolio'!L8)=3,N('Patent Portfolio'!L8)&lt;=1),TRUE(),FALSE()),FALSE()))</f>
        <v>0</v>
      </c>
      <c r="S8" s="84" t="b">
        <f aca="false">IF(Configuration!$C$26="No","",IFERROR(IF(N('Patent Portfolio'!AB8)&gt;=Configuration!$C$49,TRUE(),FALSE()),FALSE()))</f>
        <v>1</v>
      </c>
      <c r="T8" s="84" t="b">
        <f aca="false">IF(Configuration!$C$27="No","",IFERROR(IF('Patent Portfolio'!Z8&lt;&gt;"",TRUE(),FALSE()),FALSE()))</f>
        <v>0</v>
      </c>
      <c r="U8" s="84" t="b">
        <f aca="false">IF(Configuration!$C$28="No","",IFERROR(IF(N('Patent Portfolio'!Q8)&gt;=Configuration!$C$50,TRUE(),FALSE()),FALSE()))</f>
        <v>1</v>
      </c>
      <c r="V8" s="84" t="b">
        <f aca="false">IF(Configuration!$C$29="No","",IFERROR(IF(AND(N('Patent Portfolio'!N8)&gt;=Configuration!$C$51,'Patent Portfolio'!C8&lt;&gt;""),TRUE(),FALSE()),FALSE()))</f>
        <v>1</v>
      </c>
      <c r="W8" s="84" t="b">
        <f aca="false">IF(Configuration!$C$30="No","",IFERROR(IF(OR('Patent Portfolio'!S8="Pending",'Patent Portfolio'!T8="Yes"),TRUE(),FALSE()),FALSE()))</f>
        <v>0</v>
      </c>
      <c r="X8" s="84" t="b">
        <f aca="false">IF(Configuration!$C$31="No","",IFERROR(IF(AND(N('Patent Portfolio'!AC8)&gt;=Configuration!$C$52,N('Patent Portfolio'!L8)&gt;=1),TRUE(),FALSE()),FALSE()))</f>
        <v>1</v>
      </c>
      <c r="Y8" s="84" t="b">
        <f aca="false">IF(Configuration!$C$32="No","",IFERROR(IF(AND(N('Patent Portfolio'!N8)&gt;=1,OR('Patent Portfolio'!C8&lt;&gt;"",'Patent Portfolio'!I8&lt;&gt;"")),TRUE(),FALSE()),FALSE()))</f>
        <v>1</v>
      </c>
      <c r="Z8" s="84" t="b">
        <f aca="false">IF(Configuration!$C$33="No","",IFERROR(IF('Patent Portfolio'!C8&lt;&gt;"",TRUE(),FALSE()),FALSE()))</f>
        <v>1</v>
      </c>
      <c r="AA8" s="84" t="b">
        <f aca="false">IF(Configuration!$C$34="No","",IFERROR(IF('Patent Portfolio'!T8="Yes",TRUE(),FALSE()),FALSE()))</f>
        <v>0</v>
      </c>
      <c r="AB8" s="84" t="b">
        <f aca="false">IF(Configuration!$C$35="No","",IFERROR(IF(OR('Patent Portfolio'!AK8="Partial",'Patent Portfolio'!AK8="Full"),TRUE(),FALSE()),FALSE()))</f>
        <v>1</v>
      </c>
      <c r="AC8" s="84" t="b">
        <f aca="false">IF(Configuration!$C$36="No","",IFERROR(IF('Patent Portfolio'!AI8="Survived",TRUE(),FALSE()),FALSE()))</f>
        <v>0</v>
      </c>
      <c r="AD8" s="84" t="b">
        <f aca="false">IF(Configuration!$C$37="No","",IFERROR(IF(AND('Patent Portfolio'!AJ8="Clean",'Patent Portfolio'!AL8="None"),TRUE(),FALSE()),FALSE()))</f>
        <v>0</v>
      </c>
      <c r="AE8" s="84" t="b">
        <f aca="false">IF(Configuration!$C$38="No","",IFERROR(IF(N('Patent Portfolio'!AG8)&gt;=Configuration!$C$53,TRUE(),FALSE()),FALSE()))</f>
        <v>1</v>
      </c>
      <c r="AF8" s="84" t="b">
        <f aca="false">IF(Configuration!$C$39="No","",IFERROR(IF(AND(N('Patent Portfolio'!AO8)&gt;=2,N('Patent Portfolio'!AB8)&gt;=2),TRUE(),FALSE()),FALSE()))</f>
        <v>1</v>
      </c>
      <c r="AG8" s="84" t="b">
        <f aca="false">IF(Configuration!$C$40="No","",IFERROR(IF(OR(N('Patent Portfolio'!AC8)&lt;=Configuration!$C$56,N('Patent Portfolio'!U8)&lt;Configuration!$C$57,N('Patent Portfolio'!AD8)&lt;=Configuration!$C$58),TRUE(),FALSE()),FALSE()))</f>
        <v>0</v>
      </c>
      <c r="AH8" s="84" t="b">
        <f aca="false">IF(Configuration!$C$41="No","",IFERROR(IF(AND(N('Patent Portfolio'!U8)&gt;=Configuration!$C$54,N('Patent Portfolio'!U8)&lt;=Configuration!$C$55),TRUE(),FALSE()),FALSE()))</f>
        <v>0</v>
      </c>
      <c r="AI8" s="84" t="b">
        <f aca="false">IF(Configuration!$C$42="No","",IFERROR(IF(AND('Patent Portfolio'!C8&lt;&gt;"",'Patent Portfolio'!F8&lt;&gt;""),TRUE(),FALSE()),FALSE()))</f>
        <v>1</v>
      </c>
      <c r="AJ8" s="82" t="n">
        <f aca="false">COUNTIF(C8:AI8,TRUE())</f>
        <v>20</v>
      </c>
    </row>
    <row r="9" customFormat="false" ht="23.25" hidden="false" customHeight="true" outlineLevel="0" collapsed="false">
      <c r="A9" s="20" t="str">
        <f aca="false">'Patent Portfolio'!A9</f>
        <v>P-007</v>
      </c>
      <c r="B9" s="83" t="str">
        <f aca="false">'Patent Portfolio'!B9</f>
        <v>On-device CNN quantization for low-power inference</v>
      </c>
      <c r="C9" s="84" t="b">
        <f aca="false">IF(Configuration!$C$10="No","",IFERROR(IF('Patent Portfolio'!C9&lt;&gt;"",TRUE(),FALSE()),FALSE()))</f>
        <v>1</v>
      </c>
      <c r="D9" s="84" t="b">
        <f aca="false">IF(Configuration!$C$11="No","",IFERROR(IF(AND(N('Patent Portfolio'!H9)&gt;=Configuration!$C$44,'Patent Portfolio'!I9&lt;&gt;""),TRUE(),FALSE()),FALSE()))</f>
        <v>0</v>
      </c>
      <c r="E9" s="84" t="b">
        <f aca="false">IF(Configuration!$C$12="No","",IFERROR(IF('Patent Portfolio'!F9&lt;&gt;"",TRUE(),FALSE()),FALSE()))</f>
        <v>1</v>
      </c>
      <c r="F9" s="84" t="b">
        <f aca="false">IF(Configuration!$C$13="No","",IFERROR(IF('Patent Portfolio'!E9&lt;&gt;"",TRUE(),FALSE()),FALSE()))</f>
        <v>1</v>
      </c>
      <c r="G9" s="84" t="b">
        <f aca="false">IF(Configuration!$C$14="No","",IFERROR(IF('Patent Portfolio'!G9&lt;&gt;"",TRUE(),FALSE()),FALSE()))</f>
        <v>1</v>
      </c>
      <c r="H9" s="84" t="b">
        <f aca="false">IF(Configuration!$C$15="No","",IFERROR(IF(AND(OR(ISNUMBER(SEARCH("process",'Patent Portfolio'!C9)),ISNUMBER(SEARCH("fab",'Patent Portfolio'!C9)),ISNUMBER(SEARCH("manufac",'Patent Portfolio'!C9))),'Patent Portfolio'!K9="Method"),TRUE(),FALSE()),FALSE()))</f>
        <v>0</v>
      </c>
      <c r="I9" s="84" t="b">
        <f aca="false">IF(Configuration!$C$16="No","",IFERROR(IF(AND(OR(ISNUMBER(SEARCH("material",'Patent Portfolio'!C9)),ISNUMBER(SEARCH("chem",'Patent Portfolio'!C9)),ISNUMBER(SEARCH("battery",'Patent Portfolio'!C9)),ISNUMBER(SEARCH("electrolyte",'Patent Portfolio'!C9)),ISNUMBER(SEARCH("polymer",'Patent Portfolio'!C9))),OR('Patent Portfolio'!K9="Apparatus",'Patent Portfolio'!K9="Method")),TRUE(),FALSE()),FALSE()))</f>
        <v>0</v>
      </c>
      <c r="J9" s="84" t="b">
        <f aca="false">IF(Configuration!$C$17="No","",IFERROR(IF(AND(OR('Patent Portfolio'!E9="App",'Patent Portfolio'!E9="Middleware",'Patent Portfolio'!E9="Cloud"),OR('Patent Portfolio'!K9="Method",'Patent Portfolio'!K9="CRM")),TRUE(),FALSE()),FALSE()))</f>
        <v>1</v>
      </c>
      <c r="K9" s="84" t="b">
        <f aca="false">IF(Configuration!$C$18="No","",IFERROR(IF(N('Patent Portfolio'!J9)&gt;=Configuration!$C$45,TRUE(),FALSE()),FALSE()))</f>
        <v>0</v>
      </c>
      <c r="L9" s="84" t="b">
        <f aca="false">IF(Configuration!$C$19="No","",IFERROR(IF('Patent Portfolio'!AA9&lt;&gt;"",TRUE(),FALSE()),FALSE()))</f>
        <v>1</v>
      </c>
      <c r="M9" s="84" t="b">
        <f aca="false">IF(Configuration!$C$20="No","",IFERROR(IF('Patent Portfolio'!K9&lt;&gt;"",TRUE(),FALSE()),FALSE()))</f>
        <v>1</v>
      </c>
      <c r="N9" s="84" t="b">
        <f aca="false">IF(Configuration!$C$21="No","",IFERROR(IF(OR(N('Patent Portfolio'!O9)&gt;=Configuration!$C$46,N('Patent Portfolio'!P9)&gt;=Configuration!$C$47),TRUE(),FALSE()),FALSE()))</f>
        <v>1</v>
      </c>
      <c r="O9" s="84" t="b">
        <f aca="false">IF(Configuration!$C$22="No","",IFERROR(IF('Patent Portfolio'!X9="Yes",TRUE(),FALSE()),FALSE()))</f>
        <v>1</v>
      </c>
      <c r="P9" s="84" t="b">
        <f aca="false">IF(Configuration!$C$23="No","",IFERROR(IF(N('Patent Portfolio'!R9)&gt;=Configuration!$C$48,TRUE(),FALSE()),FALSE()))</f>
        <v>1</v>
      </c>
      <c r="Q9" s="84" t="b">
        <f aca="false">IF(Configuration!$C$24="No","",IFERROR(IF(N('Patent Portfolio'!U9)&gt;0,TRUE(),FALSE()),FALSE()))</f>
        <v>1</v>
      </c>
      <c r="R9" s="84" t="b">
        <f aca="false">IF(Configuration!$C$25="No","",IFERROR(IF(OR(N('Patent Portfolio'!L9)=3,N('Patent Portfolio'!L9)&lt;=1),TRUE(),FALSE()),FALSE()))</f>
        <v>0</v>
      </c>
      <c r="S9" s="84" t="b">
        <f aca="false">IF(Configuration!$C$26="No","",IFERROR(IF(N('Patent Portfolio'!AB9)&gt;=Configuration!$C$49,TRUE(),FALSE()),FALSE()))</f>
        <v>1</v>
      </c>
      <c r="T9" s="84" t="b">
        <f aca="false">IF(Configuration!$C$27="No","",IFERROR(IF('Patent Portfolio'!Z9&lt;&gt;"",TRUE(),FALSE()),FALSE()))</f>
        <v>1</v>
      </c>
      <c r="U9" s="84" t="b">
        <f aca="false">IF(Configuration!$C$28="No","",IFERROR(IF(N('Patent Portfolio'!Q9)&gt;=Configuration!$C$50,TRUE(),FALSE()),FALSE()))</f>
        <v>1</v>
      </c>
      <c r="V9" s="84" t="b">
        <f aca="false">IF(Configuration!$C$29="No","",IFERROR(IF(AND(N('Patent Portfolio'!N9)&gt;=Configuration!$C$51,'Patent Portfolio'!C9&lt;&gt;""),TRUE(),FALSE()),FALSE()))</f>
        <v>1</v>
      </c>
      <c r="W9" s="84" t="b">
        <f aca="false">IF(Configuration!$C$30="No","",IFERROR(IF(OR('Patent Portfolio'!S9="Pending",'Patent Portfolio'!T9="Yes"),TRUE(),FALSE()),FALSE()))</f>
        <v>1</v>
      </c>
      <c r="X9" s="84" t="b">
        <f aca="false">IF(Configuration!$C$31="No","",IFERROR(IF(AND(N('Patent Portfolio'!AC9)&gt;=Configuration!$C$52,N('Patent Portfolio'!L9)&gt;=1),TRUE(),FALSE()),FALSE()))</f>
        <v>1</v>
      </c>
      <c r="Y9" s="84" t="b">
        <f aca="false">IF(Configuration!$C$32="No","",IFERROR(IF(AND(N('Patent Portfolio'!N9)&gt;=1,OR('Patent Portfolio'!C9&lt;&gt;"",'Patent Portfolio'!I9&lt;&gt;"")),TRUE(),FALSE()),FALSE()))</f>
        <v>1</v>
      </c>
      <c r="Z9" s="84" t="b">
        <f aca="false">IF(Configuration!$C$33="No","",IFERROR(IF('Patent Portfolio'!C9&lt;&gt;"",TRUE(),FALSE()),FALSE()))</f>
        <v>1</v>
      </c>
      <c r="AA9" s="84" t="b">
        <f aca="false">IF(Configuration!$C$34="No","",IFERROR(IF('Patent Portfolio'!T9="Yes",TRUE(),FALSE()),FALSE()))</f>
        <v>1</v>
      </c>
      <c r="AB9" s="84" t="b">
        <f aca="false">IF(Configuration!$C$35="No","",IFERROR(IF(OR('Patent Portfolio'!AK9="Partial",'Patent Portfolio'!AK9="Full"),TRUE(),FALSE()),FALSE()))</f>
        <v>1</v>
      </c>
      <c r="AC9" s="84" t="b">
        <f aca="false">IF(Configuration!$C$36="No","",IFERROR(IF('Patent Portfolio'!AI9="Survived",TRUE(),FALSE()),FALSE()))</f>
        <v>0</v>
      </c>
      <c r="AD9" s="84" t="b">
        <f aca="false">IF(Configuration!$C$37="No","",IFERROR(IF(AND('Patent Portfolio'!AJ9="Clean",'Patent Portfolio'!AL9="None"),TRUE(),FALSE()),FALSE()))</f>
        <v>1</v>
      </c>
      <c r="AE9" s="84" t="b">
        <f aca="false">IF(Configuration!$C$38="No","",IFERROR(IF(N('Patent Portfolio'!AG9)&gt;=Configuration!$C$53,TRUE(),FALSE()),FALSE()))</f>
        <v>1</v>
      </c>
      <c r="AF9" s="84" t="b">
        <f aca="false">IF(Configuration!$C$39="No","",IFERROR(IF(AND(N('Patent Portfolio'!AO9)&gt;=2,N('Patent Portfolio'!AB9)&gt;=2),TRUE(),FALSE()),FALSE()))</f>
        <v>1</v>
      </c>
      <c r="AG9" s="84" t="b">
        <f aca="false">IF(Configuration!$C$40="No","",IFERROR(IF(OR(N('Patent Portfolio'!AC9)&lt;=Configuration!$C$56,N('Patent Portfolio'!U9)&lt;Configuration!$C$57,N('Patent Portfolio'!AD9)&lt;=Configuration!$C$58),TRUE(),FALSE()),FALSE()))</f>
        <v>1</v>
      </c>
      <c r="AH9" s="84" t="b">
        <f aca="false">IF(Configuration!$C$41="No","",IFERROR(IF(AND(N('Patent Portfolio'!U9)&gt;=Configuration!$C$54,N('Patent Portfolio'!U9)&lt;=Configuration!$C$55),TRUE(),FALSE()),FALSE()))</f>
        <v>0</v>
      </c>
      <c r="AI9" s="84" t="b">
        <f aca="false">IF(Configuration!$C$42="No","",IFERROR(IF(AND('Patent Portfolio'!C9&lt;&gt;"",'Patent Portfolio'!F9&lt;&gt;""),TRUE(),FALSE()),FALSE()))</f>
        <v>1</v>
      </c>
      <c r="AJ9" s="82" t="n">
        <f aca="false">COUNTIF(C9:AI9,TRUE())</f>
        <v>26</v>
      </c>
    </row>
    <row r="10" customFormat="false" ht="23.25" hidden="false" customHeight="true" outlineLevel="0" collapsed="false">
      <c r="A10" s="20" t="str">
        <f aca="false">'Patent Portfolio'!A10</f>
        <v>P-008</v>
      </c>
      <c r="B10" s="83" t="str">
        <f aca="false">'Patent Portfolio'!B10</f>
        <v>Transformer attention pruning for vision models</v>
      </c>
      <c r="C10" s="84" t="b">
        <f aca="false">IF(Configuration!$C$10="No","",IFERROR(IF('Patent Portfolio'!C10&lt;&gt;"",TRUE(),FALSE()),FALSE()))</f>
        <v>1</v>
      </c>
      <c r="D10" s="84" t="b">
        <f aca="false">IF(Configuration!$C$11="No","",IFERROR(IF(AND(N('Patent Portfolio'!H10)&gt;=Configuration!$C$44,'Patent Portfolio'!I10&lt;&gt;""),TRUE(),FALSE()),FALSE()))</f>
        <v>0</v>
      </c>
      <c r="E10" s="84" t="b">
        <f aca="false">IF(Configuration!$C$12="No","",IFERROR(IF('Patent Portfolio'!F10&lt;&gt;"",TRUE(),FALSE()),FALSE()))</f>
        <v>1</v>
      </c>
      <c r="F10" s="84" t="b">
        <f aca="false">IF(Configuration!$C$13="No","",IFERROR(IF('Patent Portfolio'!E10&lt;&gt;"",TRUE(),FALSE()),FALSE()))</f>
        <v>1</v>
      </c>
      <c r="G10" s="84" t="b">
        <f aca="false">IF(Configuration!$C$14="No","",IFERROR(IF('Patent Portfolio'!G10&lt;&gt;"",TRUE(),FALSE()),FALSE()))</f>
        <v>1</v>
      </c>
      <c r="H10" s="84" t="b">
        <f aca="false">IF(Configuration!$C$15="No","",IFERROR(IF(AND(OR(ISNUMBER(SEARCH("process",'Patent Portfolio'!C10)),ISNUMBER(SEARCH("fab",'Patent Portfolio'!C10)),ISNUMBER(SEARCH("manufac",'Patent Portfolio'!C10))),'Patent Portfolio'!K10="Method"),TRUE(),FALSE()),FALSE()))</f>
        <v>0</v>
      </c>
      <c r="I10" s="84" t="b">
        <f aca="false">IF(Configuration!$C$16="No","",IFERROR(IF(AND(OR(ISNUMBER(SEARCH("material",'Patent Portfolio'!C10)),ISNUMBER(SEARCH("chem",'Patent Portfolio'!C10)),ISNUMBER(SEARCH("battery",'Patent Portfolio'!C10)),ISNUMBER(SEARCH("electrolyte",'Patent Portfolio'!C10)),ISNUMBER(SEARCH("polymer",'Patent Portfolio'!C10))),OR('Patent Portfolio'!K10="Apparatus",'Patent Portfolio'!K10="Method")),TRUE(),FALSE()),FALSE()))</f>
        <v>0</v>
      </c>
      <c r="J10" s="84" t="b">
        <f aca="false">IF(Configuration!$C$17="No","",IFERROR(IF(AND(OR('Patent Portfolio'!E10="App",'Patent Portfolio'!E10="Middleware",'Patent Portfolio'!E10="Cloud"),OR('Patent Portfolio'!K10="Method",'Patent Portfolio'!K10="CRM")),TRUE(),FALSE()),FALSE()))</f>
        <v>1</v>
      </c>
      <c r="K10" s="84" t="b">
        <f aca="false">IF(Configuration!$C$18="No","",IFERROR(IF(N('Patent Portfolio'!J10)&gt;=Configuration!$C$45,TRUE(),FALSE()),FALSE()))</f>
        <v>0</v>
      </c>
      <c r="L10" s="84" t="b">
        <f aca="false">IF(Configuration!$C$19="No","",IFERROR(IF('Patent Portfolio'!AA10&lt;&gt;"",TRUE(),FALSE()),FALSE()))</f>
        <v>1</v>
      </c>
      <c r="M10" s="84" t="b">
        <f aca="false">IF(Configuration!$C$20="No","",IFERROR(IF('Patent Portfolio'!K10&lt;&gt;"",TRUE(),FALSE()),FALSE()))</f>
        <v>1</v>
      </c>
      <c r="N10" s="84" t="b">
        <f aca="false">IF(Configuration!$C$21="No","",IFERROR(IF(OR(N('Patent Portfolio'!O10)&gt;=Configuration!$C$46,N('Patent Portfolio'!P10)&gt;=Configuration!$C$47),TRUE(),FALSE()),FALSE()))</f>
        <v>1</v>
      </c>
      <c r="O10" s="84" t="b">
        <f aca="false">IF(Configuration!$C$22="No","",IFERROR(IF('Patent Portfolio'!X10="Yes",TRUE(),FALSE()),FALSE()))</f>
        <v>0</v>
      </c>
      <c r="P10" s="84" t="b">
        <f aca="false">IF(Configuration!$C$23="No","",IFERROR(IF(N('Patent Portfolio'!R10)&gt;=Configuration!$C$48,TRUE(),FALSE()),FALSE()))</f>
        <v>1</v>
      </c>
      <c r="Q10" s="84" t="b">
        <f aca="false">IF(Configuration!$C$24="No","",IFERROR(IF(N('Patent Portfolio'!U10)&gt;0,TRUE(),FALSE()),FALSE()))</f>
        <v>1</v>
      </c>
      <c r="R10" s="84" t="b">
        <f aca="false">IF(Configuration!$C$25="No","",IFERROR(IF(OR(N('Patent Portfolio'!L10)=3,N('Patent Portfolio'!L10)&lt;=1),TRUE(),FALSE()),FALSE()))</f>
        <v>1</v>
      </c>
      <c r="S10" s="84" t="b">
        <f aca="false">IF(Configuration!$C$26="No","",IFERROR(IF(N('Patent Portfolio'!AB10)&gt;=Configuration!$C$49,TRUE(),FALSE()),FALSE()))</f>
        <v>1</v>
      </c>
      <c r="T10" s="84" t="b">
        <f aca="false">IF(Configuration!$C$27="No","",IFERROR(IF('Patent Portfolio'!Z10&lt;&gt;"",TRUE(),FALSE()),FALSE()))</f>
        <v>1</v>
      </c>
      <c r="U10" s="84" t="b">
        <f aca="false">IF(Configuration!$C$28="No","",IFERROR(IF(N('Patent Portfolio'!Q10)&gt;=Configuration!$C$50,TRUE(),FALSE()),FALSE()))</f>
        <v>1</v>
      </c>
      <c r="V10" s="84" t="b">
        <f aca="false">IF(Configuration!$C$29="No","",IFERROR(IF(AND(N('Patent Portfolio'!N10)&gt;=Configuration!$C$51,'Patent Portfolio'!C10&lt;&gt;""),TRUE(),FALSE()),FALSE()))</f>
        <v>0</v>
      </c>
      <c r="W10" s="84" t="b">
        <f aca="false">IF(Configuration!$C$30="No","",IFERROR(IF(OR('Patent Portfolio'!S10="Pending",'Patent Portfolio'!T10="Yes"),TRUE(),FALSE()),FALSE()))</f>
        <v>1</v>
      </c>
      <c r="X10" s="84" t="b">
        <f aca="false">IF(Configuration!$C$31="No","",IFERROR(IF(AND(N('Patent Portfolio'!AC10)&gt;=Configuration!$C$52,N('Patent Portfolio'!L10)&gt;=1),TRUE(),FALSE()),FALSE()))</f>
        <v>0</v>
      </c>
      <c r="Y10" s="84" t="b">
        <f aca="false">IF(Configuration!$C$32="No","",IFERROR(IF(AND(N('Patent Portfolio'!N10)&gt;=1,OR('Patent Portfolio'!C10&lt;&gt;"",'Patent Portfolio'!I10&lt;&gt;"")),TRUE(),FALSE()),FALSE()))</f>
        <v>1</v>
      </c>
      <c r="Z10" s="84" t="b">
        <f aca="false">IF(Configuration!$C$33="No","",IFERROR(IF('Patent Portfolio'!C10&lt;&gt;"",TRUE(),FALSE()),FALSE()))</f>
        <v>1</v>
      </c>
      <c r="AA10" s="84" t="b">
        <f aca="false">IF(Configuration!$C$34="No","",IFERROR(IF('Patent Portfolio'!T10="Yes",TRUE(),FALSE()),FALSE()))</f>
        <v>1</v>
      </c>
      <c r="AB10" s="84" t="b">
        <f aca="false">IF(Configuration!$C$35="No","",IFERROR(IF(OR('Patent Portfolio'!AK10="Partial",'Patent Portfolio'!AK10="Full"),TRUE(),FALSE()),FALSE()))</f>
        <v>0</v>
      </c>
      <c r="AC10" s="84" t="b">
        <f aca="false">IF(Configuration!$C$36="No","",IFERROR(IF('Patent Portfolio'!AI10="Survived",TRUE(),FALSE()),FALSE()))</f>
        <v>0</v>
      </c>
      <c r="AD10" s="84" t="b">
        <f aca="false">IF(Configuration!$C$37="No","",IFERROR(IF(AND('Patent Portfolio'!AJ10="Clean",'Patent Portfolio'!AL10="None"),TRUE(),FALSE()),FALSE()))</f>
        <v>1</v>
      </c>
      <c r="AE10" s="84" t="b">
        <f aca="false">IF(Configuration!$C$38="No","",IFERROR(IF(N('Patent Portfolio'!AG10)&gt;=Configuration!$C$53,TRUE(),FALSE()),FALSE()))</f>
        <v>0</v>
      </c>
      <c r="AF10" s="84" t="b">
        <f aca="false">IF(Configuration!$C$39="No","",IFERROR(IF(AND(N('Patent Portfolio'!AO10)&gt;=2,N('Patent Portfolio'!AB10)&gt;=2),TRUE(),FALSE()),FALSE()))</f>
        <v>1</v>
      </c>
      <c r="AG10" s="84" t="b">
        <f aca="false">IF(Configuration!$C$40="No","",IFERROR(IF(OR(N('Patent Portfolio'!AC10)&lt;=Configuration!$C$56,N('Patent Portfolio'!U10)&lt;Configuration!$C$57,N('Patent Portfolio'!AD10)&lt;=Configuration!$C$58),TRUE(),FALSE()),FALSE()))</f>
        <v>1</v>
      </c>
      <c r="AH10" s="84" t="b">
        <f aca="false">IF(Configuration!$C$41="No","",IFERROR(IF(AND(N('Patent Portfolio'!U10)&gt;=Configuration!$C$54,N('Patent Portfolio'!U10)&lt;=Configuration!$C$55),TRUE(),FALSE()),FALSE()))</f>
        <v>0</v>
      </c>
      <c r="AI10" s="84" t="b">
        <f aca="false">IF(Configuration!$C$42="No","",IFERROR(IF(AND('Patent Portfolio'!C10&lt;&gt;"",'Patent Portfolio'!F10&lt;&gt;""),TRUE(),FALSE()),FALSE()))</f>
        <v>1</v>
      </c>
      <c r="AJ10" s="82" t="n">
        <f aca="false">COUNTIF(C10:AI10,TRUE())</f>
        <v>22</v>
      </c>
    </row>
    <row r="11" customFormat="false" ht="15" hidden="false" customHeight="true" outlineLevel="0" collapsed="false">
      <c r="A11" s="20" t="str">
        <f aca="false">'Patent Portfolio'!A11</f>
        <v>P-009</v>
      </c>
      <c r="B11" s="83" t="str">
        <f aca="false">'Patent Portfolio'!B11</f>
        <v>Visual SLAM for indoor robot navigation</v>
      </c>
      <c r="C11" s="84" t="b">
        <f aca="false">IF(Configuration!$C$10="No","",IFERROR(IF('Patent Portfolio'!C11&lt;&gt;"",TRUE(),FALSE()),FALSE()))</f>
        <v>1</v>
      </c>
      <c r="D11" s="84" t="b">
        <f aca="false">IF(Configuration!$C$11="No","",IFERROR(IF(AND(N('Patent Portfolio'!H11)&gt;=Configuration!$C$44,'Patent Portfolio'!I11&lt;&gt;""),TRUE(),FALSE()),FALSE()))</f>
        <v>0</v>
      </c>
      <c r="E11" s="84" t="b">
        <f aca="false">IF(Configuration!$C$12="No","",IFERROR(IF('Patent Portfolio'!F11&lt;&gt;"",TRUE(),FALSE()),FALSE()))</f>
        <v>1</v>
      </c>
      <c r="F11" s="84" t="b">
        <f aca="false">IF(Configuration!$C$13="No","",IFERROR(IF('Patent Portfolio'!E11&lt;&gt;"",TRUE(),FALSE()),FALSE()))</f>
        <v>1</v>
      </c>
      <c r="G11" s="84" t="b">
        <f aca="false">IF(Configuration!$C$14="No","",IFERROR(IF('Patent Portfolio'!G11&lt;&gt;"",TRUE(),FALSE()),FALSE()))</f>
        <v>1</v>
      </c>
      <c r="H11" s="84" t="b">
        <f aca="false">IF(Configuration!$C$15="No","",IFERROR(IF(AND(OR(ISNUMBER(SEARCH("process",'Patent Portfolio'!C11)),ISNUMBER(SEARCH("fab",'Patent Portfolio'!C11)),ISNUMBER(SEARCH("manufac",'Patent Portfolio'!C11))),'Patent Portfolio'!K11="Method"),TRUE(),FALSE()),FALSE()))</f>
        <v>0</v>
      </c>
      <c r="I11" s="84" t="b">
        <f aca="false">IF(Configuration!$C$16="No","",IFERROR(IF(AND(OR(ISNUMBER(SEARCH("material",'Patent Portfolio'!C11)),ISNUMBER(SEARCH("chem",'Patent Portfolio'!C11)),ISNUMBER(SEARCH("battery",'Patent Portfolio'!C11)),ISNUMBER(SEARCH("electrolyte",'Patent Portfolio'!C11)),ISNUMBER(SEARCH("polymer",'Patent Portfolio'!C11))),OR('Patent Portfolio'!K11="Apparatus",'Patent Portfolio'!K11="Method")),TRUE(),FALSE()),FALSE()))</f>
        <v>0</v>
      </c>
      <c r="J11" s="84" t="b">
        <f aca="false">IF(Configuration!$C$17="No","",IFERROR(IF(AND(OR('Patent Portfolio'!E11="App",'Patent Portfolio'!E11="Middleware",'Patent Portfolio'!E11="Cloud"),OR('Patent Portfolio'!K11="Method",'Patent Portfolio'!K11="CRM")),TRUE(),FALSE()),FALSE()))</f>
        <v>0</v>
      </c>
      <c r="K11" s="84" t="b">
        <f aca="false">IF(Configuration!$C$18="No","",IFERROR(IF(N('Patent Portfolio'!J11)&gt;=Configuration!$C$45,TRUE(),FALSE()),FALSE()))</f>
        <v>0</v>
      </c>
      <c r="L11" s="84" t="b">
        <f aca="false">IF(Configuration!$C$19="No","",IFERROR(IF('Patent Portfolio'!AA11&lt;&gt;"",TRUE(),FALSE()),FALSE()))</f>
        <v>1</v>
      </c>
      <c r="M11" s="84" t="b">
        <f aca="false">IF(Configuration!$C$20="No","",IFERROR(IF('Patent Portfolio'!K11&lt;&gt;"",TRUE(),FALSE()),FALSE()))</f>
        <v>1</v>
      </c>
      <c r="N11" s="84" t="b">
        <f aca="false">IF(Configuration!$C$21="No","",IFERROR(IF(OR(N('Patent Portfolio'!O11)&gt;=Configuration!$C$46,N('Patent Portfolio'!P11)&gt;=Configuration!$C$47),TRUE(),FALSE()),FALSE()))</f>
        <v>1</v>
      </c>
      <c r="O11" s="84" t="b">
        <f aca="false">IF(Configuration!$C$22="No","",IFERROR(IF('Patent Portfolio'!X11="Yes",TRUE(),FALSE()),FALSE()))</f>
        <v>1</v>
      </c>
      <c r="P11" s="84" t="b">
        <f aca="false">IF(Configuration!$C$23="No","",IFERROR(IF(N('Patent Portfolio'!R11)&gt;=Configuration!$C$48,TRUE(),FALSE()),FALSE()))</f>
        <v>1</v>
      </c>
      <c r="Q11" s="84" t="b">
        <f aca="false">IF(Configuration!$C$24="No","",IFERROR(IF(N('Patent Portfolio'!U11)&gt;0,TRUE(),FALSE()),FALSE()))</f>
        <v>1</v>
      </c>
      <c r="R11" s="84" t="b">
        <f aca="false">IF(Configuration!$C$25="No","",IFERROR(IF(OR(N('Patent Portfolio'!L11)=3,N('Patent Portfolio'!L11)&lt;=1),TRUE(),FALSE()),FALSE()))</f>
        <v>0</v>
      </c>
      <c r="S11" s="84" t="b">
        <f aca="false">IF(Configuration!$C$26="No","",IFERROR(IF(N('Patent Portfolio'!AB11)&gt;=Configuration!$C$49,TRUE(),FALSE()),FALSE()))</f>
        <v>1</v>
      </c>
      <c r="T11" s="84" t="b">
        <f aca="false">IF(Configuration!$C$27="No","",IFERROR(IF('Patent Portfolio'!Z11&lt;&gt;"",TRUE(),FALSE()),FALSE()))</f>
        <v>1</v>
      </c>
      <c r="U11" s="84" t="b">
        <f aca="false">IF(Configuration!$C$28="No","",IFERROR(IF(N('Patent Portfolio'!Q11)&gt;=Configuration!$C$50,TRUE(),FALSE()),FALSE()))</f>
        <v>1</v>
      </c>
      <c r="V11" s="84" t="b">
        <f aca="false">IF(Configuration!$C$29="No","",IFERROR(IF(AND(N('Patent Portfolio'!N11)&gt;=Configuration!$C$51,'Patent Portfolio'!C11&lt;&gt;""),TRUE(),FALSE()),FALSE()))</f>
        <v>1</v>
      </c>
      <c r="W11" s="84" t="b">
        <f aca="false">IF(Configuration!$C$30="No","",IFERROR(IF(OR('Patent Portfolio'!S11="Pending",'Patent Portfolio'!T11="Yes"),TRUE(),FALSE()),FALSE()))</f>
        <v>0</v>
      </c>
      <c r="X11" s="84" t="b">
        <f aca="false">IF(Configuration!$C$31="No","",IFERROR(IF(AND(N('Patent Portfolio'!AC11)&gt;=Configuration!$C$52,N('Patent Portfolio'!L11)&gt;=1),TRUE(),FALSE()),FALSE()))</f>
        <v>1</v>
      </c>
      <c r="Y11" s="84" t="b">
        <f aca="false">IF(Configuration!$C$32="No","",IFERROR(IF(AND(N('Patent Portfolio'!N11)&gt;=1,OR('Patent Portfolio'!C11&lt;&gt;"",'Patent Portfolio'!I11&lt;&gt;"")),TRUE(),FALSE()),FALSE()))</f>
        <v>1</v>
      </c>
      <c r="Z11" s="84" t="b">
        <f aca="false">IF(Configuration!$C$33="No","",IFERROR(IF('Patent Portfolio'!C11&lt;&gt;"",TRUE(),FALSE()),FALSE()))</f>
        <v>1</v>
      </c>
      <c r="AA11" s="84" t="b">
        <f aca="false">IF(Configuration!$C$34="No","",IFERROR(IF('Patent Portfolio'!T11="Yes",TRUE(),FALSE()),FALSE()))</f>
        <v>0</v>
      </c>
      <c r="AB11" s="84" t="b">
        <f aca="false">IF(Configuration!$C$35="No","",IFERROR(IF(OR('Patent Portfolio'!AK11="Partial",'Patent Portfolio'!AK11="Full"),TRUE(),FALSE()),FALSE()))</f>
        <v>1</v>
      </c>
      <c r="AC11" s="84" t="b">
        <f aca="false">IF(Configuration!$C$36="No","",IFERROR(IF('Patent Portfolio'!AI11="Survived",TRUE(),FALSE()),FALSE()))</f>
        <v>0</v>
      </c>
      <c r="AD11" s="84" t="b">
        <f aca="false">IF(Configuration!$C$37="No","",IFERROR(IF(AND('Patent Portfolio'!AJ11="Clean",'Patent Portfolio'!AL11="None"),TRUE(),FALSE()),FALSE()))</f>
        <v>1</v>
      </c>
      <c r="AE11" s="84" t="b">
        <f aca="false">IF(Configuration!$C$38="No","",IFERROR(IF(N('Patent Portfolio'!AG11)&gt;=Configuration!$C$53,TRUE(),FALSE()),FALSE()))</f>
        <v>1</v>
      </c>
      <c r="AF11" s="84" t="b">
        <f aca="false">IF(Configuration!$C$39="No","",IFERROR(IF(AND(N('Patent Portfolio'!AO11)&gt;=2,N('Patent Portfolio'!AB11)&gt;=2),TRUE(),FALSE()),FALSE()))</f>
        <v>1</v>
      </c>
      <c r="AG11" s="84" t="b">
        <f aca="false">IF(Configuration!$C$40="No","",IFERROR(IF(OR(N('Patent Portfolio'!AC11)&lt;=Configuration!$C$56,N('Patent Portfolio'!U11)&lt;Configuration!$C$57,N('Patent Portfolio'!AD11)&lt;=Configuration!$C$58),TRUE(),FALSE()),FALSE()))</f>
        <v>0</v>
      </c>
      <c r="AH11" s="84" t="b">
        <f aca="false">IF(Configuration!$C$41="No","",IFERROR(IF(AND(N('Patent Portfolio'!U11)&gt;=Configuration!$C$54,N('Patent Portfolio'!U11)&lt;=Configuration!$C$55),TRUE(),FALSE()),FALSE()))</f>
        <v>0</v>
      </c>
      <c r="AI11" s="84" t="b">
        <f aca="false">IF(Configuration!$C$42="No","",IFERROR(IF(AND('Patent Portfolio'!C11&lt;&gt;"",'Patent Portfolio'!F11&lt;&gt;""),TRUE(),FALSE()),FALSE()))</f>
        <v>1</v>
      </c>
      <c r="AJ11" s="82" t="n">
        <f aca="false">COUNTIF(C11:AI11,TRUE())</f>
        <v>22</v>
      </c>
    </row>
    <row r="12" customFormat="false" ht="15" hidden="false" customHeight="true" outlineLevel="0" collapsed="false">
      <c r="A12" s="20" t="str">
        <f aca="false">'Patent Portfolio'!A12</f>
        <v>P-010</v>
      </c>
      <c r="B12" s="83" t="str">
        <f aca="false">'Patent Portfolio'!B12</f>
        <v>USB-C power delivery handshake extension</v>
      </c>
      <c r="C12" s="84" t="b">
        <f aca="false">IF(Configuration!$C$10="No","",IFERROR(IF('Patent Portfolio'!C12&lt;&gt;"",TRUE(),FALSE()),FALSE()))</f>
        <v>1</v>
      </c>
      <c r="D12" s="84" t="b">
        <f aca="false">IF(Configuration!$C$11="No","",IFERROR(IF(AND(N('Patent Portfolio'!H12)&gt;=Configuration!$C$44,'Patent Portfolio'!I12&lt;&gt;""),TRUE(),FALSE()),FALSE()))</f>
        <v>1</v>
      </c>
      <c r="E12" s="84" t="b">
        <f aca="false">IF(Configuration!$C$12="No","",IFERROR(IF('Patent Portfolio'!F12&lt;&gt;"",TRUE(),FALSE()),FALSE()))</f>
        <v>1</v>
      </c>
      <c r="F12" s="84" t="b">
        <f aca="false">IF(Configuration!$C$13="No","",IFERROR(IF('Patent Portfolio'!E12&lt;&gt;"",TRUE(),FALSE()),FALSE()))</f>
        <v>1</v>
      </c>
      <c r="G12" s="84" t="b">
        <f aca="false">IF(Configuration!$C$14="No","",IFERROR(IF('Patent Portfolio'!G12&lt;&gt;"",TRUE(),FALSE()),FALSE()))</f>
        <v>1</v>
      </c>
      <c r="H12" s="84" t="b">
        <f aca="false">IF(Configuration!$C$15="No","",IFERROR(IF(AND(OR(ISNUMBER(SEARCH("process",'Patent Portfolio'!C12)),ISNUMBER(SEARCH("fab",'Patent Portfolio'!C12)),ISNUMBER(SEARCH("manufac",'Patent Portfolio'!C12))),'Patent Portfolio'!K12="Method"),TRUE(),FALSE()),FALSE()))</f>
        <v>0</v>
      </c>
      <c r="I12" s="84" t="b">
        <f aca="false">IF(Configuration!$C$16="No","",IFERROR(IF(AND(OR(ISNUMBER(SEARCH("material",'Patent Portfolio'!C12)),ISNUMBER(SEARCH("chem",'Patent Portfolio'!C12)),ISNUMBER(SEARCH("battery",'Patent Portfolio'!C12)),ISNUMBER(SEARCH("electrolyte",'Patent Portfolio'!C12)),ISNUMBER(SEARCH("polymer",'Patent Portfolio'!C12))),OR('Patent Portfolio'!K12="Apparatus",'Patent Portfolio'!K12="Method")),TRUE(),FALSE()),FALSE()))</f>
        <v>0</v>
      </c>
      <c r="J12" s="84" t="b">
        <f aca="false">IF(Configuration!$C$17="No","",IFERROR(IF(AND(OR('Patent Portfolio'!E12="App",'Patent Portfolio'!E12="Middleware",'Patent Portfolio'!E12="Cloud"),OR('Patent Portfolio'!K12="Method",'Patent Portfolio'!K12="CRM")),TRUE(),FALSE()),FALSE()))</f>
        <v>0</v>
      </c>
      <c r="K12" s="84" t="b">
        <f aca="false">IF(Configuration!$C$18="No","",IFERROR(IF(N('Patent Portfolio'!J12)&gt;=Configuration!$C$45,TRUE(),FALSE()),FALSE()))</f>
        <v>1</v>
      </c>
      <c r="L12" s="84" t="b">
        <f aca="false">IF(Configuration!$C$19="No","",IFERROR(IF('Patent Portfolio'!AA12&lt;&gt;"",TRUE(),FALSE()),FALSE()))</f>
        <v>1</v>
      </c>
      <c r="M12" s="84" t="b">
        <f aca="false">IF(Configuration!$C$20="No","",IFERROR(IF('Patent Portfolio'!K12&lt;&gt;"",TRUE(),FALSE()),FALSE()))</f>
        <v>1</v>
      </c>
      <c r="N12" s="84" t="b">
        <f aca="false">IF(Configuration!$C$21="No","",IFERROR(IF(OR(N('Patent Portfolio'!O12)&gt;=Configuration!$C$46,N('Patent Portfolio'!P12)&gt;=Configuration!$C$47),TRUE(),FALSE()),FALSE()))</f>
        <v>1</v>
      </c>
      <c r="O12" s="84" t="b">
        <f aca="false">IF(Configuration!$C$22="No","",IFERROR(IF('Patent Portfolio'!X12="Yes",TRUE(),FALSE()),FALSE()))</f>
        <v>1</v>
      </c>
      <c r="P12" s="84" t="b">
        <f aca="false">IF(Configuration!$C$23="No","",IFERROR(IF(N('Patent Portfolio'!R12)&gt;=Configuration!$C$48,TRUE(),FALSE()),FALSE()))</f>
        <v>1</v>
      </c>
      <c r="Q12" s="84" t="b">
        <f aca="false">IF(Configuration!$C$24="No","",IFERROR(IF(N('Patent Portfolio'!U12)&gt;0,TRUE(),FALSE()),FALSE()))</f>
        <v>1</v>
      </c>
      <c r="R12" s="84" t="b">
        <f aca="false">IF(Configuration!$C$25="No","",IFERROR(IF(OR(N('Patent Portfolio'!L12)=3,N('Patent Portfolio'!L12)&lt;=1),TRUE(),FALSE()),FALSE()))</f>
        <v>1</v>
      </c>
      <c r="S12" s="84" t="b">
        <f aca="false">IF(Configuration!$C$26="No","",IFERROR(IF(N('Patent Portfolio'!AB12)&gt;=Configuration!$C$49,TRUE(),FALSE()),FALSE()))</f>
        <v>1</v>
      </c>
      <c r="T12" s="84" t="b">
        <f aca="false">IF(Configuration!$C$27="No","",IFERROR(IF('Patent Portfolio'!Z12&lt;&gt;"",TRUE(),FALSE()),FALSE()))</f>
        <v>0</v>
      </c>
      <c r="U12" s="84" t="b">
        <f aca="false">IF(Configuration!$C$28="No","",IFERROR(IF(N('Patent Portfolio'!Q12)&gt;=Configuration!$C$50,TRUE(),FALSE()),FALSE()))</f>
        <v>1</v>
      </c>
      <c r="V12" s="84" t="b">
        <f aca="false">IF(Configuration!$C$29="No","",IFERROR(IF(AND(N('Patent Portfolio'!N12)&gt;=Configuration!$C$51,'Patent Portfolio'!C12&lt;&gt;""),TRUE(),FALSE()),FALSE()))</f>
        <v>1</v>
      </c>
      <c r="W12" s="84" t="b">
        <f aca="false">IF(Configuration!$C$30="No","",IFERROR(IF(OR('Patent Portfolio'!S12="Pending",'Patent Portfolio'!T12="Yes"),TRUE(),FALSE()),FALSE()))</f>
        <v>0</v>
      </c>
      <c r="X12" s="84" t="b">
        <f aca="false">IF(Configuration!$C$31="No","",IFERROR(IF(AND(N('Patent Portfolio'!AC12)&gt;=Configuration!$C$52,N('Patent Portfolio'!L12)&gt;=1),TRUE(),FALSE()),FALSE()))</f>
        <v>1</v>
      </c>
      <c r="Y12" s="84" t="b">
        <f aca="false">IF(Configuration!$C$32="No","",IFERROR(IF(AND(N('Patent Portfolio'!N12)&gt;=1,OR('Patent Portfolio'!C12&lt;&gt;"",'Patent Portfolio'!I12&lt;&gt;"")),TRUE(),FALSE()),FALSE()))</f>
        <v>1</v>
      </c>
      <c r="Z12" s="84" t="b">
        <f aca="false">IF(Configuration!$C$33="No","",IFERROR(IF('Patent Portfolio'!C12&lt;&gt;"",TRUE(),FALSE()),FALSE()))</f>
        <v>1</v>
      </c>
      <c r="AA12" s="84" t="b">
        <f aca="false">IF(Configuration!$C$34="No","",IFERROR(IF('Patent Portfolio'!T12="Yes",TRUE(),FALSE()),FALSE()))</f>
        <v>0</v>
      </c>
      <c r="AB12" s="84" t="b">
        <f aca="false">IF(Configuration!$C$35="No","",IFERROR(IF(OR('Patent Portfolio'!AK12="Partial",'Patent Portfolio'!AK12="Full"),TRUE(),FALSE()),FALSE()))</f>
        <v>1</v>
      </c>
      <c r="AC12" s="84" t="b">
        <f aca="false">IF(Configuration!$C$36="No","",IFERROR(IF('Patent Portfolio'!AI12="Survived",TRUE(),FALSE()),FALSE()))</f>
        <v>1</v>
      </c>
      <c r="AD12" s="84" t="b">
        <f aca="false">IF(Configuration!$C$37="No","",IFERROR(IF(AND('Patent Portfolio'!AJ12="Clean",'Patent Portfolio'!AL12="None"),TRUE(),FALSE()),FALSE()))</f>
        <v>1</v>
      </c>
      <c r="AE12" s="84" t="b">
        <f aca="false">IF(Configuration!$C$38="No","",IFERROR(IF(N('Patent Portfolio'!AG12)&gt;=Configuration!$C$53,TRUE(),FALSE()),FALSE()))</f>
        <v>1</v>
      </c>
      <c r="AF12" s="84" t="b">
        <f aca="false">IF(Configuration!$C$39="No","",IFERROR(IF(AND(N('Patent Portfolio'!AO12)&gt;=2,N('Patent Portfolio'!AB12)&gt;=2),TRUE(),FALSE()),FALSE()))</f>
        <v>1</v>
      </c>
      <c r="AG12" s="84" t="b">
        <f aca="false">IF(Configuration!$C$40="No","",IFERROR(IF(OR(N('Patent Portfolio'!AC12)&lt;=Configuration!$C$56,N('Patent Portfolio'!U12)&lt;Configuration!$C$57,N('Patent Portfolio'!AD12)&lt;=Configuration!$C$58),TRUE(),FALSE()),FALSE()))</f>
        <v>0</v>
      </c>
      <c r="AH12" s="84" t="b">
        <f aca="false">IF(Configuration!$C$41="No","",IFERROR(IF(AND(N('Patent Portfolio'!U12)&gt;=Configuration!$C$54,N('Patent Portfolio'!U12)&lt;=Configuration!$C$55),TRUE(),FALSE()),FALSE()))</f>
        <v>0</v>
      </c>
      <c r="AI12" s="84" t="b">
        <f aca="false">IF(Configuration!$C$42="No","",IFERROR(IF(AND('Patent Portfolio'!C12&lt;&gt;"",'Patent Portfolio'!F12&lt;&gt;""),TRUE(),FALSE()),FALSE()))</f>
        <v>1</v>
      </c>
      <c r="AJ12" s="82" t="n">
        <f aca="false">COUNTIF(C12:AI12,TRUE())</f>
        <v>25</v>
      </c>
    </row>
    <row r="13" customFormat="false" ht="23.25" hidden="false" customHeight="true" outlineLevel="0" collapsed="false">
      <c r="A13" s="20" t="str">
        <f aca="false">'Patent Portfolio'!A13</f>
        <v>P-011</v>
      </c>
      <c r="B13" s="83" t="str">
        <f aca="false">'Patent Portfolio'!B13</f>
        <v>Atomic layer deposition recipe for high-k dielectric</v>
      </c>
      <c r="C13" s="84" t="b">
        <f aca="false">IF(Configuration!$C$10="No","",IFERROR(IF('Patent Portfolio'!C13&lt;&gt;"",TRUE(),FALSE()),FALSE()))</f>
        <v>1</v>
      </c>
      <c r="D13" s="84" t="b">
        <f aca="false">IF(Configuration!$C$11="No","",IFERROR(IF(AND(N('Patent Portfolio'!H13)&gt;=Configuration!$C$44,'Patent Portfolio'!I13&lt;&gt;""),TRUE(),FALSE()),FALSE()))</f>
        <v>0</v>
      </c>
      <c r="E13" s="84" t="b">
        <f aca="false">IF(Configuration!$C$12="No","",IFERROR(IF('Patent Portfolio'!F13&lt;&gt;"",TRUE(),FALSE()),FALSE()))</f>
        <v>1</v>
      </c>
      <c r="F13" s="84" t="b">
        <f aca="false">IF(Configuration!$C$13="No","",IFERROR(IF('Patent Portfolio'!E13&lt;&gt;"",TRUE(),FALSE()),FALSE()))</f>
        <v>1</v>
      </c>
      <c r="G13" s="84" t="b">
        <f aca="false">IF(Configuration!$C$14="No","",IFERROR(IF('Patent Portfolio'!G13&lt;&gt;"",TRUE(),FALSE()),FALSE()))</f>
        <v>1</v>
      </c>
      <c r="H13" s="84" t="b">
        <f aca="false">IF(Configuration!$C$15="No","",IFERROR(IF(AND(OR(ISNUMBER(SEARCH("process",'Patent Portfolio'!C13)),ISNUMBER(SEARCH("fab",'Patent Portfolio'!C13)),ISNUMBER(SEARCH("manufac",'Patent Portfolio'!C13))),'Patent Portfolio'!K13="Method"),TRUE(),FALSE()),FALSE()))</f>
        <v>1</v>
      </c>
      <c r="I13" s="84" t="b">
        <f aca="false">IF(Configuration!$C$16="No","",IFERROR(IF(AND(OR(ISNUMBER(SEARCH("material",'Patent Portfolio'!C13)),ISNUMBER(SEARCH("chem",'Patent Portfolio'!C13)),ISNUMBER(SEARCH("battery",'Patent Portfolio'!C13)),ISNUMBER(SEARCH("electrolyte",'Patent Portfolio'!C13)),ISNUMBER(SEARCH("polymer",'Patent Portfolio'!C13))),OR('Patent Portfolio'!K13="Apparatus",'Patent Portfolio'!K13="Method")),TRUE(),FALSE()),FALSE()))</f>
        <v>0</v>
      </c>
      <c r="J13" s="84" t="b">
        <f aca="false">IF(Configuration!$C$17="No","",IFERROR(IF(AND(OR('Patent Portfolio'!E13="App",'Patent Portfolio'!E13="Middleware",'Patent Portfolio'!E13="Cloud"),OR('Patent Portfolio'!K13="Method",'Patent Portfolio'!K13="CRM")),TRUE(),FALSE()),FALSE()))</f>
        <v>0</v>
      </c>
      <c r="K13" s="84" t="b">
        <f aca="false">IF(Configuration!$C$18="No","",IFERROR(IF(N('Patent Portfolio'!J13)&gt;=Configuration!$C$45,TRUE(),FALSE()),FALSE()))</f>
        <v>0</v>
      </c>
      <c r="L13" s="84" t="b">
        <f aca="false">IF(Configuration!$C$19="No","",IFERROR(IF('Patent Portfolio'!AA13&lt;&gt;"",TRUE(),FALSE()),FALSE()))</f>
        <v>1</v>
      </c>
      <c r="M13" s="84" t="b">
        <f aca="false">IF(Configuration!$C$20="No","",IFERROR(IF('Patent Portfolio'!K13&lt;&gt;"",TRUE(),FALSE()),FALSE()))</f>
        <v>1</v>
      </c>
      <c r="N13" s="84" t="b">
        <f aca="false">IF(Configuration!$C$21="No","",IFERROR(IF(OR(N('Patent Portfolio'!O13)&gt;=Configuration!$C$46,N('Patent Portfolio'!P13)&gt;=Configuration!$C$47),TRUE(),FALSE()),FALSE()))</f>
        <v>0</v>
      </c>
      <c r="O13" s="84" t="b">
        <f aca="false">IF(Configuration!$C$22="No","",IFERROR(IF('Patent Portfolio'!X13="Yes",TRUE(),FALSE()),FALSE()))</f>
        <v>1</v>
      </c>
      <c r="P13" s="84" t="b">
        <f aca="false">IF(Configuration!$C$23="No","",IFERROR(IF(N('Patent Portfolio'!R13)&gt;=Configuration!$C$48,TRUE(),FALSE()),FALSE()))</f>
        <v>1</v>
      </c>
      <c r="Q13" s="84" t="b">
        <f aca="false">IF(Configuration!$C$24="No","",IFERROR(IF(N('Patent Portfolio'!U13)&gt;0,TRUE(),FALSE()),FALSE()))</f>
        <v>1</v>
      </c>
      <c r="R13" s="84" t="b">
        <f aca="false">IF(Configuration!$C$25="No","",IFERROR(IF(OR(N('Patent Portfolio'!L13)=3,N('Patent Portfolio'!L13)&lt;=1),TRUE(),FALSE()),FALSE()))</f>
        <v>0</v>
      </c>
      <c r="S13" s="84" t="b">
        <f aca="false">IF(Configuration!$C$26="No","",IFERROR(IF(N('Patent Portfolio'!AB13)&gt;=Configuration!$C$49,TRUE(),FALSE()),FALSE()))</f>
        <v>0</v>
      </c>
      <c r="T13" s="84" t="b">
        <f aca="false">IF(Configuration!$C$27="No","",IFERROR(IF('Patent Portfolio'!Z13&lt;&gt;"",TRUE(),FALSE()),FALSE()))</f>
        <v>0</v>
      </c>
      <c r="U13" s="84" t="b">
        <f aca="false">IF(Configuration!$C$28="No","",IFERROR(IF(N('Patent Portfolio'!Q13)&gt;=Configuration!$C$50,TRUE(),FALSE()),FALSE()))</f>
        <v>0</v>
      </c>
      <c r="V13" s="84" t="b">
        <f aca="false">IF(Configuration!$C$29="No","",IFERROR(IF(AND(N('Patent Portfolio'!N13)&gt;=Configuration!$C$51,'Patent Portfolio'!C13&lt;&gt;""),TRUE(),FALSE()),FALSE()))</f>
        <v>1</v>
      </c>
      <c r="W13" s="84" t="b">
        <f aca="false">IF(Configuration!$C$30="No","",IFERROR(IF(OR('Patent Portfolio'!S13="Pending",'Patent Portfolio'!T13="Yes"),TRUE(),FALSE()),FALSE()))</f>
        <v>1</v>
      </c>
      <c r="X13" s="84" t="b">
        <f aca="false">IF(Configuration!$C$31="No","",IFERROR(IF(AND(N('Patent Portfolio'!AC13)&gt;=Configuration!$C$52,N('Patent Portfolio'!L13)&gt;=1),TRUE(),FALSE()),FALSE()))</f>
        <v>1</v>
      </c>
      <c r="Y13" s="84" t="b">
        <f aca="false">IF(Configuration!$C$32="No","",IFERROR(IF(AND(N('Patent Portfolio'!N13)&gt;=1,OR('Patent Portfolio'!C13&lt;&gt;"",'Patent Portfolio'!I13&lt;&gt;"")),TRUE(),FALSE()),FALSE()))</f>
        <v>1</v>
      </c>
      <c r="Z13" s="84" t="b">
        <f aca="false">IF(Configuration!$C$33="No","",IFERROR(IF('Patent Portfolio'!C13&lt;&gt;"",TRUE(),FALSE()),FALSE()))</f>
        <v>1</v>
      </c>
      <c r="AA13" s="84" t="b">
        <f aca="false">IF(Configuration!$C$34="No","",IFERROR(IF('Patent Portfolio'!T13="Yes",TRUE(),FALSE()),FALSE()))</f>
        <v>1</v>
      </c>
      <c r="AB13" s="84" t="b">
        <f aca="false">IF(Configuration!$C$35="No","",IFERROR(IF(OR('Patent Portfolio'!AK13="Partial",'Patent Portfolio'!AK13="Full"),TRUE(),FALSE()),FALSE()))</f>
        <v>0</v>
      </c>
      <c r="AC13" s="84" t="b">
        <f aca="false">IF(Configuration!$C$36="No","",IFERROR(IF('Patent Portfolio'!AI13="Survived",TRUE(),FALSE()),FALSE()))</f>
        <v>0</v>
      </c>
      <c r="AD13" s="84" t="b">
        <f aca="false">IF(Configuration!$C$37="No","",IFERROR(IF(AND('Patent Portfolio'!AJ13="Clean",'Patent Portfolio'!AL13="None"),TRUE(),FALSE()),FALSE()))</f>
        <v>1</v>
      </c>
      <c r="AE13" s="84" t="b">
        <f aca="false">IF(Configuration!$C$38="No","",IFERROR(IF(N('Patent Portfolio'!AG13)&gt;=Configuration!$C$53,TRUE(),FALSE()),FALSE()))</f>
        <v>1</v>
      </c>
      <c r="AF13" s="84" t="b">
        <f aca="false">IF(Configuration!$C$39="No","",IFERROR(IF(AND(N('Patent Portfolio'!AO13)&gt;=2,N('Patent Portfolio'!AB13)&gt;=2),TRUE(),FALSE()),FALSE()))</f>
        <v>0</v>
      </c>
      <c r="AG13" s="84" t="b">
        <f aca="false">IF(Configuration!$C$40="No","",IFERROR(IF(OR(N('Patent Portfolio'!AC13)&lt;=Configuration!$C$56,N('Patent Portfolio'!U13)&lt;Configuration!$C$57,N('Patent Portfolio'!AD13)&lt;=Configuration!$C$58),TRUE(),FALSE()),FALSE()))</f>
        <v>0</v>
      </c>
      <c r="AH13" s="84" t="b">
        <f aca="false">IF(Configuration!$C$41="No","",IFERROR(IF(AND(N('Patent Portfolio'!U13)&gt;=Configuration!$C$54,N('Patent Portfolio'!U13)&lt;=Configuration!$C$55),TRUE(),FALSE()),FALSE()))</f>
        <v>0</v>
      </c>
      <c r="AI13" s="84" t="b">
        <f aca="false">IF(Configuration!$C$42="No","",IFERROR(IF(AND('Patent Portfolio'!C13&lt;&gt;"",'Patent Portfolio'!F13&lt;&gt;""),TRUE(),FALSE()),FALSE()))</f>
        <v>1</v>
      </c>
      <c r="AJ13" s="82" t="n">
        <f aca="false">COUNTIF(C13:AI13,TRUE())</f>
        <v>19</v>
      </c>
    </row>
    <row r="14" customFormat="false" ht="23.25" hidden="false" customHeight="true" outlineLevel="0" collapsed="false">
      <c r="A14" s="20" t="str">
        <f aca="false">'Patent Portfolio'!A14</f>
        <v>P-012</v>
      </c>
      <c r="B14" s="83" t="str">
        <f aca="false">'Patent Portfolio'!B14</f>
        <v>Predictive maintenance ML for industrial pumps</v>
      </c>
      <c r="C14" s="84" t="b">
        <f aca="false">IF(Configuration!$C$10="No","",IFERROR(IF('Patent Portfolio'!C14&lt;&gt;"",TRUE(),FALSE()),FALSE()))</f>
        <v>1</v>
      </c>
      <c r="D14" s="84" t="b">
        <f aca="false">IF(Configuration!$C$11="No","",IFERROR(IF(AND(N('Patent Portfolio'!H14)&gt;=Configuration!$C$44,'Patent Portfolio'!I14&lt;&gt;""),TRUE(),FALSE()),FALSE()))</f>
        <v>0</v>
      </c>
      <c r="E14" s="84" t="b">
        <f aca="false">IF(Configuration!$C$12="No","",IFERROR(IF('Patent Portfolio'!F14&lt;&gt;"",TRUE(),FALSE()),FALSE()))</f>
        <v>1</v>
      </c>
      <c r="F14" s="84" t="b">
        <f aca="false">IF(Configuration!$C$13="No","",IFERROR(IF('Patent Portfolio'!E14&lt;&gt;"",TRUE(),FALSE()),FALSE()))</f>
        <v>1</v>
      </c>
      <c r="G14" s="84" t="b">
        <f aca="false">IF(Configuration!$C$14="No","",IFERROR(IF('Patent Portfolio'!G14&lt;&gt;"",TRUE(),FALSE()),FALSE()))</f>
        <v>1</v>
      </c>
      <c r="H14" s="84" t="b">
        <f aca="false">IF(Configuration!$C$15="No","",IFERROR(IF(AND(OR(ISNUMBER(SEARCH("process",'Patent Portfolio'!C14)),ISNUMBER(SEARCH("fab",'Patent Portfolio'!C14)),ISNUMBER(SEARCH("manufac",'Patent Portfolio'!C14))),'Patent Portfolio'!K14="Method"),TRUE(),FALSE()),FALSE()))</f>
        <v>0</v>
      </c>
      <c r="I14" s="84" t="b">
        <f aca="false">IF(Configuration!$C$16="No","",IFERROR(IF(AND(OR(ISNUMBER(SEARCH("material",'Patent Portfolio'!C14)),ISNUMBER(SEARCH("chem",'Patent Portfolio'!C14)),ISNUMBER(SEARCH("battery",'Patent Portfolio'!C14)),ISNUMBER(SEARCH("electrolyte",'Patent Portfolio'!C14)),ISNUMBER(SEARCH("polymer",'Patent Portfolio'!C14))),OR('Patent Portfolio'!K14="Apparatus",'Patent Portfolio'!K14="Method")),TRUE(),FALSE()),FALSE()))</f>
        <v>0</v>
      </c>
      <c r="J14" s="84" t="b">
        <f aca="false">IF(Configuration!$C$17="No","",IFERROR(IF(AND(OR('Patent Portfolio'!E14="App",'Patent Portfolio'!E14="Middleware",'Patent Portfolio'!E14="Cloud"),OR('Patent Portfolio'!K14="Method",'Patent Portfolio'!K14="CRM")),TRUE(),FALSE()),FALSE()))</f>
        <v>1</v>
      </c>
      <c r="K14" s="84" t="b">
        <f aca="false">IF(Configuration!$C$18="No","",IFERROR(IF(N('Patent Portfolio'!J14)&gt;=Configuration!$C$45,TRUE(),FALSE()),FALSE()))</f>
        <v>0</v>
      </c>
      <c r="L14" s="84" t="b">
        <f aca="false">IF(Configuration!$C$19="No","",IFERROR(IF('Patent Portfolio'!AA14&lt;&gt;"",TRUE(),FALSE()),FALSE()))</f>
        <v>1</v>
      </c>
      <c r="M14" s="84" t="b">
        <f aca="false">IF(Configuration!$C$20="No","",IFERROR(IF('Patent Portfolio'!K14&lt;&gt;"",TRUE(),FALSE()),FALSE()))</f>
        <v>1</v>
      </c>
      <c r="N14" s="84" t="b">
        <f aca="false">IF(Configuration!$C$21="No","",IFERROR(IF(OR(N('Patent Portfolio'!O14)&gt;=Configuration!$C$46,N('Patent Portfolio'!P14)&gt;=Configuration!$C$47),TRUE(),FALSE()),FALSE()))</f>
        <v>1</v>
      </c>
      <c r="O14" s="84" t="b">
        <f aca="false">IF(Configuration!$C$22="No","",IFERROR(IF('Patent Portfolio'!X14="Yes",TRUE(),FALSE()),FALSE()))</f>
        <v>0</v>
      </c>
      <c r="P14" s="84" t="b">
        <f aca="false">IF(Configuration!$C$23="No","",IFERROR(IF(N('Patent Portfolio'!R14)&gt;=Configuration!$C$48,TRUE(),FALSE()),FALSE()))</f>
        <v>1</v>
      </c>
      <c r="Q14" s="84" t="b">
        <f aca="false">IF(Configuration!$C$24="No","",IFERROR(IF(N('Patent Portfolio'!U14)&gt;0,TRUE(),FALSE()),FALSE()))</f>
        <v>1</v>
      </c>
      <c r="R14" s="84" t="b">
        <f aca="false">IF(Configuration!$C$25="No","",IFERROR(IF(OR(N('Patent Portfolio'!L14)=3,N('Patent Portfolio'!L14)&lt;=1),TRUE(),FALSE()),FALSE()))</f>
        <v>1</v>
      </c>
      <c r="S14" s="84" t="b">
        <f aca="false">IF(Configuration!$C$26="No","",IFERROR(IF(N('Patent Portfolio'!AB14)&gt;=Configuration!$C$49,TRUE(),FALSE()),FALSE()))</f>
        <v>1</v>
      </c>
      <c r="T14" s="84" t="b">
        <f aca="false">IF(Configuration!$C$27="No","",IFERROR(IF('Patent Portfolio'!Z14&lt;&gt;"",TRUE(),FALSE()),FALSE()))</f>
        <v>1</v>
      </c>
      <c r="U14" s="84" t="b">
        <f aca="false">IF(Configuration!$C$28="No","",IFERROR(IF(N('Patent Portfolio'!Q14)&gt;=Configuration!$C$50,TRUE(),FALSE()),FALSE()))</f>
        <v>0</v>
      </c>
      <c r="V14" s="84" t="b">
        <f aca="false">IF(Configuration!$C$29="No","",IFERROR(IF(AND(N('Patent Portfolio'!N14)&gt;=Configuration!$C$51,'Patent Portfolio'!C14&lt;&gt;""),TRUE(),FALSE()),FALSE()))</f>
        <v>0</v>
      </c>
      <c r="W14" s="84" t="b">
        <f aca="false">IF(Configuration!$C$30="No","",IFERROR(IF(OR('Patent Portfolio'!S14="Pending",'Patent Portfolio'!T14="Yes"),TRUE(),FALSE()),FALSE()))</f>
        <v>0</v>
      </c>
      <c r="X14" s="84" t="b">
        <f aca="false">IF(Configuration!$C$31="No","",IFERROR(IF(AND(N('Patent Portfolio'!AC14)&gt;=Configuration!$C$52,N('Patent Portfolio'!L14)&gt;=1),TRUE(),FALSE()),FALSE()))</f>
        <v>0</v>
      </c>
      <c r="Y14" s="84" t="b">
        <f aca="false">IF(Configuration!$C$32="No","",IFERROR(IF(AND(N('Patent Portfolio'!N14)&gt;=1,OR('Patent Portfolio'!C14&lt;&gt;"",'Patent Portfolio'!I14&lt;&gt;"")),TRUE(),FALSE()),FALSE()))</f>
        <v>1</v>
      </c>
      <c r="Z14" s="84" t="b">
        <f aca="false">IF(Configuration!$C$33="No","",IFERROR(IF('Patent Portfolio'!C14&lt;&gt;"",TRUE(),FALSE()),FALSE()))</f>
        <v>1</v>
      </c>
      <c r="AA14" s="84" t="b">
        <f aca="false">IF(Configuration!$C$34="No","",IFERROR(IF('Patent Portfolio'!T14="Yes",TRUE(),FALSE()),FALSE()))</f>
        <v>0</v>
      </c>
      <c r="AB14" s="84" t="b">
        <f aca="false">IF(Configuration!$C$35="No","",IFERROR(IF(OR('Patent Portfolio'!AK14="Partial",'Patent Portfolio'!AK14="Full"),TRUE(),FALSE()),FALSE()))</f>
        <v>0</v>
      </c>
      <c r="AC14" s="84" t="b">
        <f aca="false">IF(Configuration!$C$36="No","",IFERROR(IF('Patent Portfolio'!AI14="Survived",TRUE(),FALSE()),FALSE()))</f>
        <v>0</v>
      </c>
      <c r="AD14" s="84" t="b">
        <f aca="false">IF(Configuration!$C$37="No","",IFERROR(IF(AND('Patent Portfolio'!AJ14="Clean",'Patent Portfolio'!AL14="None"),TRUE(),FALSE()),FALSE()))</f>
        <v>0</v>
      </c>
      <c r="AE14" s="84" t="b">
        <f aca="false">IF(Configuration!$C$38="No","",IFERROR(IF(N('Patent Portfolio'!AG14)&gt;=Configuration!$C$53,TRUE(),FALSE()),FALSE()))</f>
        <v>0</v>
      </c>
      <c r="AF14" s="84" t="b">
        <f aca="false">IF(Configuration!$C$39="No","",IFERROR(IF(AND(N('Patent Portfolio'!AO14)&gt;=2,N('Patent Portfolio'!AB14)&gt;=2),TRUE(),FALSE()),FALSE()))</f>
        <v>1</v>
      </c>
      <c r="AG14" s="84" t="b">
        <f aca="false">IF(Configuration!$C$40="No","",IFERROR(IF(OR(N('Patent Portfolio'!AC14)&lt;=Configuration!$C$56,N('Patent Portfolio'!U14)&lt;Configuration!$C$57,N('Patent Portfolio'!AD14)&lt;=Configuration!$C$58),TRUE(),FALSE()),FALSE()))</f>
        <v>1</v>
      </c>
      <c r="AH14" s="84" t="b">
        <f aca="false">IF(Configuration!$C$41="No","",IFERROR(IF(AND(N('Patent Portfolio'!U14)&gt;=Configuration!$C$54,N('Patent Portfolio'!U14)&lt;=Configuration!$C$55),TRUE(),FALSE()),FALSE()))</f>
        <v>0</v>
      </c>
      <c r="AI14" s="84" t="b">
        <f aca="false">IF(Configuration!$C$42="No","",IFERROR(IF(AND('Patent Portfolio'!C14&lt;&gt;"",'Patent Portfolio'!F14&lt;&gt;""),TRUE(),FALSE()),FALSE()))</f>
        <v>1</v>
      </c>
      <c r="AJ14" s="82" t="n">
        <f aca="false">COUNTIF(C14:AI14,TRUE())</f>
        <v>18</v>
      </c>
    </row>
    <row r="15" customFormat="false" ht="15" hidden="false" customHeight="true" outlineLevel="0" collapsed="false">
      <c r="A15" s="20" t="n">
        <f aca="false">'Patent Portfolio'!A15</f>
        <v>0</v>
      </c>
      <c r="B15" s="83" t="n">
        <f aca="false">'Patent Portfolio'!B15</f>
        <v>0</v>
      </c>
      <c r="C15" s="84" t="b">
        <f aca="false">IF(Configuration!$C$10="No","",IFERROR(IF('Patent Portfolio'!C15&lt;&gt;"",TRUE(),FALSE()),FALSE()))</f>
        <v>0</v>
      </c>
      <c r="D15" s="84" t="b">
        <f aca="false">IF(Configuration!$C$11="No","",IFERROR(IF(AND(N('Patent Portfolio'!H15)&gt;=Configuration!$C$44,'Patent Portfolio'!I15&lt;&gt;""),TRUE(),FALSE()),FALSE()))</f>
        <v>0</v>
      </c>
      <c r="E15" s="84" t="b">
        <f aca="false">IF(Configuration!$C$12="No","",IFERROR(IF('Patent Portfolio'!F15&lt;&gt;"",TRUE(),FALSE()),FALSE()))</f>
        <v>0</v>
      </c>
      <c r="F15" s="84" t="b">
        <f aca="false">IF(Configuration!$C$13="No","",IFERROR(IF('Patent Portfolio'!E15&lt;&gt;"",TRUE(),FALSE()),FALSE()))</f>
        <v>0</v>
      </c>
      <c r="G15" s="84" t="b">
        <f aca="false">IF(Configuration!$C$14="No","",IFERROR(IF('Patent Portfolio'!G15&lt;&gt;"",TRUE(),FALSE()),FALSE()))</f>
        <v>0</v>
      </c>
      <c r="H15" s="84" t="b">
        <f aca="false">IF(Configuration!$C$15="No","",IFERROR(IF(AND(OR(ISNUMBER(SEARCH("process",'Patent Portfolio'!C15)),ISNUMBER(SEARCH("fab",'Patent Portfolio'!C15)),ISNUMBER(SEARCH("manufac",'Patent Portfolio'!C15))),'Patent Portfolio'!K15="Method"),TRUE(),FALSE()),FALSE()))</f>
        <v>0</v>
      </c>
      <c r="I15" s="84" t="b">
        <f aca="false">IF(Configuration!$C$16="No","",IFERROR(IF(AND(OR(ISNUMBER(SEARCH("material",'Patent Portfolio'!C15)),ISNUMBER(SEARCH("chem",'Patent Portfolio'!C15)),ISNUMBER(SEARCH("battery",'Patent Portfolio'!C15)),ISNUMBER(SEARCH("electrolyte",'Patent Portfolio'!C15)),ISNUMBER(SEARCH("polymer",'Patent Portfolio'!C15))),OR('Patent Portfolio'!K15="Apparatus",'Patent Portfolio'!K15="Method")),TRUE(),FALSE()),FALSE()))</f>
        <v>0</v>
      </c>
      <c r="J15" s="84" t="b">
        <f aca="false">IF(Configuration!$C$17="No","",IFERROR(IF(AND(OR('Patent Portfolio'!E15="App",'Patent Portfolio'!E15="Middleware",'Patent Portfolio'!E15="Cloud"),OR('Patent Portfolio'!K15="Method",'Patent Portfolio'!K15="CRM")),TRUE(),FALSE()),FALSE()))</f>
        <v>0</v>
      </c>
      <c r="K15" s="84" t="b">
        <f aca="false">IF(Configuration!$C$18="No","",IFERROR(IF(N('Patent Portfolio'!J15)&gt;=Configuration!$C$45,TRUE(),FALSE()),FALSE()))</f>
        <v>0</v>
      </c>
      <c r="L15" s="84" t="b">
        <f aca="false">IF(Configuration!$C$19="No","",IFERROR(IF('Patent Portfolio'!AA15&lt;&gt;"",TRUE(),FALSE()),FALSE()))</f>
        <v>0</v>
      </c>
      <c r="M15" s="84" t="b">
        <f aca="false">IF(Configuration!$C$20="No","",IFERROR(IF('Patent Portfolio'!K15&lt;&gt;"",TRUE(),FALSE()),FALSE()))</f>
        <v>0</v>
      </c>
      <c r="N15" s="84" t="b">
        <f aca="false">IF(Configuration!$C$21="No","",IFERROR(IF(OR(N('Patent Portfolio'!O15)&gt;=Configuration!$C$46,N('Patent Portfolio'!P15)&gt;=Configuration!$C$47),TRUE(),FALSE()),FALSE()))</f>
        <v>0</v>
      </c>
      <c r="O15" s="84" t="b">
        <f aca="false">IF(Configuration!$C$22="No","",IFERROR(IF('Patent Portfolio'!X15="Yes",TRUE(),FALSE()),FALSE()))</f>
        <v>0</v>
      </c>
      <c r="P15" s="84" t="b">
        <f aca="false">IF(Configuration!$C$23="No","",IFERROR(IF(N('Patent Portfolio'!R15)&gt;=Configuration!$C$48,TRUE(),FALSE()),FALSE()))</f>
        <v>0</v>
      </c>
      <c r="Q15" s="84" t="b">
        <f aca="false">IF(Configuration!$C$24="No","",IFERROR(IF(N('Patent Portfolio'!U15)&gt;0,TRUE(),FALSE()),FALSE()))</f>
        <v>0</v>
      </c>
      <c r="R15" s="84" t="b">
        <f aca="false">IF(Configuration!$C$25="No","",IFERROR(IF(OR(N('Patent Portfolio'!L15)=3,N('Patent Portfolio'!L15)&lt;=1),TRUE(),FALSE()),FALSE()))</f>
        <v>1</v>
      </c>
      <c r="S15" s="84" t="b">
        <f aca="false">IF(Configuration!$C$26="No","",IFERROR(IF(N('Patent Portfolio'!AB15)&gt;=Configuration!$C$49,TRUE(),FALSE()),FALSE()))</f>
        <v>0</v>
      </c>
      <c r="T15" s="84" t="b">
        <f aca="false">IF(Configuration!$C$27="No","",IFERROR(IF('Patent Portfolio'!Z15&lt;&gt;"",TRUE(),FALSE()),FALSE()))</f>
        <v>0</v>
      </c>
      <c r="U15" s="84" t="b">
        <f aca="false">IF(Configuration!$C$28="No","",IFERROR(IF(N('Patent Portfolio'!Q15)&gt;=Configuration!$C$50,TRUE(),FALSE()),FALSE()))</f>
        <v>0</v>
      </c>
      <c r="V15" s="84" t="b">
        <f aca="false">IF(Configuration!$C$29="No","",IFERROR(IF(AND(N('Patent Portfolio'!N15)&gt;=Configuration!$C$51,'Patent Portfolio'!C15&lt;&gt;""),TRUE(),FALSE()),FALSE()))</f>
        <v>0</v>
      </c>
      <c r="W15" s="84" t="b">
        <f aca="false">IF(Configuration!$C$30="No","",IFERROR(IF(OR('Patent Portfolio'!S15="Pending",'Patent Portfolio'!T15="Yes"),TRUE(),FALSE()),FALSE()))</f>
        <v>0</v>
      </c>
      <c r="X15" s="84" t="b">
        <f aca="false">IF(Configuration!$C$31="No","",IFERROR(IF(AND(N('Patent Portfolio'!AC15)&gt;=Configuration!$C$52,N('Patent Portfolio'!L15)&gt;=1),TRUE(),FALSE()),FALSE()))</f>
        <v>0</v>
      </c>
      <c r="Y15" s="84" t="b">
        <f aca="false">IF(Configuration!$C$32="No","",IFERROR(IF(AND(N('Patent Portfolio'!N15)&gt;=1,OR('Patent Portfolio'!C15&lt;&gt;"",'Patent Portfolio'!I15&lt;&gt;"")),TRUE(),FALSE()),FALSE()))</f>
        <v>0</v>
      </c>
      <c r="Z15" s="84" t="b">
        <f aca="false">IF(Configuration!$C$33="No","",IFERROR(IF('Patent Portfolio'!C15&lt;&gt;"",TRUE(),FALSE()),FALSE()))</f>
        <v>0</v>
      </c>
      <c r="AA15" s="84" t="b">
        <f aca="false">IF(Configuration!$C$34="No","",IFERROR(IF('Patent Portfolio'!T15="Yes",TRUE(),FALSE()),FALSE()))</f>
        <v>0</v>
      </c>
      <c r="AB15" s="84" t="b">
        <f aca="false">IF(Configuration!$C$35="No","",IFERROR(IF(OR('Patent Portfolio'!AK15="Partial",'Patent Portfolio'!AK15="Full"),TRUE(),FALSE()),FALSE()))</f>
        <v>0</v>
      </c>
      <c r="AC15" s="84" t="b">
        <f aca="false">IF(Configuration!$C$36="No","",IFERROR(IF('Patent Portfolio'!AI15="Survived",TRUE(),FALSE()),FALSE()))</f>
        <v>0</v>
      </c>
      <c r="AD15" s="84" t="b">
        <f aca="false">IF(Configuration!$C$37="No","",IFERROR(IF(AND('Patent Portfolio'!AJ15="Clean",'Patent Portfolio'!AL15="None"),TRUE(),FALSE()),FALSE()))</f>
        <v>0</v>
      </c>
      <c r="AE15" s="84" t="b">
        <f aca="false">IF(Configuration!$C$38="No","",IFERROR(IF(N('Patent Portfolio'!AG15)&gt;=Configuration!$C$53,TRUE(),FALSE()),FALSE()))</f>
        <v>0</v>
      </c>
      <c r="AF15" s="84" t="b">
        <f aca="false">IF(Configuration!$C$39="No","",IFERROR(IF(AND(N('Patent Portfolio'!AO15)&gt;=2,N('Patent Portfolio'!AB15)&gt;=2),TRUE(),FALSE()),FALSE()))</f>
        <v>0</v>
      </c>
      <c r="AG15" s="84" t="b">
        <f aca="false">IF(Configuration!$C$40="No","",IFERROR(IF(OR(N('Patent Portfolio'!AC15)&lt;=Configuration!$C$56,N('Patent Portfolio'!U15)&lt;Configuration!$C$57,N('Patent Portfolio'!AD15)&lt;=Configuration!$C$58),TRUE(),FALSE()),FALSE()))</f>
        <v>1</v>
      </c>
      <c r="AH15" s="84" t="b">
        <f aca="false">IF(Configuration!$C$41="No","",IFERROR(IF(AND(N('Patent Portfolio'!U15)&gt;=Configuration!$C$54,N('Patent Portfolio'!U15)&lt;=Configuration!$C$55),TRUE(),FALSE()),FALSE()))</f>
        <v>0</v>
      </c>
      <c r="AI15" s="84" t="b">
        <f aca="false">IF(Configuration!$C$42="No","",IFERROR(IF(AND('Patent Portfolio'!C15&lt;&gt;"",'Patent Portfolio'!F15&lt;&gt;""),TRUE(),FALSE()),FALSE()))</f>
        <v>0</v>
      </c>
      <c r="AJ15" s="82" t="n">
        <f aca="false">COUNTIF(C15:AI15,TRUE())</f>
        <v>2</v>
      </c>
    </row>
    <row r="16" customFormat="false" ht="15" hidden="false" customHeight="true" outlineLevel="0" collapsed="false">
      <c r="A16" s="20" t="n">
        <f aca="false">'Patent Portfolio'!A16</f>
        <v>0</v>
      </c>
      <c r="B16" s="83" t="n">
        <f aca="false">'Patent Portfolio'!B16</f>
        <v>0</v>
      </c>
      <c r="C16" s="84" t="b">
        <f aca="false">IF(Configuration!$C$10="No","",IFERROR(IF('Patent Portfolio'!C16&lt;&gt;"",TRUE(),FALSE()),FALSE()))</f>
        <v>0</v>
      </c>
      <c r="D16" s="84" t="b">
        <f aca="false">IF(Configuration!$C$11="No","",IFERROR(IF(AND(N('Patent Portfolio'!H16)&gt;=Configuration!$C$44,'Patent Portfolio'!I16&lt;&gt;""),TRUE(),FALSE()),FALSE()))</f>
        <v>0</v>
      </c>
      <c r="E16" s="84" t="b">
        <f aca="false">IF(Configuration!$C$12="No","",IFERROR(IF('Patent Portfolio'!F16&lt;&gt;"",TRUE(),FALSE()),FALSE()))</f>
        <v>0</v>
      </c>
      <c r="F16" s="84" t="b">
        <f aca="false">IF(Configuration!$C$13="No","",IFERROR(IF('Patent Portfolio'!E16&lt;&gt;"",TRUE(),FALSE()),FALSE()))</f>
        <v>0</v>
      </c>
      <c r="G16" s="84" t="b">
        <f aca="false">IF(Configuration!$C$14="No","",IFERROR(IF('Patent Portfolio'!G16&lt;&gt;"",TRUE(),FALSE()),FALSE()))</f>
        <v>0</v>
      </c>
      <c r="H16" s="84" t="b">
        <f aca="false">IF(Configuration!$C$15="No","",IFERROR(IF(AND(OR(ISNUMBER(SEARCH("process",'Patent Portfolio'!C16)),ISNUMBER(SEARCH("fab",'Patent Portfolio'!C16)),ISNUMBER(SEARCH("manufac",'Patent Portfolio'!C16))),'Patent Portfolio'!K16="Method"),TRUE(),FALSE()),FALSE()))</f>
        <v>0</v>
      </c>
      <c r="I16" s="84" t="b">
        <f aca="false">IF(Configuration!$C$16="No","",IFERROR(IF(AND(OR(ISNUMBER(SEARCH("material",'Patent Portfolio'!C16)),ISNUMBER(SEARCH("chem",'Patent Portfolio'!C16)),ISNUMBER(SEARCH("battery",'Patent Portfolio'!C16)),ISNUMBER(SEARCH("electrolyte",'Patent Portfolio'!C16)),ISNUMBER(SEARCH("polymer",'Patent Portfolio'!C16))),OR('Patent Portfolio'!K16="Apparatus",'Patent Portfolio'!K16="Method")),TRUE(),FALSE()),FALSE()))</f>
        <v>0</v>
      </c>
      <c r="J16" s="84" t="b">
        <f aca="false">IF(Configuration!$C$17="No","",IFERROR(IF(AND(OR('Patent Portfolio'!E16="App",'Patent Portfolio'!E16="Middleware",'Patent Portfolio'!E16="Cloud"),OR('Patent Portfolio'!K16="Method",'Patent Portfolio'!K16="CRM")),TRUE(),FALSE()),FALSE()))</f>
        <v>0</v>
      </c>
      <c r="K16" s="84" t="b">
        <f aca="false">IF(Configuration!$C$18="No","",IFERROR(IF(N('Patent Portfolio'!J16)&gt;=Configuration!$C$45,TRUE(),FALSE()),FALSE()))</f>
        <v>0</v>
      </c>
      <c r="L16" s="84" t="b">
        <f aca="false">IF(Configuration!$C$19="No","",IFERROR(IF('Patent Portfolio'!AA16&lt;&gt;"",TRUE(),FALSE()),FALSE()))</f>
        <v>0</v>
      </c>
      <c r="M16" s="84" t="b">
        <f aca="false">IF(Configuration!$C$20="No","",IFERROR(IF('Patent Portfolio'!K16&lt;&gt;"",TRUE(),FALSE()),FALSE()))</f>
        <v>0</v>
      </c>
      <c r="N16" s="84" t="b">
        <f aca="false">IF(Configuration!$C$21="No","",IFERROR(IF(OR(N('Patent Portfolio'!O16)&gt;=Configuration!$C$46,N('Patent Portfolio'!P16)&gt;=Configuration!$C$47),TRUE(),FALSE()),FALSE()))</f>
        <v>0</v>
      </c>
      <c r="O16" s="84" t="b">
        <f aca="false">IF(Configuration!$C$22="No","",IFERROR(IF('Patent Portfolio'!X16="Yes",TRUE(),FALSE()),FALSE()))</f>
        <v>0</v>
      </c>
      <c r="P16" s="84" t="b">
        <f aca="false">IF(Configuration!$C$23="No","",IFERROR(IF(N('Patent Portfolio'!R16)&gt;=Configuration!$C$48,TRUE(),FALSE()),FALSE()))</f>
        <v>0</v>
      </c>
      <c r="Q16" s="84" t="b">
        <f aca="false">IF(Configuration!$C$24="No","",IFERROR(IF(N('Patent Portfolio'!U16)&gt;0,TRUE(),FALSE()),FALSE()))</f>
        <v>0</v>
      </c>
      <c r="R16" s="84" t="b">
        <f aca="false">IF(Configuration!$C$25="No","",IFERROR(IF(OR(N('Patent Portfolio'!L16)=3,N('Patent Portfolio'!L16)&lt;=1),TRUE(),FALSE()),FALSE()))</f>
        <v>1</v>
      </c>
      <c r="S16" s="84" t="b">
        <f aca="false">IF(Configuration!$C$26="No","",IFERROR(IF(N('Patent Portfolio'!AB16)&gt;=Configuration!$C$49,TRUE(),FALSE()),FALSE()))</f>
        <v>0</v>
      </c>
      <c r="T16" s="84" t="b">
        <f aca="false">IF(Configuration!$C$27="No","",IFERROR(IF('Patent Portfolio'!Z16&lt;&gt;"",TRUE(),FALSE()),FALSE()))</f>
        <v>0</v>
      </c>
      <c r="U16" s="84" t="b">
        <f aca="false">IF(Configuration!$C$28="No","",IFERROR(IF(N('Patent Portfolio'!Q16)&gt;=Configuration!$C$50,TRUE(),FALSE()),FALSE()))</f>
        <v>0</v>
      </c>
      <c r="V16" s="84" t="b">
        <f aca="false">IF(Configuration!$C$29="No","",IFERROR(IF(AND(N('Patent Portfolio'!N16)&gt;=Configuration!$C$51,'Patent Portfolio'!C16&lt;&gt;""),TRUE(),FALSE()),FALSE()))</f>
        <v>0</v>
      </c>
      <c r="W16" s="84" t="b">
        <f aca="false">IF(Configuration!$C$30="No","",IFERROR(IF(OR('Patent Portfolio'!S16="Pending",'Patent Portfolio'!T16="Yes"),TRUE(),FALSE()),FALSE()))</f>
        <v>0</v>
      </c>
      <c r="X16" s="84" t="b">
        <f aca="false">IF(Configuration!$C$31="No","",IFERROR(IF(AND(N('Patent Portfolio'!AC16)&gt;=Configuration!$C$52,N('Patent Portfolio'!L16)&gt;=1),TRUE(),FALSE()),FALSE()))</f>
        <v>0</v>
      </c>
      <c r="Y16" s="84" t="b">
        <f aca="false">IF(Configuration!$C$32="No","",IFERROR(IF(AND(N('Patent Portfolio'!N16)&gt;=1,OR('Patent Portfolio'!C16&lt;&gt;"",'Patent Portfolio'!I16&lt;&gt;"")),TRUE(),FALSE()),FALSE()))</f>
        <v>0</v>
      </c>
      <c r="Z16" s="84" t="b">
        <f aca="false">IF(Configuration!$C$33="No","",IFERROR(IF('Patent Portfolio'!C16&lt;&gt;"",TRUE(),FALSE()),FALSE()))</f>
        <v>0</v>
      </c>
      <c r="AA16" s="84" t="b">
        <f aca="false">IF(Configuration!$C$34="No","",IFERROR(IF('Patent Portfolio'!T16="Yes",TRUE(),FALSE()),FALSE()))</f>
        <v>0</v>
      </c>
      <c r="AB16" s="84" t="b">
        <f aca="false">IF(Configuration!$C$35="No","",IFERROR(IF(OR('Patent Portfolio'!AK16="Partial",'Patent Portfolio'!AK16="Full"),TRUE(),FALSE()),FALSE()))</f>
        <v>0</v>
      </c>
      <c r="AC16" s="84" t="b">
        <f aca="false">IF(Configuration!$C$36="No","",IFERROR(IF('Patent Portfolio'!AI16="Survived",TRUE(),FALSE()),FALSE()))</f>
        <v>0</v>
      </c>
      <c r="AD16" s="84" t="b">
        <f aca="false">IF(Configuration!$C$37="No","",IFERROR(IF(AND('Patent Portfolio'!AJ16="Clean",'Patent Portfolio'!AL16="None"),TRUE(),FALSE()),FALSE()))</f>
        <v>0</v>
      </c>
      <c r="AE16" s="84" t="b">
        <f aca="false">IF(Configuration!$C$38="No","",IFERROR(IF(N('Patent Portfolio'!AG16)&gt;=Configuration!$C$53,TRUE(),FALSE()),FALSE()))</f>
        <v>0</v>
      </c>
      <c r="AF16" s="84" t="b">
        <f aca="false">IF(Configuration!$C$39="No","",IFERROR(IF(AND(N('Patent Portfolio'!AO16)&gt;=2,N('Patent Portfolio'!AB16)&gt;=2),TRUE(),FALSE()),FALSE()))</f>
        <v>0</v>
      </c>
      <c r="AG16" s="84" t="b">
        <f aca="false">IF(Configuration!$C$40="No","",IFERROR(IF(OR(N('Patent Portfolio'!AC16)&lt;=Configuration!$C$56,N('Patent Portfolio'!U16)&lt;Configuration!$C$57,N('Patent Portfolio'!AD16)&lt;=Configuration!$C$58),TRUE(),FALSE()),FALSE()))</f>
        <v>1</v>
      </c>
      <c r="AH16" s="84" t="b">
        <f aca="false">IF(Configuration!$C$41="No","",IFERROR(IF(AND(N('Patent Portfolio'!U16)&gt;=Configuration!$C$54,N('Patent Portfolio'!U16)&lt;=Configuration!$C$55),TRUE(),FALSE()),FALSE()))</f>
        <v>0</v>
      </c>
      <c r="AI16" s="84" t="b">
        <f aca="false">IF(Configuration!$C$42="No","",IFERROR(IF(AND('Patent Portfolio'!C16&lt;&gt;"",'Patent Portfolio'!F16&lt;&gt;""),TRUE(),FALSE()),FALSE()))</f>
        <v>0</v>
      </c>
      <c r="AJ16" s="82" t="n">
        <f aca="false">COUNTIF(C16:AI16,TRUE())</f>
        <v>2</v>
      </c>
    </row>
    <row r="17" customFormat="false" ht="15" hidden="false" customHeight="true" outlineLevel="0" collapsed="false">
      <c r="A17" s="20" t="n">
        <f aca="false">'Patent Portfolio'!A17</f>
        <v>0</v>
      </c>
      <c r="B17" s="83" t="n">
        <f aca="false">'Patent Portfolio'!B17</f>
        <v>0</v>
      </c>
      <c r="C17" s="84" t="b">
        <f aca="false">IF(Configuration!$C$10="No","",IFERROR(IF('Patent Portfolio'!C17&lt;&gt;"",TRUE(),FALSE()),FALSE()))</f>
        <v>0</v>
      </c>
      <c r="D17" s="84" t="b">
        <f aca="false">IF(Configuration!$C$11="No","",IFERROR(IF(AND(N('Patent Portfolio'!H17)&gt;=Configuration!$C$44,'Patent Portfolio'!I17&lt;&gt;""),TRUE(),FALSE()),FALSE()))</f>
        <v>0</v>
      </c>
      <c r="E17" s="84" t="b">
        <f aca="false">IF(Configuration!$C$12="No","",IFERROR(IF('Patent Portfolio'!F17&lt;&gt;"",TRUE(),FALSE()),FALSE()))</f>
        <v>0</v>
      </c>
      <c r="F17" s="84" t="b">
        <f aca="false">IF(Configuration!$C$13="No","",IFERROR(IF('Patent Portfolio'!E17&lt;&gt;"",TRUE(),FALSE()),FALSE()))</f>
        <v>0</v>
      </c>
      <c r="G17" s="84" t="b">
        <f aca="false">IF(Configuration!$C$14="No","",IFERROR(IF('Patent Portfolio'!G17&lt;&gt;"",TRUE(),FALSE()),FALSE()))</f>
        <v>0</v>
      </c>
      <c r="H17" s="84" t="b">
        <f aca="false">IF(Configuration!$C$15="No","",IFERROR(IF(AND(OR(ISNUMBER(SEARCH("process",'Patent Portfolio'!C17)),ISNUMBER(SEARCH("fab",'Patent Portfolio'!C17)),ISNUMBER(SEARCH("manufac",'Patent Portfolio'!C17))),'Patent Portfolio'!K17="Method"),TRUE(),FALSE()),FALSE()))</f>
        <v>0</v>
      </c>
      <c r="I17" s="84" t="b">
        <f aca="false">IF(Configuration!$C$16="No","",IFERROR(IF(AND(OR(ISNUMBER(SEARCH("material",'Patent Portfolio'!C17)),ISNUMBER(SEARCH("chem",'Patent Portfolio'!C17)),ISNUMBER(SEARCH("battery",'Patent Portfolio'!C17)),ISNUMBER(SEARCH("electrolyte",'Patent Portfolio'!C17)),ISNUMBER(SEARCH("polymer",'Patent Portfolio'!C17))),OR('Patent Portfolio'!K17="Apparatus",'Patent Portfolio'!K17="Method")),TRUE(),FALSE()),FALSE()))</f>
        <v>0</v>
      </c>
      <c r="J17" s="84" t="b">
        <f aca="false">IF(Configuration!$C$17="No","",IFERROR(IF(AND(OR('Patent Portfolio'!E17="App",'Patent Portfolio'!E17="Middleware",'Patent Portfolio'!E17="Cloud"),OR('Patent Portfolio'!K17="Method",'Patent Portfolio'!K17="CRM")),TRUE(),FALSE()),FALSE()))</f>
        <v>0</v>
      </c>
      <c r="K17" s="84" t="b">
        <f aca="false">IF(Configuration!$C$18="No","",IFERROR(IF(N('Patent Portfolio'!J17)&gt;=Configuration!$C$45,TRUE(),FALSE()),FALSE()))</f>
        <v>0</v>
      </c>
      <c r="L17" s="84" t="b">
        <f aca="false">IF(Configuration!$C$19="No","",IFERROR(IF('Patent Portfolio'!AA17&lt;&gt;"",TRUE(),FALSE()),FALSE()))</f>
        <v>0</v>
      </c>
      <c r="M17" s="84" t="b">
        <f aca="false">IF(Configuration!$C$20="No","",IFERROR(IF('Patent Portfolio'!K17&lt;&gt;"",TRUE(),FALSE()),FALSE()))</f>
        <v>0</v>
      </c>
      <c r="N17" s="84" t="b">
        <f aca="false">IF(Configuration!$C$21="No","",IFERROR(IF(OR(N('Patent Portfolio'!O17)&gt;=Configuration!$C$46,N('Patent Portfolio'!P17)&gt;=Configuration!$C$47),TRUE(),FALSE()),FALSE()))</f>
        <v>0</v>
      </c>
      <c r="O17" s="84" t="b">
        <f aca="false">IF(Configuration!$C$22="No","",IFERROR(IF('Patent Portfolio'!X17="Yes",TRUE(),FALSE()),FALSE()))</f>
        <v>0</v>
      </c>
      <c r="P17" s="84" t="b">
        <f aca="false">IF(Configuration!$C$23="No","",IFERROR(IF(N('Patent Portfolio'!R17)&gt;=Configuration!$C$48,TRUE(),FALSE()),FALSE()))</f>
        <v>0</v>
      </c>
      <c r="Q17" s="84" t="b">
        <f aca="false">IF(Configuration!$C$24="No","",IFERROR(IF(N('Patent Portfolio'!U17)&gt;0,TRUE(),FALSE()),FALSE()))</f>
        <v>0</v>
      </c>
      <c r="R17" s="84" t="b">
        <f aca="false">IF(Configuration!$C$25="No","",IFERROR(IF(OR(N('Patent Portfolio'!L17)=3,N('Patent Portfolio'!L17)&lt;=1),TRUE(),FALSE()),FALSE()))</f>
        <v>1</v>
      </c>
      <c r="S17" s="84" t="b">
        <f aca="false">IF(Configuration!$C$26="No","",IFERROR(IF(N('Patent Portfolio'!AB17)&gt;=Configuration!$C$49,TRUE(),FALSE()),FALSE()))</f>
        <v>0</v>
      </c>
      <c r="T17" s="84" t="b">
        <f aca="false">IF(Configuration!$C$27="No","",IFERROR(IF('Patent Portfolio'!Z17&lt;&gt;"",TRUE(),FALSE()),FALSE()))</f>
        <v>0</v>
      </c>
      <c r="U17" s="84" t="b">
        <f aca="false">IF(Configuration!$C$28="No","",IFERROR(IF(N('Patent Portfolio'!Q17)&gt;=Configuration!$C$50,TRUE(),FALSE()),FALSE()))</f>
        <v>0</v>
      </c>
      <c r="V17" s="84" t="b">
        <f aca="false">IF(Configuration!$C$29="No","",IFERROR(IF(AND(N('Patent Portfolio'!N17)&gt;=Configuration!$C$51,'Patent Portfolio'!C17&lt;&gt;""),TRUE(),FALSE()),FALSE()))</f>
        <v>0</v>
      </c>
      <c r="W17" s="84" t="b">
        <f aca="false">IF(Configuration!$C$30="No","",IFERROR(IF(OR('Patent Portfolio'!S17="Pending",'Patent Portfolio'!T17="Yes"),TRUE(),FALSE()),FALSE()))</f>
        <v>0</v>
      </c>
      <c r="X17" s="84" t="b">
        <f aca="false">IF(Configuration!$C$31="No","",IFERROR(IF(AND(N('Patent Portfolio'!AC17)&gt;=Configuration!$C$52,N('Patent Portfolio'!L17)&gt;=1),TRUE(),FALSE()),FALSE()))</f>
        <v>0</v>
      </c>
      <c r="Y17" s="84" t="b">
        <f aca="false">IF(Configuration!$C$32="No","",IFERROR(IF(AND(N('Patent Portfolio'!N17)&gt;=1,OR('Patent Portfolio'!C17&lt;&gt;"",'Patent Portfolio'!I17&lt;&gt;"")),TRUE(),FALSE()),FALSE()))</f>
        <v>0</v>
      </c>
      <c r="Z17" s="84" t="b">
        <f aca="false">IF(Configuration!$C$33="No","",IFERROR(IF('Patent Portfolio'!C17&lt;&gt;"",TRUE(),FALSE()),FALSE()))</f>
        <v>0</v>
      </c>
      <c r="AA17" s="84" t="b">
        <f aca="false">IF(Configuration!$C$34="No","",IFERROR(IF('Patent Portfolio'!T17="Yes",TRUE(),FALSE()),FALSE()))</f>
        <v>0</v>
      </c>
      <c r="AB17" s="84" t="b">
        <f aca="false">IF(Configuration!$C$35="No","",IFERROR(IF(OR('Patent Portfolio'!AK17="Partial",'Patent Portfolio'!AK17="Full"),TRUE(),FALSE()),FALSE()))</f>
        <v>0</v>
      </c>
      <c r="AC17" s="84" t="b">
        <f aca="false">IF(Configuration!$C$36="No","",IFERROR(IF('Patent Portfolio'!AI17="Survived",TRUE(),FALSE()),FALSE()))</f>
        <v>0</v>
      </c>
      <c r="AD17" s="84" t="b">
        <f aca="false">IF(Configuration!$C$37="No","",IFERROR(IF(AND('Patent Portfolio'!AJ17="Clean",'Patent Portfolio'!AL17="None"),TRUE(),FALSE()),FALSE()))</f>
        <v>0</v>
      </c>
      <c r="AE17" s="84" t="b">
        <f aca="false">IF(Configuration!$C$38="No","",IFERROR(IF(N('Patent Portfolio'!AG17)&gt;=Configuration!$C$53,TRUE(),FALSE()),FALSE()))</f>
        <v>0</v>
      </c>
      <c r="AF17" s="84" t="b">
        <f aca="false">IF(Configuration!$C$39="No","",IFERROR(IF(AND(N('Patent Portfolio'!AO17)&gt;=2,N('Patent Portfolio'!AB17)&gt;=2),TRUE(),FALSE()),FALSE()))</f>
        <v>0</v>
      </c>
      <c r="AG17" s="84" t="b">
        <f aca="false">IF(Configuration!$C$40="No","",IFERROR(IF(OR(N('Patent Portfolio'!AC17)&lt;=Configuration!$C$56,N('Patent Portfolio'!U17)&lt;Configuration!$C$57,N('Patent Portfolio'!AD17)&lt;=Configuration!$C$58),TRUE(),FALSE()),FALSE()))</f>
        <v>1</v>
      </c>
      <c r="AH17" s="84" t="b">
        <f aca="false">IF(Configuration!$C$41="No","",IFERROR(IF(AND(N('Patent Portfolio'!U17)&gt;=Configuration!$C$54,N('Patent Portfolio'!U17)&lt;=Configuration!$C$55),TRUE(),FALSE()),FALSE()))</f>
        <v>0</v>
      </c>
      <c r="AI17" s="84" t="b">
        <f aca="false">IF(Configuration!$C$42="No","",IFERROR(IF(AND('Patent Portfolio'!C17&lt;&gt;"",'Patent Portfolio'!F17&lt;&gt;""),TRUE(),FALSE()),FALSE()))</f>
        <v>0</v>
      </c>
      <c r="AJ17" s="82" t="n">
        <f aca="false">COUNTIF(C17:AI17,TRUE())</f>
        <v>2</v>
      </c>
    </row>
    <row r="18" customFormat="false" ht="15" hidden="false" customHeight="true" outlineLevel="0" collapsed="false">
      <c r="A18" s="20" t="n">
        <f aca="false">'Patent Portfolio'!A18</f>
        <v>0</v>
      </c>
      <c r="B18" s="83" t="n">
        <f aca="false">'Patent Portfolio'!B18</f>
        <v>0</v>
      </c>
      <c r="C18" s="84" t="b">
        <f aca="false">IF(Configuration!$C$10="No","",IFERROR(IF('Patent Portfolio'!C18&lt;&gt;"",TRUE(),FALSE()),FALSE()))</f>
        <v>0</v>
      </c>
      <c r="D18" s="84" t="b">
        <f aca="false">IF(Configuration!$C$11="No","",IFERROR(IF(AND(N('Patent Portfolio'!H18)&gt;=Configuration!$C$44,'Patent Portfolio'!I18&lt;&gt;""),TRUE(),FALSE()),FALSE()))</f>
        <v>0</v>
      </c>
      <c r="E18" s="84" t="b">
        <f aca="false">IF(Configuration!$C$12="No","",IFERROR(IF('Patent Portfolio'!F18&lt;&gt;"",TRUE(),FALSE()),FALSE()))</f>
        <v>0</v>
      </c>
      <c r="F18" s="84" t="b">
        <f aca="false">IF(Configuration!$C$13="No","",IFERROR(IF('Patent Portfolio'!E18&lt;&gt;"",TRUE(),FALSE()),FALSE()))</f>
        <v>0</v>
      </c>
      <c r="G18" s="84" t="b">
        <f aca="false">IF(Configuration!$C$14="No","",IFERROR(IF('Patent Portfolio'!G18&lt;&gt;"",TRUE(),FALSE()),FALSE()))</f>
        <v>0</v>
      </c>
      <c r="H18" s="84" t="b">
        <f aca="false">IF(Configuration!$C$15="No","",IFERROR(IF(AND(OR(ISNUMBER(SEARCH("process",'Patent Portfolio'!C18)),ISNUMBER(SEARCH("fab",'Patent Portfolio'!C18)),ISNUMBER(SEARCH("manufac",'Patent Portfolio'!C18))),'Patent Portfolio'!K18="Method"),TRUE(),FALSE()),FALSE()))</f>
        <v>0</v>
      </c>
      <c r="I18" s="84" t="b">
        <f aca="false">IF(Configuration!$C$16="No","",IFERROR(IF(AND(OR(ISNUMBER(SEARCH("material",'Patent Portfolio'!C18)),ISNUMBER(SEARCH("chem",'Patent Portfolio'!C18)),ISNUMBER(SEARCH("battery",'Patent Portfolio'!C18)),ISNUMBER(SEARCH("electrolyte",'Patent Portfolio'!C18)),ISNUMBER(SEARCH("polymer",'Patent Portfolio'!C18))),OR('Patent Portfolio'!K18="Apparatus",'Patent Portfolio'!K18="Method")),TRUE(),FALSE()),FALSE()))</f>
        <v>0</v>
      </c>
      <c r="J18" s="84" t="b">
        <f aca="false">IF(Configuration!$C$17="No","",IFERROR(IF(AND(OR('Patent Portfolio'!E18="App",'Patent Portfolio'!E18="Middleware",'Patent Portfolio'!E18="Cloud"),OR('Patent Portfolio'!K18="Method",'Patent Portfolio'!K18="CRM")),TRUE(),FALSE()),FALSE()))</f>
        <v>0</v>
      </c>
      <c r="K18" s="84" t="b">
        <f aca="false">IF(Configuration!$C$18="No","",IFERROR(IF(N('Patent Portfolio'!J18)&gt;=Configuration!$C$45,TRUE(),FALSE()),FALSE()))</f>
        <v>0</v>
      </c>
      <c r="L18" s="84" t="b">
        <f aca="false">IF(Configuration!$C$19="No","",IFERROR(IF('Patent Portfolio'!AA18&lt;&gt;"",TRUE(),FALSE()),FALSE()))</f>
        <v>0</v>
      </c>
      <c r="M18" s="84" t="b">
        <f aca="false">IF(Configuration!$C$20="No","",IFERROR(IF('Patent Portfolio'!K18&lt;&gt;"",TRUE(),FALSE()),FALSE()))</f>
        <v>0</v>
      </c>
      <c r="N18" s="84" t="b">
        <f aca="false">IF(Configuration!$C$21="No","",IFERROR(IF(OR(N('Patent Portfolio'!O18)&gt;=Configuration!$C$46,N('Patent Portfolio'!P18)&gt;=Configuration!$C$47),TRUE(),FALSE()),FALSE()))</f>
        <v>0</v>
      </c>
      <c r="O18" s="84" t="b">
        <f aca="false">IF(Configuration!$C$22="No","",IFERROR(IF('Patent Portfolio'!X18="Yes",TRUE(),FALSE()),FALSE()))</f>
        <v>0</v>
      </c>
      <c r="P18" s="84" t="b">
        <f aca="false">IF(Configuration!$C$23="No","",IFERROR(IF(N('Patent Portfolio'!R18)&gt;=Configuration!$C$48,TRUE(),FALSE()),FALSE()))</f>
        <v>0</v>
      </c>
      <c r="Q18" s="84" t="b">
        <f aca="false">IF(Configuration!$C$24="No","",IFERROR(IF(N('Patent Portfolio'!U18)&gt;0,TRUE(),FALSE()),FALSE()))</f>
        <v>0</v>
      </c>
      <c r="R18" s="84" t="b">
        <f aca="false">IF(Configuration!$C$25="No","",IFERROR(IF(OR(N('Patent Portfolio'!L18)=3,N('Patent Portfolio'!L18)&lt;=1),TRUE(),FALSE()),FALSE()))</f>
        <v>1</v>
      </c>
      <c r="S18" s="84" t="b">
        <f aca="false">IF(Configuration!$C$26="No","",IFERROR(IF(N('Patent Portfolio'!AB18)&gt;=Configuration!$C$49,TRUE(),FALSE()),FALSE()))</f>
        <v>0</v>
      </c>
      <c r="T18" s="84" t="b">
        <f aca="false">IF(Configuration!$C$27="No","",IFERROR(IF('Patent Portfolio'!Z18&lt;&gt;"",TRUE(),FALSE()),FALSE()))</f>
        <v>0</v>
      </c>
      <c r="U18" s="84" t="b">
        <f aca="false">IF(Configuration!$C$28="No","",IFERROR(IF(N('Patent Portfolio'!Q18)&gt;=Configuration!$C$50,TRUE(),FALSE()),FALSE()))</f>
        <v>0</v>
      </c>
      <c r="V18" s="84" t="b">
        <f aca="false">IF(Configuration!$C$29="No","",IFERROR(IF(AND(N('Patent Portfolio'!N18)&gt;=Configuration!$C$51,'Patent Portfolio'!C18&lt;&gt;""),TRUE(),FALSE()),FALSE()))</f>
        <v>0</v>
      </c>
      <c r="W18" s="84" t="b">
        <f aca="false">IF(Configuration!$C$30="No","",IFERROR(IF(OR('Patent Portfolio'!S18="Pending",'Patent Portfolio'!T18="Yes"),TRUE(),FALSE()),FALSE()))</f>
        <v>0</v>
      </c>
      <c r="X18" s="84" t="b">
        <f aca="false">IF(Configuration!$C$31="No","",IFERROR(IF(AND(N('Patent Portfolio'!AC18)&gt;=Configuration!$C$52,N('Patent Portfolio'!L18)&gt;=1),TRUE(),FALSE()),FALSE()))</f>
        <v>0</v>
      </c>
      <c r="Y18" s="84" t="b">
        <f aca="false">IF(Configuration!$C$32="No","",IFERROR(IF(AND(N('Patent Portfolio'!N18)&gt;=1,OR('Patent Portfolio'!C18&lt;&gt;"",'Patent Portfolio'!I18&lt;&gt;"")),TRUE(),FALSE()),FALSE()))</f>
        <v>0</v>
      </c>
      <c r="Z18" s="84" t="b">
        <f aca="false">IF(Configuration!$C$33="No","",IFERROR(IF('Patent Portfolio'!C18&lt;&gt;"",TRUE(),FALSE()),FALSE()))</f>
        <v>0</v>
      </c>
      <c r="AA18" s="84" t="b">
        <f aca="false">IF(Configuration!$C$34="No","",IFERROR(IF('Patent Portfolio'!T18="Yes",TRUE(),FALSE()),FALSE()))</f>
        <v>0</v>
      </c>
      <c r="AB18" s="84" t="b">
        <f aca="false">IF(Configuration!$C$35="No","",IFERROR(IF(OR('Patent Portfolio'!AK18="Partial",'Patent Portfolio'!AK18="Full"),TRUE(),FALSE()),FALSE()))</f>
        <v>0</v>
      </c>
      <c r="AC18" s="84" t="b">
        <f aca="false">IF(Configuration!$C$36="No","",IFERROR(IF('Patent Portfolio'!AI18="Survived",TRUE(),FALSE()),FALSE()))</f>
        <v>0</v>
      </c>
      <c r="AD18" s="84" t="b">
        <f aca="false">IF(Configuration!$C$37="No","",IFERROR(IF(AND('Patent Portfolio'!AJ18="Clean",'Patent Portfolio'!AL18="None"),TRUE(),FALSE()),FALSE()))</f>
        <v>0</v>
      </c>
      <c r="AE18" s="84" t="b">
        <f aca="false">IF(Configuration!$C$38="No","",IFERROR(IF(N('Patent Portfolio'!AG18)&gt;=Configuration!$C$53,TRUE(),FALSE()),FALSE()))</f>
        <v>0</v>
      </c>
      <c r="AF18" s="84" t="b">
        <f aca="false">IF(Configuration!$C$39="No","",IFERROR(IF(AND(N('Patent Portfolio'!AO18)&gt;=2,N('Patent Portfolio'!AB18)&gt;=2),TRUE(),FALSE()),FALSE()))</f>
        <v>0</v>
      </c>
      <c r="AG18" s="84" t="b">
        <f aca="false">IF(Configuration!$C$40="No","",IFERROR(IF(OR(N('Patent Portfolio'!AC18)&lt;=Configuration!$C$56,N('Patent Portfolio'!U18)&lt;Configuration!$C$57,N('Patent Portfolio'!AD18)&lt;=Configuration!$C$58),TRUE(),FALSE()),FALSE()))</f>
        <v>1</v>
      </c>
      <c r="AH18" s="84" t="b">
        <f aca="false">IF(Configuration!$C$41="No","",IFERROR(IF(AND(N('Patent Portfolio'!U18)&gt;=Configuration!$C$54,N('Patent Portfolio'!U18)&lt;=Configuration!$C$55),TRUE(),FALSE()),FALSE()))</f>
        <v>0</v>
      </c>
      <c r="AI18" s="84" t="b">
        <f aca="false">IF(Configuration!$C$42="No","",IFERROR(IF(AND('Patent Portfolio'!C18&lt;&gt;"",'Patent Portfolio'!F18&lt;&gt;""),TRUE(),FALSE()),FALSE()))</f>
        <v>0</v>
      </c>
      <c r="AJ18" s="82" t="n">
        <f aca="false">COUNTIF(C18:AI18,TRUE())</f>
        <v>2</v>
      </c>
    </row>
    <row r="19" customFormat="false" ht="15" hidden="false" customHeight="true" outlineLevel="0" collapsed="false">
      <c r="A19" s="20" t="n">
        <f aca="false">'Patent Portfolio'!A19</f>
        <v>0</v>
      </c>
      <c r="B19" s="83" t="n">
        <f aca="false">'Patent Portfolio'!B19</f>
        <v>0</v>
      </c>
      <c r="C19" s="84" t="b">
        <f aca="false">IF(Configuration!$C$10="No","",IFERROR(IF('Patent Portfolio'!C19&lt;&gt;"",TRUE(),FALSE()),FALSE()))</f>
        <v>0</v>
      </c>
      <c r="D19" s="84" t="b">
        <f aca="false">IF(Configuration!$C$11="No","",IFERROR(IF(AND(N('Patent Portfolio'!H19)&gt;=Configuration!$C$44,'Patent Portfolio'!I19&lt;&gt;""),TRUE(),FALSE()),FALSE()))</f>
        <v>0</v>
      </c>
      <c r="E19" s="84" t="b">
        <f aca="false">IF(Configuration!$C$12="No","",IFERROR(IF('Patent Portfolio'!F19&lt;&gt;"",TRUE(),FALSE()),FALSE()))</f>
        <v>0</v>
      </c>
      <c r="F19" s="84" t="b">
        <f aca="false">IF(Configuration!$C$13="No","",IFERROR(IF('Patent Portfolio'!E19&lt;&gt;"",TRUE(),FALSE()),FALSE()))</f>
        <v>0</v>
      </c>
      <c r="G19" s="84" t="b">
        <f aca="false">IF(Configuration!$C$14="No","",IFERROR(IF('Patent Portfolio'!G19&lt;&gt;"",TRUE(),FALSE()),FALSE()))</f>
        <v>0</v>
      </c>
      <c r="H19" s="84" t="b">
        <f aca="false">IF(Configuration!$C$15="No","",IFERROR(IF(AND(OR(ISNUMBER(SEARCH("process",'Patent Portfolio'!C19)),ISNUMBER(SEARCH("fab",'Patent Portfolio'!C19)),ISNUMBER(SEARCH("manufac",'Patent Portfolio'!C19))),'Patent Portfolio'!K19="Method"),TRUE(),FALSE()),FALSE()))</f>
        <v>0</v>
      </c>
      <c r="I19" s="84" t="b">
        <f aca="false">IF(Configuration!$C$16="No","",IFERROR(IF(AND(OR(ISNUMBER(SEARCH("material",'Patent Portfolio'!C19)),ISNUMBER(SEARCH("chem",'Patent Portfolio'!C19)),ISNUMBER(SEARCH("battery",'Patent Portfolio'!C19)),ISNUMBER(SEARCH("electrolyte",'Patent Portfolio'!C19)),ISNUMBER(SEARCH("polymer",'Patent Portfolio'!C19))),OR('Patent Portfolio'!K19="Apparatus",'Patent Portfolio'!K19="Method")),TRUE(),FALSE()),FALSE()))</f>
        <v>0</v>
      </c>
      <c r="J19" s="84" t="b">
        <f aca="false">IF(Configuration!$C$17="No","",IFERROR(IF(AND(OR('Patent Portfolio'!E19="App",'Patent Portfolio'!E19="Middleware",'Patent Portfolio'!E19="Cloud"),OR('Patent Portfolio'!K19="Method",'Patent Portfolio'!K19="CRM")),TRUE(),FALSE()),FALSE()))</f>
        <v>0</v>
      </c>
      <c r="K19" s="84" t="b">
        <f aca="false">IF(Configuration!$C$18="No","",IFERROR(IF(N('Patent Portfolio'!J19)&gt;=Configuration!$C$45,TRUE(),FALSE()),FALSE()))</f>
        <v>0</v>
      </c>
      <c r="L19" s="84" t="b">
        <f aca="false">IF(Configuration!$C$19="No","",IFERROR(IF('Patent Portfolio'!AA19&lt;&gt;"",TRUE(),FALSE()),FALSE()))</f>
        <v>0</v>
      </c>
      <c r="M19" s="84" t="b">
        <f aca="false">IF(Configuration!$C$20="No","",IFERROR(IF('Patent Portfolio'!K19&lt;&gt;"",TRUE(),FALSE()),FALSE()))</f>
        <v>0</v>
      </c>
      <c r="N19" s="84" t="b">
        <f aca="false">IF(Configuration!$C$21="No","",IFERROR(IF(OR(N('Patent Portfolio'!O19)&gt;=Configuration!$C$46,N('Patent Portfolio'!P19)&gt;=Configuration!$C$47),TRUE(),FALSE()),FALSE()))</f>
        <v>0</v>
      </c>
      <c r="O19" s="84" t="b">
        <f aca="false">IF(Configuration!$C$22="No","",IFERROR(IF('Patent Portfolio'!X19="Yes",TRUE(),FALSE()),FALSE()))</f>
        <v>0</v>
      </c>
      <c r="P19" s="84" t="b">
        <f aca="false">IF(Configuration!$C$23="No","",IFERROR(IF(N('Patent Portfolio'!R19)&gt;=Configuration!$C$48,TRUE(),FALSE()),FALSE()))</f>
        <v>0</v>
      </c>
      <c r="Q19" s="84" t="b">
        <f aca="false">IF(Configuration!$C$24="No","",IFERROR(IF(N('Patent Portfolio'!U19)&gt;0,TRUE(),FALSE()),FALSE()))</f>
        <v>0</v>
      </c>
      <c r="R19" s="84" t="b">
        <f aca="false">IF(Configuration!$C$25="No","",IFERROR(IF(OR(N('Patent Portfolio'!L19)=3,N('Patent Portfolio'!L19)&lt;=1),TRUE(),FALSE()),FALSE()))</f>
        <v>1</v>
      </c>
      <c r="S19" s="84" t="b">
        <f aca="false">IF(Configuration!$C$26="No","",IFERROR(IF(N('Patent Portfolio'!AB19)&gt;=Configuration!$C$49,TRUE(),FALSE()),FALSE()))</f>
        <v>0</v>
      </c>
      <c r="T19" s="84" t="b">
        <f aca="false">IF(Configuration!$C$27="No","",IFERROR(IF('Patent Portfolio'!Z19&lt;&gt;"",TRUE(),FALSE()),FALSE()))</f>
        <v>0</v>
      </c>
      <c r="U19" s="84" t="b">
        <f aca="false">IF(Configuration!$C$28="No","",IFERROR(IF(N('Patent Portfolio'!Q19)&gt;=Configuration!$C$50,TRUE(),FALSE()),FALSE()))</f>
        <v>0</v>
      </c>
      <c r="V19" s="84" t="b">
        <f aca="false">IF(Configuration!$C$29="No","",IFERROR(IF(AND(N('Patent Portfolio'!N19)&gt;=Configuration!$C$51,'Patent Portfolio'!C19&lt;&gt;""),TRUE(),FALSE()),FALSE()))</f>
        <v>0</v>
      </c>
      <c r="W19" s="84" t="b">
        <f aca="false">IF(Configuration!$C$30="No","",IFERROR(IF(OR('Patent Portfolio'!S19="Pending",'Patent Portfolio'!T19="Yes"),TRUE(),FALSE()),FALSE()))</f>
        <v>0</v>
      </c>
      <c r="X19" s="84" t="b">
        <f aca="false">IF(Configuration!$C$31="No","",IFERROR(IF(AND(N('Patent Portfolio'!AC19)&gt;=Configuration!$C$52,N('Patent Portfolio'!L19)&gt;=1),TRUE(),FALSE()),FALSE()))</f>
        <v>0</v>
      </c>
      <c r="Y19" s="84" t="b">
        <f aca="false">IF(Configuration!$C$32="No","",IFERROR(IF(AND(N('Patent Portfolio'!N19)&gt;=1,OR('Patent Portfolio'!C19&lt;&gt;"",'Patent Portfolio'!I19&lt;&gt;"")),TRUE(),FALSE()),FALSE()))</f>
        <v>0</v>
      </c>
      <c r="Z19" s="84" t="b">
        <f aca="false">IF(Configuration!$C$33="No","",IFERROR(IF('Patent Portfolio'!C19&lt;&gt;"",TRUE(),FALSE()),FALSE()))</f>
        <v>0</v>
      </c>
      <c r="AA19" s="84" t="b">
        <f aca="false">IF(Configuration!$C$34="No","",IFERROR(IF('Patent Portfolio'!T19="Yes",TRUE(),FALSE()),FALSE()))</f>
        <v>0</v>
      </c>
      <c r="AB19" s="84" t="b">
        <f aca="false">IF(Configuration!$C$35="No","",IFERROR(IF(OR('Patent Portfolio'!AK19="Partial",'Patent Portfolio'!AK19="Full"),TRUE(),FALSE()),FALSE()))</f>
        <v>0</v>
      </c>
      <c r="AC19" s="84" t="b">
        <f aca="false">IF(Configuration!$C$36="No","",IFERROR(IF('Patent Portfolio'!AI19="Survived",TRUE(),FALSE()),FALSE()))</f>
        <v>0</v>
      </c>
      <c r="AD19" s="84" t="b">
        <f aca="false">IF(Configuration!$C$37="No","",IFERROR(IF(AND('Patent Portfolio'!AJ19="Clean",'Patent Portfolio'!AL19="None"),TRUE(),FALSE()),FALSE()))</f>
        <v>0</v>
      </c>
      <c r="AE19" s="84" t="b">
        <f aca="false">IF(Configuration!$C$38="No","",IFERROR(IF(N('Patent Portfolio'!AG19)&gt;=Configuration!$C$53,TRUE(),FALSE()),FALSE()))</f>
        <v>0</v>
      </c>
      <c r="AF19" s="84" t="b">
        <f aca="false">IF(Configuration!$C$39="No","",IFERROR(IF(AND(N('Patent Portfolio'!AO19)&gt;=2,N('Patent Portfolio'!AB19)&gt;=2),TRUE(),FALSE()),FALSE()))</f>
        <v>0</v>
      </c>
      <c r="AG19" s="84" t="b">
        <f aca="false">IF(Configuration!$C$40="No","",IFERROR(IF(OR(N('Patent Portfolio'!AC19)&lt;=Configuration!$C$56,N('Patent Portfolio'!U19)&lt;Configuration!$C$57,N('Patent Portfolio'!AD19)&lt;=Configuration!$C$58),TRUE(),FALSE()),FALSE()))</f>
        <v>1</v>
      </c>
      <c r="AH19" s="84" t="b">
        <f aca="false">IF(Configuration!$C$41="No","",IFERROR(IF(AND(N('Patent Portfolio'!U19)&gt;=Configuration!$C$54,N('Patent Portfolio'!U19)&lt;=Configuration!$C$55),TRUE(),FALSE()),FALSE()))</f>
        <v>0</v>
      </c>
      <c r="AI19" s="84" t="b">
        <f aca="false">IF(Configuration!$C$42="No","",IFERROR(IF(AND('Patent Portfolio'!C19&lt;&gt;"",'Patent Portfolio'!F19&lt;&gt;""),TRUE(),FALSE()),FALSE()))</f>
        <v>0</v>
      </c>
      <c r="AJ19" s="82" t="n">
        <f aca="false">COUNTIF(C19:AI19,TRUE())</f>
        <v>2</v>
      </c>
    </row>
    <row r="20" customFormat="false" ht="15" hidden="false" customHeight="true" outlineLevel="0" collapsed="false">
      <c r="A20" s="20" t="n">
        <f aca="false">'Patent Portfolio'!A20</f>
        <v>0</v>
      </c>
      <c r="B20" s="83" t="n">
        <f aca="false">'Patent Portfolio'!B20</f>
        <v>0</v>
      </c>
      <c r="C20" s="84" t="b">
        <f aca="false">IF(Configuration!$C$10="No","",IFERROR(IF('Patent Portfolio'!C20&lt;&gt;"",TRUE(),FALSE()),FALSE()))</f>
        <v>0</v>
      </c>
      <c r="D20" s="84" t="b">
        <f aca="false">IF(Configuration!$C$11="No","",IFERROR(IF(AND(N('Patent Portfolio'!H20)&gt;=Configuration!$C$44,'Patent Portfolio'!I20&lt;&gt;""),TRUE(),FALSE()),FALSE()))</f>
        <v>0</v>
      </c>
      <c r="E20" s="84" t="b">
        <f aca="false">IF(Configuration!$C$12="No","",IFERROR(IF('Patent Portfolio'!F20&lt;&gt;"",TRUE(),FALSE()),FALSE()))</f>
        <v>0</v>
      </c>
      <c r="F20" s="84" t="b">
        <f aca="false">IF(Configuration!$C$13="No","",IFERROR(IF('Patent Portfolio'!E20&lt;&gt;"",TRUE(),FALSE()),FALSE()))</f>
        <v>0</v>
      </c>
      <c r="G20" s="84" t="b">
        <f aca="false">IF(Configuration!$C$14="No","",IFERROR(IF('Patent Portfolio'!G20&lt;&gt;"",TRUE(),FALSE()),FALSE()))</f>
        <v>0</v>
      </c>
      <c r="H20" s="84" t="b">
        <f aca="false">IF(Configuration!$C$15="No","",IFERROR(IF(AND(OR(ISNUMBER(SEARCH("process",'Patent Portfolio'!C20)),ISNUMBER(SEARCH("fab",'Patent Portfolio'!C20)),ISNUMBER(SEARCH("manufac",'Patent Portfolio'!C20))),'Patent Portfolio'!K20="Method"),TRUE(),FALSE()),FALSE()))</f>
        <v>0</v>
      </c>
      <c r="I20" s="84" t="b">
        <f aca="false">IF(Configuration!$C$16="No","",IFERROR(IF(AND(OR(ISNUMBER(SEARCH("material",'Patent Portfolio'!C20)),ISNUMBER(SEARCH("chem",'Patent Portfolio'!C20)),ISNUMBER(SEARCH("battery",'Patent Portfolio'!C20)),ISNUMBER(SEARCH("electrolyte",'Patent Portfolio'!C20)),ISNUMBER(SEARCH("polymer",'Patent Portfolio'!C20))),OR('Patent Portfolio'!K20="Apparatus",'Patent Portfolio'!K20="Method")),TRUE(),FALSE()),FALSE()))</f>
        <v>0</v>
      </c>
      <c r="J20" s="84" t="b">
        <f aca="false">IF(Configuration!$C$17="No","",IFERROR(IF(AND(OR('Patent Portfolio'!E20="App",'Patent Portfolio'!E20="Middleware",'Patent Portfolio'!E20="Cloud"),OR('Patent Portfolio'!K20="Method",'Patent Portfolio'!K20="CRM")),TRUE(),FALSE()),FALSE()))</f>
        <v>0</v>
      </c>
      <c r="K20" s="84" t="b">
        <f aca="false">IF(Configuration!$C$18="No","",IFERROR(IF(N('Patent Portfolio'!J20)&gt;=Configuration!$C$45,TRUE(),FALSE()),FALSE()))</f>
        <v>0</v>
      </c>
      <c r="L20" s="84" t="b">
        <f aca="false">IF(Configuration!$C$19="No","",IFERROR(IF('Patent Portfolio'!AA20&lt;&gt;"",TRUE(),FALSE()),FALSE()))</f>
        <v>0</v>
      </c>
      <c r="M20" s="84" t="b">
        <f aca="false">IF(Configuration!$C$20="No","",IFERROR(IF('Patent Portfolio'!K20&lt;&gt;"",TRUE(),FALSE()),FALSE()))</f>
        <v>0</v>
      </c>
      <c r="N20" s="84" t="b">
        <f aca="false">IF(Configuration!$C$21="No","",IFERROR(IF(OR(N('Patent Portfolio'!O20)&gt;=Configuration!$C$46,N('Patent Portfolio'!P20)&gt;=Configuration!$C$47),TRUE(),FALSE()),FALSE()))</f>
        <v>0</v>
      </c>
      <c r="O20" s="84" t="b">
        <f aca="false">IF(Configuration!$C$22="No","",IFERROR(IF('Patent Portfolio'!X20="Yes",TRUE(),FALSE()),FALSE()))</f>
        <v>0</v>
      </c>
      <c r="P20" s="84" t="b">
        <f aca="false">IF(Configuration!$C$23="No","",IFERROR(IF(N('Patent Portfolio'!R20)&gt;=Configuration!$C$48,TRUE(),FALSE()),FALSE()))</f>
        <v>0</v>
      </c>
      <c r="Q20" s="84" t="b">
        <f aca="false">IF(Configuration!$C$24="No","",IFERROR(IF(N('Patent Portfolio'!U20)&gt;0,TRUE(),FALSE()),FALSE()))</f>
        <v>0</v>
      </c>
      <c r="R20" s="84" t="b">
        <f aca="false">IF(Configuration!$C$25="No","",IFERROR(IF(OR(N('Patent Portfolio'!L20)=3,N('Patent Portfolio'!L20)&lt;=1),TRUE(),FALSE()),FALSE()))</f>
        <v>1</v>
      </c>
      <c r="S20" s="84" t="b">
        <f aca="false">IF(Configuration!$C$26="No","",IFERROR(IF(N('Patent Portfolio'!AB20)&gt;=Configuration!$C$49,TRUE(),FALSE()),FALSE()))</f>
        <v>0</v>
      </c>
      <c r="T20" s="84" t="b">
        <f aca="false">IF(Configuration!$C$27="No","",IFERROR(IF('Patent Portfolio'!Z20&lt;&gt;"",TRUE(),FALSE()),FALSE()))</f>
        <v>0</v>
      </c>
      <c r="U20" s="84" t="b">
        <f aca="false">IF(Configuration!$C$28="No","",IFERROR(IF(N('Patent Portfolio'!Q20)&gt;=Configuration!$C$50,TRUE(),FALSE()),FALSE()))</f>
        <v>0</v>
      </c>
      <c r="V20" s="84" t="b">
        <f aca="false">IF(Configuration!$C$29="No","",IFERROR(IF(AND(N('Patent Portfolio'!N20)&gt;=Configuration!$C$51,'Patent Portfolio'!C20&lt;&gt;""),TRUE(),FALSE()),FALSE()))</f>
        <v>0</v>
      </c>
      <c r="W20" s="84" t="b">
        <f aca="false">IF(Configuration!$C$30="No","",IFERROR(IF(OR('Patent Portfolio'!S20="Pending",'Patent Portfolio'!T20="Yes"),TRUE(),FALSE()),FALSE()))</f>
        <v>0</v>
      </c>
      <c r="X20" s="84" t="b">
        <f aca="false">IF(Configuration!$C$31="No","",IFERROR(IF(AND(N('Patent Portfolio'!AC20)&gt;=Configuration!$C$52,N('Patent Portfolio'!L20)&gt;=1),TRUE(),FALSE()),FALSE()))</f>
        <v>0</v>
      </c>
      <c r="Y20" s="84" t="b">
        <f aca="false">IF(Configuration!$C$32="No","",IFERROR(IF(AND(N('Patent Portfolio'!N20)&gt;=1,OR('Patent Portfolio'!C20&lt;&gt;"",'Patent Portfolio'!I20&lt;&gt;"")),TRUE(),FALSE()),FALSE()))</f>
        <v>0</v>
      </c>
      <c r="Z20" s="84" t="b">
        <f aca="false">IF(Configuration!$C$33="No","",IFERROR(IF('Patent Portfolio'!C20&lt;&gt;"",TRUE(),FALSE()),FALSE()))</f>
        <v>0</v>
      </c>
      <c r="AA20" s="84" t="b">
        <f aca="false">IF(Configuration!$C$34="No","",IFERROR(IF('Patent Portfolio'!T20="Yes",TRUE(),FALSE()),FALSE()))</f>
        <v>0</v>
      </c>
      <c r="AB20" s="84" t="b">
        <f aca="false">IF(Configuration!$C$35="No","",IFERROR(IF(OR('Patent Portfolio'!AK20="Partial",'Patent Portfolio'!AK20="Full"),TRUE(),FALSE()),FALSE()))</f>
        <v>0</v>
      </c>
      <c r="AC20" s="84" t="b">
        <f aca="false">IF(Configuration!$C$36="No","",IFERROR(IF('Patent Portfolio'!AI20="Survived",TRUE(),FALSE()),FALSE()))</f>
        <v>0</v>
      </c>
      <c r="AD20" s="84" t="b">
        <f aca="false">IF(Configuration!$C$37="No","",IFERROR(IF(AND('Patent Portfolio'!AJ20="Clean",'Patent Portfolio'!AL20="None"),TRUE(),FALSE()),FALSE()))</f>
        <v>0</v>
      </c>
      <c r="AE20" s="84" t="b">
        <f aca="false">IF(Configuration!$C$38="No","",IFERROR(IF(N('Patent Portfolio'!AG20)&gt;=Configuration!$C$53,TRUE(),FALSE()),FALSE()))</f>
        <v>0</v>
      </c>
      <c r="AF20" s="84" t="b">
        <f aca="false">IF(Configuration!$C$39="No","",IFERROR(IF(AND(N('Patent Portfolio'!AO20)&gt;=2,N('Patent Portfolio'!AB20)&gt;=2),TRUE(),FALSE()),FALSE()))</f>
        <v>0</v>
      </c>
      <c r="AG20" s="84" t="b">
        <f aca="false">IF(Configuration!$C$40="No","",IFERROR(IF(OR(N('Patent Portfolio'!AC20)&lt;=Configuration!$C$56,N('Patent Portfolio'!U20)&lt;Configuration!$C$57,N('Patent Portfolio'!AD20)&lt;=Configuration!$C$58),TRUE(),FALSE()),FALSE()))</f>
        <v>1</v>
      </c>
      <c r="AH20" s="84" t="b">
        <f aca="false">IF(Configuration!$C$41="No","",IFERROR(IF(AND(N('Patent Portfolio'!U20)&gt;=Configuration!$C$54,N('Patent Portfolio'!U20)&lt;=Configuration!$C$55),TRUE(),FALSE()),FALSE()))</f>
        <v>0</v>
      </c>
      <c r="AI20" s="84" t="b">
        <f aca="false">IF(Configuration!$C$42="No","",IFERROR(IF(AND('Patent Portfolio'!C20&lt;&gt;"",'Patent Portfolio'!F20&lt;&gt;""),TRUE(),FALSE()),FALSE()))</f>
        <v>0</v>
      </c>
      <c r="AJ20" s="82" t="n">
        <f aca="false">COUNTIF(C20:AI20,TRUE())</f>
        <v>2</v>
      </c>
    </row>
    <row r="21" customFormat="false" ht="15" hidden="false" customHeight="true" outlineLevel="0" collapsed="false">
      <c r="A21" s="20" t="n">
        <f aca="false">'Patent Portfolio'!A21</f>
        <v>0</v>
      </c>
      <c r="B21" s="83" t="n">
        <f aca="false">'Patent Portfolio'!B21</f>
        <v>0</v>
      </c>
      <c r="C21" s="84" t="b">
        <f aca="false">IF(Configuration!$C$10="No","",IFERROR(IF('Patent Portfolio'!C21&lt;&gt;"",TRUE(),FALSE()),FALSE()))</f>
        <v>0</v>
      </c>
      <c r="D21" s="84" t="b">
        <f aca="false">IF(Configuration!$C$11="No","",IFERROR(IF(AND(N('Patent Portfolio'!H21)&gt;=Configuration!$C$44,'Patent Portfolio'!I21&lt;&gt;""),TRUE(),FALSE()),FALSE()))</f>
        <v>0</v>
      </c>
      <c r="E21" s="84" t="b">
        <f aca="false">IF(Configuration!$C$12="No","",IFERROR(IF('Patent Portfolio'!F21&lt;&gt;"",TRUE(),FALSE()),FALSE()))</f>
        <v>0</v>
      </c>
      <c r="F21" s="84" t="b">
        <f aca="false">IF(Configuration!$C$13="No","",IFERROR(IF('Patent Portfolio'!E21&lt;&gt;"",TRUE(),FALSE()),FALSE()))</f>
        <v>0</v>
      </c>
      <c r="G21" s="84" t="b">
        <f aca="false">IF(Configuration!$C$14="No","",IFERROR(IF('Patent Portfolio'!G21&lt;&gt;"",TRUE(),FALSE()),FALSE()))</f>
        <v>0</v>
      </c>
      <c r="H21" s="84" t="b">
        <f aca="false">IF(Configuration!$C$15="No","",IFERROR(IF(AND(OR(ISNUMBER(SEARCH("process",'Patent Portfolio'!C21)),ISNUMBER(SEARCH("fab",'Patent Portfolio'!C21)),ISNUMBER(SEARCH("manufac",'Patent Portfolio'!C21))),'Patent Portfolio'!K21="Method"),TRUE(),FALSE()),FALSE()))</f>
        <v>0</v>
      </c>
      <c r="I21" s="84" t="b">
        <f aca="false">IF(Configuration!$C$16="No","",IFERROR(IF(AND(OR(ISNUMBER(SEARCH("material",'Patent Portfolio'!C21)),ISNUMBER(SEARCH("chem",'Patent Portfolio'!C21)),ISNUMBER(SEARCH("battery",'Patent Portfolio'!C21)),ISNUMBER(SEARCH("electrolyte",'Patent Portfolio'!C21)),ISNUMBER(SEARCH("polymer",'Patent Portfolio'!C21))),OR('Patent Portfolio'!K21="Apparatus",'Patent Portfolio'!K21="Method")),TRUE(),FALSE()),FALSE()))</f>
        <v>0</v>
      </c>
      <c r="J21" s="84" t="b">
        <f aca="false">IF(Configuration!$C$17="No","",IFERROR(IF(AND(OR('Patent Portfolio'!E21="App",'Patent Portfolio'!E21="Middleware",'Patent Portfolio'!E21="Cloud"),OR('Patent Portfolio'!K21="Method",'Patent Portfolio'!K21="CRM")),TRUE(),FALSE()),FALSE()))</f>
        <v>0</v>
      </c>
      <c r="K21" s="84" t="b">
        <f aca="false">IF(Configuration!$C$18="No","",IFERROR(IF(N('Patent Portfolio'!J21)&gt;=Configuration!$C$45,TRUE(),FALSE()),FALSE()))</f>
        <v>0</v>
      </c>
      <c r="L21" s="84" t="b">
        <f aca="false">IF(Configuration!$C$19="No","",IFERROR(IF('Patent Portfolio'!AA21&lt;&gt;"",TRUE(),FALSE()),FALSE()))</f>
        <v>0</v>
      </c>
      <c r="M21" s="84" t="b">
        <f aca="false">IF(Configuration!$C$20="No","",IFERROR(IF('Patent Portfolio'!K21&lt;&gt;"",TRUE(),FALSE()),FALSE()))</f>
        <v>0</v>
      </c>
      <c r="N21" s="84" t="b">
        <f aca="false">IF(Configuration!$C$21="No","",IFERROR(IF(OR(N('Patent Portfolio'!O21)&gt;=Configuration!$C$46,N('Patent Portfolio'!P21)&gt;=Configuration!$C$47),TRUE(),FALSE()),FALSE()))</f>
        <v>0</v>
      </c>
      <c r="O21" s="84" t="b">
        <f aca="false">IF(Configuration!$C$22="No","",IFERROR(IF('Patent Portfolio'!X21="Yes",TRUE(),FALSE()),FALSE()))</f>
        <v>0</v>
      </c>
      <c r="P21" s="84" t="b">
        <f aca="false">IF(Configuration!$C$23="No","",IFERROR(IF(N('Patent Portfolio'!R21)&gt;=Configuration!$C$48,TRUE(),FALSE()),FALSE()))</f>
        <v>0</v>
      </c>
      <c r="Q21" s="84" t="b">
        <f aca="false">IF(Configuration!$C$24="No","",IFERROR(IF(N('Patent Portfolio'!U21)&gt;0,TRUE(),FALSE()),FALSE()))</f>
        <v>0</v>
      </c>
      <c r="R21" s="84" t="b">
        <f aca="false">IF(Configuration!$C$25="No","",IFERROR(IF(OR(N('Patent Portfolio'!L21)=3,N('Patent Portfolio'!L21)&lt;=1),TRUE(),FALSE()),FALSE()))</f>
        <v>1</v>
      </c>
      <c r="S21" s="84" t="b">
        <f aca="false">IF(Configuration!$C$26="No","",IFERROR(IF(N('Patent Portfolio'!AB21)&gt;=Configuration!$C$49,TRUE(),FALSE()),FALSE()))</f>
        <v>0</v>
      </c>
      <c r="T21" s="84" t="b">
        <f aca="false">IF(Configuration!$C$27="No","",IFERROR(IF('Patent Portfolio'!Z21&lt;&gt;"",TRUE(),FALSE()),FALSE()))</f>
        <v>0</v>
      </c>
      <c r="U21" s="84" t="b">
        <f aca="false">IF(Configuration!$C$28="No","",IFERROR(IF(N('Patent Portfolio'!Q21)&gt;=Configuration!$C$50,TRUE(),FALSE()),FALSE()))</f>
        <v>0</v>
      </c>
      <c r="V21" s="84" t="b">
        <f aca="false">IF(Configuration!$C$29="No","",IFERROR(IF(AND(N('Patent Portfolio'!N21)&gt;=Configuration!$C$51,'Patent Portfolio'!C21&lt;&gt;""),TRUE(),FALSE()),FALSE()))</f>
        <v>0</v>
      </c>
      <c r="W21" s="84" t="b">
        <f aca="false">IF(Configuration!$C$30="No","",IFERROR(IF(OR('Patent Portfolio'!S21="Pending",'Patent Portfolio'!T21="Yes"),TRUE(),FALSE()),FALSE()))</f>
        <v>0</v>
      </c>
      <c r="X21" s="84" t="b">
        <f aca="false">IF(Configuration!$C$31="No","",IFERROR(IF(AND(N('Patent Portfolio'!AC21)&gt;=Configuration!$C$52,N('Patent Portfolio'!L21)&gt;=1),TRUE(),FALSE()),FALSE()))</f>
        <v>0</v>
      </c>
      <c r="Y21" s="84" t="b">
        <f aca="false">IF(Configuration!$C$32="No","",IFERROR(IF(AND(N('Patent Portfolio'!N21)&gt;=1,OR('Patent Portfolio'!C21&lt;&gt;"",'Patent Portfolio'!I21&lt;&gt;"")),TRUE(),FALSE()),FALSE()))</f>
        <v>0</v>
      </c>
      <c r="Z21" s="84" t="b">
        <f aca="false">IF(Configuration!$C$33="No","",IFERROR(IF('Patent Portfolio'!C21&lt;&gt;"",TRUE(),FALSE()),FALSE()))</f>
        <v>0</v>
      </c>
      <c r="AA21" s="84" t="b">
        <f aca="false">IF(Configuration!$C$34="No","",IFERROR(IF('Patent Portfolio'!T21="Yes",TRUE(),FALSE()),FALSE()))</f>
        <v>0</v>
      </c>
      <c r="AB21" s="84" t="b">
        <f aca="false">IF(Configuration!$C$35="No","",IFERROR(IF(OR('Patent Portfolio'!AK21="Partial",'Patent Portfolio'!AK21="Full"),TRUE(),FALSE()),FALSE()))</f>
        <v>0</v>
      </c>
      <c r="AC21" s="84" t="b">
        <f aca="false">IF(Configuration!$C$36="No","",IFERROR(IF('Patent Portfolio'!AI21="Survived",TRUE(),FALSE()),FALSE()))</f>
        <v>0</v>
      </c>
      <c r="AD21" s="84" t="b">
        <f aca="false">IF(Configuration!$C$37="No","",IFERROR(IF(AND('Patent Portfolio'!AJ21="Clean",'Patent Portfolio'!AL21="None"),TRUE(),FALSE()),FALSE()))</f>
        <v>0</v>
      </c>
      <c r="AE21" s="84" t="b">
        <f aca="false">IF(Configuration!$C$38="No","",IFERROR(IF(N('Patent Portfolio'!AG21)&gt;=Configuration!$C$53,TRUE(),FALSE()),FALSE()))</f>
        <v>0</v>
      </c>
      <c r="AF21" s="84" t="b">
        <f aca="false">IF(Configuration!$C$39="No","",IFERROR(IF(AND(N('Patent Portfolio'!AO21)&gt;=2,N('Patent Portfolio'!AB21)&gt;=2),TRUE(),FALSE()),FALSE()))</f>
        <v>0</v>
      </c>
      <c r="AG21" s="84" t="b">
        <f aca="false">IF(Configuration!$C$40="No","",IFERROR(IF(OR(N('Patent Portfolio'!AC21)&lt;=Configuration!$C$56,N('Patent Portfolio'!U21)&lt;Configuration!$C$57,N('Patent Portfolio'!AD21)&lt;=Configuration!$C$58),TRUE(),FALSE()),FALSE()))</f>
        <v>1</v>
      </c>
      <c r="AH21" s="84" t="b">
        <f aca="false">IF(Configuration!$C$41="No","",IFERROR(IF(AND(N('Patent Portfolio'!U21)&gt;=Configuration!$C$54,N('Patent Portfolio'!U21)&lt;=Configuration!$C$55),TRUE(),FALSE()),FALSE()))</f>
        <v>0</v>
      </c>
      <c r="AI21" s="84" t="b">
        <f aca="false">IF(Configuration!$C$42="No","",IFERROR(IF(AND('Patent Portfolio'!C21&lt;&gt;"",'Patent Portfolio'!F21&lt;&gt;""),TRUE(),FALSE()),FALSE()))</f>
        <v>0</v>
      </c>
      <c r="AJ21" s="82" t="n">
        <f aca="false">COUNTIF(C21:AI21,TRUE())</f>
        <v>2</v>
      </c>
    </row>
    <row r="22" customFormat="false" ht="15" hidden="false" customHeight="true" outlineLevel="0" collapsed="false">
      <c r="A22" s="20" t="n">
        <f aca="false">'Patent Portfolio'!A22</f>
        <v>0</v>
      </c>
      <c r="B22" s="83" t="n">
        <f aca="false">'Patent Portfolio'!B22</f>
        <v>0</v>
      </c>
      <c r="C22" s="84" t="b">
        <f aca="false">IF(Configuration!$C$10="No","",IFERROR(IF('Patent Portfolio'!C22&lt;&gt;"",TRUE(),FALSE()),FALSE()))</f>
        <v>0</v>
      </c>
      <c r="D22" s="84" t="b">
        <f aca="false">IF(Configuration!$C$11="No","",IFERROR(IF(AND(N('Patent Portfolio'!H22)&gt;=Configuration!$C$44,'Patent Portfolio'!I22&lt;&gt;""),TRUE(),FALSE()),FALSE()))</f>
        <v>0</v>
      </c>
      <c r="E22" s="84" t="b">
        <f aca="false">IF(Configuration!$C$12="No","",IFERROR(IF('Patent Portfolio'!F22&lt;&gt;"",TRUE(),FALSE()),FALSE()))</f>
        <v>0</v>
      </c>
      <c r="F22" s="84" t="b">
        <f aca="false">IF(Configuration!$C$13="No","",IFERROR(IF('Patent Portfolio'!E22&lt;&gt;"",TRUE(),FALSE()),FALSE()))</f>
        <v>0</v>
      </c>
      <c r="G22" s="84" t="b">
        <f aca="false">IF(Configuration!$C$14="No","",IFERROR(IF('Patent Portfolio'!G22&lt;&gt;"",TRUE(),FALSE()),FALSE()))</f>
        <v>0</v>
      </c>
      <c r="H22" s="84" t="b">
        <f aca="false">IF(Configuration!$C$15="No","",IFERROR(IF(AND(OR(ISNUMBER(SEARCH("process",'Patent Portfolio'!C22)),ISNUMBER(SEARCH("fab",'Patent Portfolio'!C22)),ISNUMBER(SEARCH("manufac",'Patent Portfolio'!C22))),'Patent Portfolio'!K22="Method"),TRUE(),FALSE()),FALSE()))</f>
        <v>0</v>
      </c>
      <c r="I22" s="84" t="b">
        <f aca="false">IF(Configuration!$C$16="No","",IFERROR(IF(AND(OR(ISNUMBER(SEARCH("material",'Patent Portfolio'!C22)),ISNUMBER(SEARCH("chem",'Patent Portfolio'!C22)),ISNUMBER(SEARCH("battery",'Patent Portfolio'!C22)),ISNUMBER(SEARCH("electrolyte",'Patent Portfolio'!C22)),ISNUMBER(SEARCH("polymer",'Patent Portfolio'!C22))),OR('Patent Portfolio'!K22="Apparatus",'Patent Portfolio'!K22="Method")),TRUE(),FALSE()),FALSE()))</f>
        <v>0</v>
      </c>
      <c r="J22" s="84" t="b">
        <f aca="false">IF(Configuration!$C$17="No","",IFERROR(IF(AND(OR('Patent Portfolio'!E22="App",'Patent Portfolio'!E22="Middleware",'Patent Portfolio'!E22="Cloud"),OR('Patent Portfolio'!K22="Method",'Patent Portfolio'!K22="CRM")),TRUE(),FALSE()),FALSE()))</f>
        <v>0</v>
      </c>
      <c r="K22" s="84" t="b">
        <f aca="false">IF(Configuration!$C$18="No","",IFERROR(IF(N('Patent Portfolio'!J22)&gt;=Configuration!$C$45,TRUE(),FALSE()),FALSE()))</f>
        <v>0</v>
      </c>
      <c r="L22" s="84" t="b">
        <f aca="false">IF(Configuration!$C$19="No","",IFERROR(IF('Patent Portfolio'!AA22&lt;&gt;"",TRUE(),FALSE()),FALSE()))</f>
        <v>0</v>
      </c>
      <c r="M22" s="84" t="b">
        <f aca="false">IF(Configuration!$C$20="No","",IFERROR(IF('Patent Portfolio'!K22&lt;&gt;"",TRUE(),FALSE()),FALSE()))</f>
        <v>0</v>
      </c>
      <c r="N22" s="84" t="b">
        <f aca="false">IF(Configuration!$C$21="No","",IFERROR(IF(OR(N('Patent Portfolio'!O22)&gt;=Configuration!$C$46,N('Patent Portfolio'!P22)&gt;=Configuration!$C$47),TRUE(),FALSE()),FALSE()))</f>
        <v>0</v>
      </c>
      <c r="O22" s="84" t="b">
        <f aca="false">IF(Configuration!$C$22="No","",IFERROR(IF('Patent Portfolio'!X22="Yes",TRUE(),FALSE()),FALSE()))</f>
        <v>0</v>
      </c>
      <c r="P22" s="84" t="b">
        <f aca="false">IF(Configuration!$C$23="No","",IFERROR(IF(N('Patent Portfolio'!R22)&gt;=Configuration!$C$48,TRUE(),FALSE()),FALSE()))</f>
        <v>0</v>
      </c>
      <c r="Q22" s="84" t="b">
        <f aca="false">IF(Configuration!$C$24="No","",IFERROR(IF(N('Patent Portfolio'!U22)&gt;0,TRUE(),FALSE()),FALSE()))</f>
        <v>0</v>
      </c>
      <c r="R22" s="84" t="b">
        <f aca="false">IF(Configuration!$C$25="No","",IFERROR(IF(OR(N('Patent Portfolio'!L22)=3,N('Patent Portfolio'!L22)&lt;=1),TRUE(),FALSE()),FALSE()))</f>
        <v>1</v>
      </c>
      <c r="S22" s="84" t="b">
        <f aca="false">IF(Configuration!$C$26="No","",IFERROR(IF(N('Patent Portfolio'!AB22)&gt;=Configuration!$C$49,TRUE(),FALSE()),FALSE()))</f>
        <v>0</v>
      </c>
      <c r="T22" s="84" t="b">
        <f aca="false">IF(Configuration!$C$27="No","",IFERROR(IF('Patent Portfolio'!Z22&lt;&gt;"",TRUE(),FALSE()),FALSE()))</f>
        <v>0</v>
      </c>
      <c r="U22" s="84" t="b">
        <f aca="false">IF(Configuration!$C$28="No","",IFERROR(IF(N('Patent Portfolio'!Q22)&gt;=Configuration!$C$50,TRUE(),FALSE()),FALSE()))</f>
        <v>0</v>
      </c>
      <c r="V22" s="84" t="b">
        <f aca="false">IF(Configuration!$C$29="No","",IFERROR(IF(AND(N('Patent Portfolio'!N22)&gt;=Configuration!$C$51,'Patent Portfolio'!C22&lt;&gt;""),TRUE(),FALSE()),FALSE()))</f>
        <v>0</v>
      </c>
      <c r="W22" s="84" t="b">
        <f aca="false">IF(Configuration!$C$30="No","",IFERROR(IF(OR('Patent Portfolio'!S22="Pending",'Patent Portfolio'!T22="Yes"),TRUE(),FALSE()),FALSE()))</f>
        <v>0</v>
      </c>
      <c r="X22" s="84" t="b">
        <f aca="false">IF(Configuration!$C$31="No","",IFERROR(IF(AND(N('Patent Portfolio'!AC22)&gt;=Configuration!$C$52,N('Patent Portfolio'!L22)&gt;=1),TRUE(),FALSE()),FALSE()))</f>
        <v>0</v>
      </c>
      <c r="Y22" s="84" t="b">
        <f aca="false">IF(Configuration!$C$32="No","",IFERROR(IF(AND(N('Patent Portfolio'!N22)&gt;=1,OR('Patent Portfolio'!C22&lt;&gt;"",'Patent Portfolio'!I22&lt;&gt;"")),TRUE(),FALSE()),FALSE()))</f>
        <v>0</v>
      </c>
      <c r="Z22" s="84" t="b">
        <f aca="false">IF(Configuration!$C$33="No","",IFERROR(IF('Patent Portfolio'!C22&lt;&gt;"",TRUE(),FALSE()),FALSE()))</f>
        <v>0</v>
      </c>
      <c r="AA22" s="84" t="b">
        <f aca="false">IF(Configuration!$C$34="No","",IFERROR(IF('Patent Portfolio'!T22="Yes",TRUE(),FALSE()),FALSE()))</f>
        <v>0</v>
      </c>
      <c r="AB22" s="84" t="b">
        <f aca="false">IF(Configuration!$C$35="No","",IFERROR(IF(OR('Patent Portfolio'!AK22="Partial",'Patent Portfolio'!AK22="Full"),TRUE(),FALSE()),FALSE()))</f>
        <v>0</v>
      </c>
      <c r="AC22" s="84" t="b">
        <f aca="false">IF(Configuration!$C$36="No","",IFERROR(IF('Patent Portfolio'!AI22="Survived",TRUE(),FALSE()),FALSE()))</f>
        <v>0</v>
      </c>
      <c r="AD22" s="84" t="b">
        <f aca="false">IF(Configuration!$C$37="No","",IFERROR(IF(AND('Patent Portfolio'!AJ22="Clean",'Patent Portfolio'!AL22="None"),TRUE(),FALSE()),FALSE()))</f>
        <v>0</v>
      </c>
      <c r="AE22" s="84" t="b">
        <f aca="false">IF(Configuration!$C$38="No","",IFERROR(IF(N('Patent Portfolio'!AG22)&gt;=Configuration!$C$53,TRUE(),FALSE()),FALSE()))</f>
        <v>0</v>
      </c>
      <c r="AF22" s="84" t="b">
        <f aca="false">IF(Configuration!$C$39="No","",IFERROR(IF(AND(N('Patent Portfolio'!AO22)&gt;=2,N('Patent Portfolio'!AB22)&gt;=2),TRUE(),FALSE()),FALSE()))</f>
        <v>0</v>
      </c>
      <c r="AG22" s="84" t="b">
        <f aca="false">IF(Configuration!$C$40="No","",IFERROR(IF(OR(N('Patent Portfolio'!AC22)&lt;=Configuration!$C$56,N('Patent Portfolio'!U22)&lt;Configuration!$C$57,N('Patent Portfolio'!AD22)&lt;=Configuration!$C$58),TRUE(),FALSE()),FALSE()))</f>
        <v>1</v>
      </c>
      <c r="AH22" s="84" t="b">
        <f aca="false">IF(Configuration!$C$41="No","",IFERROR(IF(AND(N('Patent Portfolio'!U22)&gt;=Configuration!$C$54,N('Patent Portfolio'!U22)&lt;=Configuration!$C$55),TRUE(),FALSE()),FALSE()))</f>
        <v>0</v>
      </c>
      <c r="AI22" s="84" t="b">
        <f aca="false">IF(Configuration!$C$42="No","",IFERROR(IF(AND('Patent Portfolio'!C22&lt;&gt;"",'Patent Portfolio'!F22&lt;&gt;""),TRUE(),FALSE()),FALSE()))</f>
        <v>0</v>
      </c>
      <c r="AJ22" s="82" t="n">
        <f aca="false">COUNTIF(C22:AI22,TRUE())</f>
        <v>2</v>
      </c>
    </row>
  </sheetData>
  <mergeCells count="2">
    <mergeCell ref="A1:B1"/>
    <mergeCell ref="C1:AI1"/>
  </mergeCells>
  <conditionalFormatting sqref="C3:W22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0</formula>
    </cfRule>
  </conditionalFormatting>
  <conditionalFormatting sqref="X3:AI22">
    <cfRule type="cellIs" priority="4" operator="equal" aboveAverage="0" equalAverage="0" bottom="0" percent="0" rank="0" text="" dxfId="0">
      <formula>1</formula>
    </cfRule>
    <cfRule type="cellIs" priority="5" operator="equal" aboveAverage="0" equalAverage="0" bottom="0" percent="0" rank="0" text="" dxfId="1">
      <formula>0</formula>
    </cfRule>
  </conditionalFormatting>
  <conditionalFormatting sqref="C3:C22">
    <cfRule type="expression" priority="6" aboveAverage="0" equalAverage="0" bottom="0" percent="0" rank="0" text="" dxfId="2">
      <formula>ISNUMBER(SEARCH("[DISABLED]",C$2))</formula>
    </cfRule>
  </conditionalFormatting>
  <conditionalFormatting sqref="D3:D22">
    <cfRule type="expression" priority="7" aboveAverage="0" equalAverage="0" bottom="0" percent="0" rank="0" text="" dxfId="2">
      <formula>ISNUMBER(SEARCH("[DISABLED]",D$2))</formula>
    </cfRule>
  </conditionalFormatting>
  <conditionalFormatting sqref="E3:E22">
    <cfRule type="expression" priority="8" aboveAverage="0" equalAverage="0" bottom="0" percent="0" rank="0" text="" dxfId="2">
      <formula>ISNUMBER(SEARCH("[DISABLED]",E$2))</formula>
    </cfRule>
  </conditionalFormatting>
  <conditionalFormatting sqref="F3:F22">
    <cfRule type="expression" priority="9" aboveAverage="0" equalAverage="0" bottom="0" percent="0" rank="0" text="" dxfId="2">
      <formula>ISNUMBER(SEARCH("[DISABLED]",F$2))</formula>
    </cfRule>
  </conditionalFormatting>
  <conditionalFormatting sqref="G3:G22">
    <cfRule type="expression" priority="10" aboveAverage="0" equalAverage="0" bottom="0" percent="0" rank="0" text="" dxfId="2">
      <formula>ISNUMBER(SEARCH("[DISABLED]",G$2))</formula>
    </cfRule>
  </conditionalFormatting>
  <conditionalFormatting sqref="H3:H22">
    <cfRule type="expression" priority="11" aboveAverage="0" equalAverage="0" bottom="0" percent="0" rank="0" text="" dxfId="2">
      <formula>ISNUMBER(SEARCH("[DISABLED]",H$2))</formula>
    </cfRule>
  </conditionalFormatting>
  <conditionalFormatting sqref="I3:I22">
    <cfRule type="expression" priority="12" aboveAverage="0" equalAverage="0" bottom="0" percent="0" rank="0" text="" dxfId="2">
      <formula>ISNUMBER(SEARCH("[DISABLED]",I$2))</formula>
    </cfRule>
  </conditionalFormatting>
  <conditionalFormatting sqref="J3:J22">
    <cfRule type="expression" priority="13" aboveAverage="0" equalAverage="0" bottom="0" percent="0" rank="0" text="" dxfId="2">
      <formula>ISNUMBER(SEARCH("[DISABLED]",J$2))</formula>
    </cfRule>
  </conditionalFormatting>
  <conditionalFormatting sqref="K3:K22">
    <cfRule type="expression" priority="14" aboveAverage="0" equalAverage="0" bottom="0" percent="0" rank="0" text="" dxfId="2">
      <formula>ISNUMBER(SEARCH("[DISABLED]",K$2))</formula>
    </cfRule>
  </conditionalFormatting>
  <conditionalFormatting sqref="L3:L22">
    <cfRule type="expression" priority="15" aboveAverage="0" equalAverage="0" bottom="0" percent="0" rank="0" text="" dxfId="2">
      <formula>ISNUMBER(SEARCH("[DISABLED]",L$2))</formula>
    </cfRule>
  </conditionalFormatting>
  <conditionalFormatting sqref="M3:M22">
    <cfRule type="expression" priority="16" aboveAverage="0" equalAverage="0" bottom="0" percent="0" rank="0" text="" dxfId="2">
      <formula>ISNUMBER(SEARCH("[DISABLED]",M$2))</formula>
    </cfRule>
  </conditionalFormatting>
  <conditionalFormatting sqref="N3:N22">
    <cfRule type="expression" priority="17" aboveAverage="0" equalAverage="0" bottom="0" percent="0" rank="0" text="" dxfId="2">
      <formula>ISNUMBER(SEARCH("[DISABLED]",N$2))</formula>
    </cfRule>
  </conditionalFormatting>
  <conditionalFormatting sqref="O3:O22">
    <cfRule type="expression" priority="18" aboveAverage="0" equalAverage="0" bottom="0" percent="0" rank="0" text="" dxfId="2">
      <formula>ISNUMBER(SEARCH("[DISABLED]",O$2))</formula>
    </cfRule>
  </conditionalFormatting>
  <conditionalFormatting sqref="P3:P22">
    <cfRule type="expression" priority="19" aboveAverage="0" equalAverage="0" bottom="0" percent="0" rank="0" text="" dxfId="2">
      <formula>ISNUMBER(SEARCH("[DISABLED]",P$2))</formula>
    </cfRule>
  </conditionalFormatting>
  <conditionalFormatting sqref="Q3:Q22">
    <cfRule type="expression" priority="20" aboveAverage="0" equalAverage="0" bottom="0" percent="0" rank="0" text="" dxfId="2">
      <formula>ISNUMBER(SEARCH("[DISABLED]",Q$2))</formula>
    </cfRule>
  </conditionalFormatting>
  <conditionalFormatting sqref="R3:R22">
    <cfRule type="expression" priority="21" aboveAverage="0" equalAverage="0" bottom="0" percent="0" rank="0" text="" dxfId="2">
      <formula>ISNUMBER(SEARCH("[DISABLED]",R$2))</formula>
    </cfRule>
  </conditionalFormatting>
  <conditionalFormatting sqref="S3:S22">
    <cfRule type="expression" priority="22" aboveAverage="0" equalAverage="0" bottom="0" percent="0" rank="0" text="" dxfId="2">
      <formula>ISNUMBER(SEARCH("[DISABLED]",S$2))</formula>
    </cfRule>
  </conditionalFormatting>
  <conditionalFormatting sqref="T3:T22">
    <cfRule type="expression" priority="23" aboveAverage="0" equalAverage="0" bottom="0" percent="0" rank="0" text="" dxfId="2">
      <formula>ISNUMBER(SEARCH("[DISABLED]",T$2))</formula>
    </cfRule>
  </conditionalFormatting>
  <conditionalFormatting sqref="U3:U22">
    <cfRule type="expression" priority="24" aboveAverage="0" equalAverage="0" bottom="0" percent="0" rank="0" text="" dxfId="2">
      <formula>ISNUMBER(SEARCH("[DISABLED]",U$2))</formula>
    </cfRule>
  </conditionalFormatting>
  <conditionalFormatting sqref="V3:V22">
    <cfRule type="expression" priority="25" aboveAverage="0" equalAverage="0" bottom="0" percent="0" rank="0" text="" dxfId="2">
      <formula>ISNUMBER(SEARCH("[DISABLED]",V$2))</formula>
    </cfRule>
  </conditionalFormatting>
  <conditionalFormatting sqref="W3:W22">
    <cfRule type="expression" priority="26" aboveAverage="0" equalAverage="0" bottom="0" percent="0" rank="0" text="" dxfId="2">
      <formula>ISNUMBER(SEARCH("[DISABLED]",W$2))</formula>
    </cfRule>
  </conditionalFormatting>
  <conditionalFormatting sqref="X3:X22">
    <cfRule type="expression" priority="27" aboveAverage="0" equalAverage="0" bottom="0" percent="0" rank="0" text="" dxfId="2">
      <formula>ISNUMBER(SEARCH("[DISABLED]",X$2))</formula>
    </cfRule>
  </conditionalFormatting>
  <conditionalFormatting sqref="Y3:Y22">
    <cfRule type="expression" priority="28" aboveAverage="0" equalAverage="0" bottom="0" percent="0" rank="0" text="" dxfId="2">
      <formula>ISNUMBER(SEARCH("[DISABLED]",Y$2))</formula>
    </cfRule>
  </conditionalFormatting>
  <conditionalFormatting sqref="Z3:Z22">
    <cfRule type="expression" priority="29" aboveAverage="0" equalAverage="0" bottom="0" percent="0" rank="0" text="" dxfId="2">
      <formula>ISNUMBER(SEARCH("[DISABLED]",Z$2))</formula>
    </cfRule>
  </conditionalFormatting>
  <conditionalFormatting sqref="AA3:AA22">
    <cfRule type="expression" priority="30" aboveAverage="0" equalAverage="0" bottom="0" percent="0" rank="0" text="" dxfId="2">
      <formula>ISNUMBER(SEARCH("[DISABLED]",AA$2))</formula>
    </cfRule>
  </conditionalFormatting>
  <conditionalFormatting sqref="AB3:AB22">
    <cfRule type="expression" priority="31" aboveAverage="0" equalAverage="0" bottom="0" percent="0" rank="0" text="" dxfId="2">
      <formula>ISNUMBER(SEARCH("[DISABLED]",AB$2))</formula>
    </cfRule>
  </conditionalFormatting>
  <conditionalFormatting sqref="AC3:AC22">
    <cfRule type="expression" priority="32" aboveAverage="0" equalAverage="0" bottom="0" percent="0" rank="0" text="" dxfId="2">
      <formula>ISNUMBER(SEARCH("[DISABLED]",AC$2))</formula>
    </cfRule>
  </conditionalFormatting>
  <conditionalFormatting sqref="AD3:AD22">
    <cfRule type="expression" priority="33" aboveAverage="0" equalAverage="0" bottom="0" percent="0" rank="0" text="" dxfId="2">
      <formula>ISNUMBER(SEARCH("[DISABLED]",AD$2))</formula>
    </cfRule>
  </conditionalFormatting>
  <conditionalFormatting sqref="AE3:AE22">
    <cfRule type="expression" priority="34" aboveAverage="0" equalAverage="0" bottom="0" percent="0" rank="0" text="" dxfId="2">
      <formula>ISNUMBER(SEARCH("[DISABLED]",AE$2))</formula>
    </cfRule>
  </conditionalFormatting>
  <conditionalFormatting sqref="AF3:AF22">
    <cfRule type="expression" priority="35" aboveAverage="0" equalAverage="0" bottom="0" percent="0" rank="0" text="" dxfId="2">
      <formula>ISNUMBER(SEARCH("[DISABLED]",AF$2))</formula>
    </cfRule>
  </conditionalFormatting>
  <conditionalFormatting sqref="AG3:AG22">
    <cfRule type="expression" priority="36" aboveAverage="0" equalAverage="0" bottom="0" percent="0" rank="0" text="" dxfId="2">
      <formula>ISNUMBER(SEARCH("[DISABLED]",AG$2))</formula>
    </cfRule>
  </conditionalFormatting>
  <conditionalFormatting sqref="AH3:AH22">
    <cfRule type="expression" priority="37" aboveAverage="0" equalAverage="0" bottom="0" percent="0" rank="0" text="" dxfId="2">
      <formula>ISNUMBER(SEARCH("[DISABLED]",AH$2))</formula>
    </cfRule>
  </conditionalFormatting>
  <conditionalFormatting sqref="AI3:AI22">
    <cfRule type="expression" priority="38" aboveAverage="0" equalAverage="0" bottom="0" percent="0" rank="0" text="" dxfId="2">
      <formula>ISNUMBER(SEARCH("[DISABLED]",AI$2))</formula>
    </cfRule>
  </conditionalFormatting>
  <conditionalFormatting sqref="C3:AI22">
    <cfRule type="cellIs" priority="39" operator="equal" aboveAverage="0" equalAverage="0" bottom="0" percent="0" rank="0" text="" dxfId="0">
      <formula>1</formula>
    </cfRule>
    <cfRule type="cellIs" priority="40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10" min="3" style="1" width="14"/>
    <col collapsed="false" customWidth="true" hidden="false" outlineLevel="0" max="12" min="11" style="1" width="18"/>
    <col collapsed="false" customWidth="true" hidden="false" outlineLevel="0" max="13" min="13" style="1" width="16"/>
    <col collapsed="false" customWidth="true" hidden="false" outlineLevel="0" max="15" min="14" style="1" width="18"/>
  </cols>
  <sheetData>
    <row r="1" customFormat="false" ht="42" hidden="false" customHeight="true" outlineLevel="0" collapsed="false">
      <c r="A1" s="22" t="s">
        <v>412</v>
      </c>
      <c r="B1" s="22" t="s">
        <v>802</v>
      </c>
      <c r="C1" s="22" t="s">
        <v>922</v>
      </c>
      <c r="D1" s="22" t="s">
        <v>923</v>
      </c>
      <c r="E1" s="22" t="s">
        <v>924</v>
      </c>
      <c r="F1" s="22" t="s">
        <v>925</v>
      </c>
      <c r="G1" s="22" t="s">
        <v>926</v>
      </c>
      <c r="H1" s="22" t="s">
        <v>927</v>
      </c>
      <c r="I1" s="22" t="s">
        <v>928</v>
      </c>
      <c r="J1" s="22" t="s">
        <v>929</v>
      </c>
      <c r="K1" s="22" t="str">
        <f aca="false">IF(Configuration!$C$63="No","[DISABLED] Weakest H1 (min in bundle)","Weakest H1 (min in bundle)")</f>
        <v>Weakest H1 (min in bundle)</v>
      </c>
      <c r="L1" s="22" t="str">
        <f aca="false">IF(Configuration!$C$64="No","[DISABLED] Invalidity exposure % (H2≤1)","Invalidity exposure % (H2≤1)")</f>
        <v>Invalidity exposure % (H2≤1)</v>
      </c>
      <c r="M1" s="22" t="str">
        <f aca="false">IF(Configuration!$C$65="No","[DISABLED] EoU-ready % (H9≠None)","EoU-ready % (H9≠None)")</f>
        <v>EoU-ready % (H9≠None)</v>
      </c>
      <c r="N1" s="22" t="str">
        <f aca="false">IF(Configuration!$C$66="No","[DISABLED] Survived % (H7=Survived)","Survived % (H7=Survived)")</f>
        <v>Survived % (H7=Survived)</v>
      </c>
      <c r="O1" s="22" t="str">
        <f aca="false">IF(Configuration!$C$67="No","[DISABLED] Continuation-optionality %","Continuation-optionality %")</f>
        <v>Continuation-optionality %</v>
      </c>
    </row>
    <row r="2" customFormat="false" ht="15" hidden="false" customHeight="true" outlineLevel="0" collapsed="false">
      <c r="A2" s="82" t="n">
        <v>1</v>
      </c>
      <c r="B2" s="18" t="str">
        <f aca="false">IF(Configuration!$C$10="No","[DISABLED] Tech Domain","Tech Domain")</f>
        <v>Tech Domain</v>
      </c>
      <c r="C2" s="85" t="n">
        <f aca="false">IF(Configuration!$C$10="No","",COUNTIF('Bundle Assignment'!C3:C22,TRUE()))</f>
        <v>12</v>
      </c>
      <c r="D2" s="86" t="n">
        <f aca="false">IF(Configuration!$C$10="No","",IFERROR(SUMPRODUCT(--('Bundle Assignment'!C3:C22=TRUE()),('Patent Portfolio'!O3:O22+'Patent Portfolio'!P3:P22)/2)/COUNTIF('Bundle Assignment'!C3:C22,TRUE()),0))</f>
        <v>1.58333333333333</v>
      </c>
      <c r="E2" s="87" t="n">
        <f aca="false">IF(Configuration!$C$10="No","",IFERROR(SUMPRODUCT(--('Bundle Assignment'!C3:C22=TRUE()),'Patent Portfolio'!U3:U22)/COUNTIF('Bundle Assignment'!C3:C22,TRUE()),0))</f>
        <v>13.1666666666667</v>
      </c>
      <c r="F2" s="88" t="n">
        <f aca="false">IF(Configuration!$C$10="No","",IFERROR(SUMPRODUCT(--('Bundle Assignment'!C3:C22=TRUE()),--('Patent Portfolio'!X3:X22="Yes"))/COUNTIF('Bundle Assignment'!C3:C22,TRUE()),0))</f>
        <v>0.833333333333333</v>
      </c>
      <c r="G2" s="88" t="n">
        <f aca="false">IF(Configuration!$C$10="No","",IFERROR(SUMPRODUCT(--('Bundle Assignment'!C3:C22=TRUE()),--('Patent Portfolio'!T3:T22="Yes"))/COUNTIF('Bundle Assignment'!C3:C22,TRUE()),0))</f>
        <v>0.5</v>
      </c>
      <c r="H2" s="88" t="n">
        <f aca="false">IF(Configuration!$C$10="No","",IFERROR(SUMPRODUCT(--('Bundle Assignment'!C3:C22=TRUE()),--('Patent Portfolio'!H3:H22&gt;=2))/COUNTIF('Bundle Assignment'!C3:C22,TRUE()),0))</f>
        <v>0.333333333333333</v>
      </c>
      <c r="I2" s="85" t="n">
        <f aca="false">IF(Configuration!$C$10="No","",SUMPRODUCT(--('Bundle Assignment'!C3:C22=TRUE()),--('Patent Portfolio'!L3:L22=3)))</f>
        <v>1</v>
      </c>
      <c r="J2" s="27" t="str">
        <f aca="false">IF(Configuration!$C$10="No","",IF(C2&lt;2,"WEAK",IF(AND(C2&gt;=Configuration!$C$59,D2&gt;=Configuration!$C$60,E2&gt;=Configuration!$C$61),"STRONG","MODERATE")))</f>
        <v>MODERATE</v>
      </c>
      <c r="K2" s="89" t="str">
        <f aca="false">IF(Configuration!$C$10="No","",IF(Configuration!$C$63="No","",IFERROR(aggregate(5,6,'Patent Portfolio'!AC3:AC22/('Bundle Assignment'!C3:C22=TRUE())),"")))</f>
        <v/>
      </c>
      <c r="L2" s="88" t="n">
        <f aca="false">IF(Configuration!$C$10="No","",IF(Configuration!$C$64="No","",IFERROR(SUMPRODUCT(--('Bundle Assignment'!C3:C22=TRUE()),--('Patent Portfolio'!AD3:AD22&lt;=1))/COUNTIF('Bundle Assignment'!C3:C22,TRUE()),0)))</f>
        <v>0.25</v>
      </c>
      <c r="M2" s="88" t="n">
        <f aca="false">IF(Configuration!$C$10="No","",IF(Configuration!$C$65="No","",IFERROR(SUMPRODUCT(--('Bundle Assignment'!C3:C22=TRUE()),--('Patent Portfolio'!AK3:AK22&lt;&gt;"None"),--('Patent Portfolio'!AK3:AK22&lt;&gt;""))/COUNTIF('Bundle Assignment'!C3:C22,TRUE()),0)))</f>
        <v>0.583333333333333</v>
      </c>
      <c r="N2" s="88" t="n">
        <f aca="false">IF(Configuration!$C$10="No","",IF(Configuration!$C$66="No","",IFERROR(SUMPRODUCT(--('Bundle Assignment'!C3:C22=TRUE()),--('Patent Portfolio'!AI3:AI22="Survived"))/COUNTIF('Bundle Assignment'!C3:C22,TRUE()),0)))</f>
        <v>0.166666666666667</v>
      </c>
      <c r="O2" s="88" t="n">
        <f aca="false">IF(Configuration!$C$10="No","",IF(Configuration!$C$67="No","",IFERROR(SUMPRODUCT(--('Bundle Assignment'!C3:C22=TRUE()),--('Patent Portfolio'!T3:T22="Yes"))/COUNTIF('Bundle Assignment'!C3:C22,TRUE()),0)))</f>
        <v>0.5</v>
      </c>
    </row>
    <row r="3" customFormat="false" ht="15" hidden="false" customHeight="true" outlineLevel="0" collapsed="false">
      <c r="A3" s="82" t="n">
        <v>2</v>
      </c>
      <c r="B3" s="18" t="str">
        <f aca="false">IF(Configuration!$C$11="No","[DISABLED] SEP","SEP")</f>
        <v>SEP</v>
      </c>
      <c r="C3" s="85" t="n">
        <f aca="false">IF(Configuration!$C$11="No","",COUNTIF('Bundle Assignment'!D3:D22,TRUE()))</f>
        <v>4</v>
      </c>
      <c r="D3" s="86" t="n">
        <f aca="false">IF(Configuration!$C$11="No","",IFERROR(SUMPRODUCT(--('Bundle Assignment'!D3:D22=TRUE()),('Patent Portfolio'!O3:O22+'Patent Portfolio'!P3:P22)/2)/COUNTIF('Bundle Assignment'!D3:D22,TRUE()),0))</f>
        <v>2</v>
      </c>
      <c r="E3" s="87" t="n">
        <f aca="false">IF(Configuration!$C$11="No","",IFERROR(SUMPRODUCT(--('Bundle Assignment'!D3:D22=TRUE()),'Patent Portfolio'!U3:U22)/COUNTIF('Bundle Assignment'!D3:D22,TRUE()),0))</f>
        <v>13.25</v>
      </c>
      <c r="F3" s="88" t="n">
        <f aca="false">IF(Configuration!$C$11="No","",IFERROR(SUMPRODUCT(--('Bundle Assignment'!D3:D22=TRUE()),--('Patent Portfolio'!X3:X22="Yes"))/COUNTIF('Bundle Assignment'!D3:D22,TRUE()),0))</f>
        <v>1</v>
      </c>
      <c r="G3" s="88" t="n">
        <f aca="false">IF(Configuration!$C$11="No","",IFERROR(SUMPRODUCT(--('Bundle Assignment'!D3:D22=TRUE()),--('Patent Portfolio'!T3:T22="Yes"))/COUNTIF('Bundle Assignment'!D3:D22,TRUE()),0))</f>
        <v>0.5</v>
      </c>
      <c r="H3" s="88" t="n">
        <f aca="false">IF(Configuration!$C$11="No","",IFERROR(SUMPRODUCT(--('Bundle Assignment'!D3:D22=TRUE()),--('Patent Portfolio'!H3:H22&gt;=2))/COUNTIF('Bundle Assignment'!D3:D22,TRUE()),0))</f>
        <v>1</v>
      </c>
      <c r="I3" s="85" t="n">
        <f aca="false">IF(Configuration!$C$11="No","",SUMPRODUCT(--('Bundle Assignment'!D3:D22=TRUE()),--('Patent Portfolio'!L3:L22=3)))</f>
        <v>0</v>
      </c>
      <c r="J3" s="27" t="str">
        <f aca="false">IF(Configuration!$C$11="No","",IF(C3&lt;2,"WEAK",IF(AND(C3&gt;=Configuration!$C$59,D3&gt;=Configuration!$C$60,E3&gt;=Configuration!$C$61),"STRONG","MODERATE")))</f>
        <v>STRONG</v>
      </c>
      <c r="K3" s="89" t="str">
        <f aca="false">IF(Configuration!$C$11="No","",IF(Configuration!$C$63="No","",IFERROR(aggregate(5,6,'Patent Portfolio'!AC3:AC22/('Bundle Assignment'!D3:D22=TRUE())),"")))</f>
        <v/>
      </c>
      <c r="L3" s="88" t="n">
        <f aca="false">IF(Configuration!$C$11="No","",IF(Configuration!$C$64="No","",IFERROR(SUMPRODUCT(--('Bundle Assignment'!D3:D22=TRUE()),--('Patent Portfolio'!AD3:AD22&lt;=1))/COUNTIF('Bundle Assignment'!D3:D22,TRUE()),0)))</f>
        <v>0</v>
      </c>
      <c r="M3" s="88" t="n">
        <f aca="false">IF(Configuration!$C$11="No","",IF(Configuration!$C$65="No","",IFERROR(SUMPRODUCT(--('Bundle Assignment'!D3:D22=TRUE()),--('Patent Portfolio'!AK3:AK22&lt;&gt;"None"),--('Patent Portfolio'!AK3:AK22&lt;&gt;""))/COUNTIF('Bundle Assignment'!D3:D22,TRUE()),0)))</f>
        <v>0.75</v>
      </c>
      <c r="N3" s="88" t="n">
        <f aca="false">IF(Configuration!$C$11="No","",IF(Configuration!$C$66="No","",IFERROR(SUMPRODUCT(--('Bundle Assignment'!D3:D22=TRUE()),--('Patent Portfolio'!AI3:AI22="Survived"))/COUNTIF('Bundle Assignment'!D3:D22,TRUE()),0)))</f>
        <v>0.5</v>
      </c>
      <c r="O3" s="88" t="n">
        <f aca="false">IF(Configuration!$C$11="No","",IF(Configuration!$C$67="No","",IFERROR(SUMPRODUCT(--('Bundle Assignment'!D3:D22=TRUE()),--('Patent Portfolio'!T3:T22="Yes"))/COUNTIF('Bundle Assignment'!D3:D22,TRUE()),0)))</f>
        <v>0.5</v>
      </c>
    </row>
    <row r="4" customFormat="false" ht="15" hidden="false" customHeight="true" outlineLevel="0" collapsed="false">
      <c r="A4" s="82" t="n">
        <v>3</v>
      </c>
      <c r="B4" s="18" t="str">
        <f aca="false">IF(Configuration!$C$12="No","[DISABLED] Product Architecture","Product Architecture")</f>
        <v>Product Architecture</v>
      </c>
      <c r="C4" s="85" t="n">
        <f aca="false">IF(Configuration!$C$12="No","",COUNTIF('Bundle Assignment'!E3:E22,TRUE()))</f>
        <v>12</v>
      </c>
      <c r="D4" s="86" t="n">
        <f aca="false">IF(Configuration!$C$12="No","",IFERROR(SUMPRODUCT(--('Bundle Assignment'!E3:E22=TRUE()),('Patent Portfolio'!O3:O22+'Patent Portfolio'!P3:P22)/2)/COUNTIF('Bundle Assignment'!E3:E22,TRUE()),0))</f>
        <v>1.58333333333333</v>
      </c>
      <c r="E4" s="87" t="n">
        <f aca="false">IF(Configuration!$C$12="No","",IFERROR(SUMPRODUCT(--('Bundle Assignment'!E3:E22=TRUE()),'Patent Portfolio'!U3:U22)/COUNTIF('Bundle Assignment'!E3:E22,TRUE()),0))</f>
        <v>13.1666666666667</v>
      </c>
      <c r="F4" s="88" t="n">
        <f aca="false">IF(Configuration!$C$12="No","",IFERROR(SUMPRODUCT(--('Bundle Assignment'!E3:E22=TRUE()),--('Patent Portfolio'!X3:X22="Yes"))/COUNTIF('Bundle Assignment'!E3:E22,TRUE()),0))</f>
        <v>0.833333333333333</v>
      </c>
      <c r="G4" s="88" t="n">
        <f aca="false">IF(Configuration!$C$12="No","",IFERROR(SUMPRODUCT(--('Bundle Assignment'!E3:E22=TRUE()),--('Patent Portfolio'!T3:T22="Yes"))/COUNTIF('Bundle Assignment'!E3:E22,TRUE()),0))</f>
        <v>0.5</v>
      </c>
      <c r="H4" s="88" t="n">
        <f aca="false">IF(Configuration!$C$12="No","",IFERROR(SUMPRODUCT(--('Bundle Assignment'!E3:E22=TRUE()),--('Patent Portfolio'!H3:H22&gt;=2))/COUNTIF('Bundle Assignment'!E3:E22,TRUE()),0))</f>
        <v>0.333333333333333</v>
      </c>
      <c r="I4" s="85" t="n">
        <f aca="false">IF(Configuration!$C$12="No","",SUMPRODUCT(--('Bundle Assignment'!E3:E22=TRUE()),--('Patent Portfolio'!L3:L22=3)))</f>
        <v>1</v>
      </c>
      <c r="J4" s="27" t="str">
        <f aca="false">IF(Configuration!$C$12="No","",IF(C4&lt;2,"WEAK",IF(AND(C4&gt;=Configuration!$C$59,D4&gt;=Configuration!$C$60,E4&gt;=Configuration!$C$61),"STRONG","MODERATE")))</f>
        <v>MODERATE</v>
      </c>
      <c r="K4" s="89" t="str">
        <f aca="false">IF(Configuration!$C$12="No","",IF(Configuration!$C$63="No","",IFERROR(aggregate(5,6,'Patent Portfolio'!AC3:AC22/('Bundle Assignment'!E3:E22=TRUE())),"")))</f>
        <v/>
      </c>
      <c r="L4" s="88" t="n">
        <f aca="false">IF(Configuration!$C$12="No","",IF(Configuration!$C$64="No","",IFERROR(SUMPRODUCT(--('Bundle Assignment'!E3:E22=TRUE()),--('Patent Portfolio'!AD3:AD22&lt;=1))/COUNTIF('Bundle Assignment'!E3:E22,TRUE()),0)))</f>
        <v>0.25</v>
      </c>
      <c r="M4" s="88" t="n">
        <f aca="false">IF(Configuration!$C$12="No","",IF(Configuration!$C$65="No","",IFERROR(SUMPRODUCT(--('Bundle Assignment'!E3:E22=TRUE()),--('Patent Portfolio'!AK3:AK22&lt;&gt;"None"),--('Patent Portfolio'!AK3:AK22&lt;&gt;""))/COUNTIF('Bundle Assignment'!E3:E22,TRUE()),0)))</f>
        <v>0.583333333333333</v>
      </c>
      <c r="N4" s="88" t="n">
        <f aca="false">IF(Configuration!$C$12="No","",IF(Configuration!$C$66="No","",IFERROR(SUMPRODUCT(--('Bundle Assignment'!E3:E22=TRUE()),--('Patent Portfolio'!AI3:AI22="Survived"))/COUNTIF('Bundle Assignment'!E3:E22,TRUE()),0)))</f>
        <v>0.166666666666667</v>
      </c>
      <c r="O4" s="88" t="n">
        <f aca="false">IF(Configuration!$C$12="No","",IF(Configuration!$C$67="No","",IFERROR(SUMPRODUCT(--('Bundle Assignment'!E3:E22=TRUE()),--('Patent Portfolio'!T3:T22="Yes"))/COUNTIF('Bundle Assignment'!E3:E22,TRUE()),0)))</f>
        <v>0.5</v>
      </c>
    </row>
    <row r="5" customFormat="false" ht="15" hidden="false" customHeight="true" outlineLevel="0" collapsed="false">
      <c r="A5" s="82" t="n">
        <v>4</v>
      </c>
      <c r="B5" s="18" t="str">
        <f aca="false">IF(Configuration!$C$13="No","[DISABLED] Stack Layer","Stack Layer")</f>
        <v>Stack Layer</v>
      </c>
      <c r="C5" s="85" t="n">
        <f aca="false">IF(Configuration!$C$13="No","",COUNTIF('Bundle Assignment'!F3:F22,TRUE()))</f>
        <v>12</v>
      </c>
      <c r="D5" s="86" t="n">
        <f aca="false">IF(Configuration!$C$13="No","",IFERROR(SUMPRODUCT(--('Bundle Assignment'!F3:F22=TRUE()),('Patent Portfolio'!O3:O22+'Patent Portfolio'!P3:P22)/2)/COUNTIF('Bundle Assignment'!F3:F22,TRUE()),0))</f>
        <v>1.58333333333333</v>
      </c>
      <c r="E5" s="87" t="n">
        <f aca="false">IF(Configuration!$C$13="No","",IFERROR(SUMPRODUCT(--('Bundle Assignment'!F3:F22=TRUE()),'Patent Portfolio'!U3:U22)/COUNTIF('Bundle Assignment'!F3:F22,TRUE()),0))</f>
        <v>13.1666666666667</v>
      </c>
      <c r="F5" s="88" t="n">
        <f aca="false">IF(Configuration!$C$13="No","",IFERROR(SUMPRODUCT(--('Bundle Assignment'!F3:F22=TRUE()),--('Patent Portfolio'!X3:X22="Yes"))/COUNTIF('Bundle Assignment'!F3:F22,TRUE()),0))</f>
        <v>0.833333333333333</v>
      </c>
      <c r="G5" s="88" t="n">
        <f aca="false">IF(Configuration!$C$13="No","",IFERROR(SUMPRODUCT(--('Bundle Assignment'!F3:F22=TRUE()),--('Patent Portfolio'!T3:T22="Yes"))/COUNTIF('Bundle Assignment'!F3:F22,TRUE()),0))</f>
        <v>0.5</v>
      </c>
      <c r="H5" s="88" t="n">
        <f aca="false">IF(Configuration!$C$13="No","",IFERROR(SUMPRODUCT(--('Bundle Assignment'!F3:F22=TRUE()),--('Patent Portfolio'!H3:H22&gt;=2))/COUNTIF('Bundle Assignment'!F3:F22,TRUE()),0))</f>
        <v>0.333333333333333</v>
      </c>
      <c r="I5" s="85" t="n">
        <f aca="false">IF(Configuration!$C$13="No","",SUMPRODUCT(--('Bundle Assignment'!F3:F22=TRUE()),--('Patent Portfolio'!L3:L22=3)))</f>
        <v>1</v>
      </c>
      <c r="J5" s="27" t="str">
        <f aca="false">IF(Configuration!$C$13="No","",IF(C5&lt;2,"WEAK",IF(AND(C5&gt;=Configuration!$C$59,D5&gt;=Configuration!$C$60,E5&gt;=Configuration!$C$61),"STRONG","MODERATE")))</f>
        <v>MODERATE</v>
      </c>
      <c r="K5" s="89" t="str">
        <f aca="false">IF(Configuration!$C$13="No","",IF(Configuration!$C$63="No","",IFERROR(aggregate(5,6,'Patent Portfolio'!AC3:AC22/('Bundle Assignment'!F3:F22=TRUE())),"")))</f>
        <v/>
      </c>
      <c r="L5" s="88" t="n">
        <f aca="false">IF(Configuration!$C$13="No","",IF(Configuration!$C$64="No","",IFERROR(SUMPRODUCT(--('Bundle Assignment'!F3:F22=TRUE()),--('Patent Portfolio'!AD3:AD22&lt;=1))/COUNTIF('Bundle Assignment'!F3:F22,TRUE()),0)))</f>
        <v>0.25</v>
      </c>
      <c r="M5" s="88" t="n">
        <f aca="false">IF(Configuration!$C$13="No","",IF(Configuration!$C$65="No","",IFERROR(SUMPRODUCT(--('Bundle Assignment'!F3:F22=TRUE()),--('Patent Portfolio'!AK3:AK22&lt;&gt;"None"),--('Patent Portfolio'!AK3:AK22&lt;&gt;""))/COUNTIF('Bundle Assignment'!F3:F22,TRUE()),0)))</f>
        <v>0.583333333333333</v>
      </c>
      <c r="N5" s="88" t="n">
        <f aca="false">IF(Configuration!$C$13="No","",IF(Configuration!$C$66="No","",IFERROR(SUMPRODUCT(--('Bundle Assignment'!F3:F22=TRUE()),--('Patent Portfolio'!AI3:AI22="Survived"))/COUNTIF('Bundle Assignment'!F3:F22,TRUE()),0)))</f>
        <v>0.166666666666667</v>
      </c>
      <c r="O5" s="88" t="n">
        <f aca="false">IF(Configuration!$C$13="No","",IF(Configuration!$C$67="No","",IFERROR(SUMPRODUCT(--('Bundle Assignment'!F3:F22=TRUE()),--('Patent Portfolio'!T3:T22="Yes"))/COUNTIF('Bundle Assignment'!F3:F22,TRUE()),0)))</f>
        <v>0.5</v>
      </c>
    </row>
    <row r="6" customFormat="false" ht="15" hidden="false" customHeight="true" outlineLevel="0" collapsed="false">
      <c r="A6" s="82" t="n">
        <v>5</v>
      </c>
      <c r="B6" s="18" t="str">
        <f aca="false">IF(Configuration!$C$14="No","[DISABLED] Use-Case","Use-Case")</f>
        <v>Use-Case</v>
      </c>
      <c r="C6" s="85" t="n">
        <f aca="false">IF(Configuration!$C$14="No","",COUNTIF('Bundle Assignment'!G3:G22,TRUE()))</f>
        <v>12</v>
      </c>
      <c r="D6" s="86" t="n">
        <f aca="false">IF(Configuration!$C$14="No","",IFERROR(SUMPRODUCT(--('Bundle Assignment'!G3:G22=TRUE()),('Patent Portfolio'!O3:O22+'Patent Portfolio'!P3:P22)/2)/COUNTIF('Bundle Assignment'!G3:G22,TRUE()),0))</f>
        <v>1.58333333333333</v>
      </c>
      <c r="E6" s="87" t="n">
        <f aca="false">IF(Configuration!$C$14="No","",IFERROR(SUMPRODUCT(--('Bundle Assignment'!G3:G22=TRUE()),'Patent Portfolio'!U3:U22)/COUNTIF('Bundle Assignment'!G3:G22,TRUE()),0))</f>
        <v>13.1666666666667</v>
      </c>
      <c r="F6" s="88" t="n">
        <f aca="false">IF(Configuration!$C$14="No","",IFERROR(SUMPRODUCT(--('Bundle Assignment'!G3:G22=TRUE()),--('Patent Portfolio'!X3:X22="Yes"))/COUNTIF('Bundle Assignment'!G3:G22,TRUE()),0))</f>
        <v>0.833333333333333</v>
      </c>
      <c r="G6" s="88" t="n">
        <f aca="false">IF(Configuration!$C$14="No","",IFERROR(SUMPRODUCT(--('Bundle Assignment'!G3:G22=TRUE()),--('Patent Portfolio'!T3:T22="Yes"))/COUNTIF('Bundle Assignment'!G3:G22,TRUE()),0))</f>
        <v>0.5</v>
      </c>
      <c r="H6" s="88" t="n">
        <f aca="false">IF(Configuration!$C$14="No","",IFERROR(SUMPRODUCT(--('Bundle Assignment'!G3:G22=TRUE()),--('Patent Portfolio'!H3:H22&gt;=2))/COUNTIF('Bundle Assignment'!G3:G22,TRUE()),0))</f>
        <v>0.333333333333333</v>
      </c>
      <c r="I6" s="85" t="n">
        <f aca="false">IF(Configuration!$C$14="No","",SUMPRODUCT(--('Bundle Assignment'!G3:G22=TRUE()),--('Patent Portfolio'!L3:L22=3)))</f>
        <v>1</v>
      </c>
      <c r="J6" s="27" t="str">
        <f aca="false">IF(Configuration!$C$14="No","",IF(C6&lt;2,"WEAK",IF(AND(C6&gt;=Configuration!$C$59,D6&gt;=Configuration!$C$60,E6&gt;=Configuration!$C$61),"STRONG","MODERATE")))</f>
        <v>MODERATE</v>
      </c>
      <c r="K6" s="89" t="str">
        <f aca="false">IF(Configuration!$C$14="No","",IF(Configuration!$C$63="No","",IFERROR(aggregate(5,6,'Patent Portfolio'!AC3:AC22/('Bundle Assignment'!G3:G22=TRUE())),"")))</f>
        <v/>
      </c>
      <c r="L6" s="88" t="n">
        <f aca="false">IF(Configuration!$C$14="No","",IF(Configuration!$C$64="No","",IFERROR(SUMPRODUCT(--('Bundle Assignment'!G3:G22=TRUE()),--('Patent Portfolio'!AD3:AD22&lt;=1))/COUNTIF('Bundle Assignment'!G3:G22,TRUE()),0)))</f>
        <v>0.25</v>
      </c>
      <c r="M6" s="88" t="n">
        <f aca="false">IF(Configuration!$C$14="No","",IF(Configuration!$C$65="No","",IFERROR(SUMPRODUCT(--('Bundle Assignment'!G3:G22=TRUE()),--('Patent Portfolio'!AK3:AK22&lt;&gt;"None"),--('Patent Portfolio'!AK3:AK22&lt;&gt;""))/COUNTIF('Bundle Assignment'!G3:G22,TRUE()),0)))</f>
        <v>0.583333333333333</v>
      </c>
      <c r="N6" s="88" t="n">
        <f aca="false">IF(Configuration!$C$14="No","",IF(Configuration!$C$66="No","",IFERROR(SUMPRODUCT(--('Bundle Assignment'!G3:G22=TRUE()),--('Patent Portfolio'!AI3:AI22="Survived"))/COUNTIF('Bundle Assignment'!G3:G22,TRUE()),0)))</f>
        <v>0.166666666666667</v>
      </c>
      <c r="O6" s="88" t="n">
        <f aca="false">IF(Configuration!$C$14="No","",IF(Configuration!$C$67="No","",IFERROR(SUMPRODUCT(--('Bundle Assignment'!G3:G22=TRUE()),--('Patent Portfolio'!T3:T22="Yes"))/COUNTIF('Bundle Assignment'!G3:G22,TRUE()),0)))</f>
        <v>0.5</v>
      </c>
    </row>
    <row r="7" customFormat="false" ht="15" hidden="false" customHeight="true" outlineLevel="0" collapsed="false">
      <c r="A7" s="82" t="n">
        <v>6</v>
      </c>
      <c r="B7" s="18" t="str">
        <f aca="false">IF(Configuration!$C$15="No","[DISABLED] Manufacturing / Process","Manufacturing / Process")</f>
        <v>Manufacturing / Process</v>
      </c>
      <c r="C7" s="85" t="n">
        <f aca="false">IF(Configuration!$C$15="No","",COUNTIF('Bundle Assignment'!H3:H22,TRUE()))</f>
        <v>1</v>
      </c>
      <c r="D7" s="86" t="n">
        <f aca="false">IF(Configuration!$C$15="No","",IFERROR(SUMPRODUCT(--('Bundle Assignment'!H3:H22=TRUE()),('Patent Portfolio'!O3:O22+'Patent Portfolio'!P3:P22)/2)/COUNTIF('Bundle Assignment'!H3:H22,TRUE()),0))</f>
        <v>0.5</v>
      </c>
      <c r="E7" s="87" t="n">
        <f aca="false">IF(Configuration!$C$15="No","",IFERROR(SUMPRODUCT(--('Bundle Assignment'!H3:H22=TRUE()),'Patent Portfolio'!U3:U22)/COUNTIF('Bundle Assignment'!H3:H22,TRUE()),0))</f>
        <v>13</v>
      </c>
      <c r="F7" s="88" t="n">
        <f aca="false">IF(Configuration!$C$15="No","",IFERROR(SUMPRODUCT(--('Bundle Assignment'!H3:H22=TRUE()),--('Patent Portfolio'!X3:X22="Yes"))/COUNTIF('Bundle Assignment'!H3:H22,TRUE()),0))</f>
        <v>1</v>
      </c>
      <c r="G7" s="88" t="n">
        <f aca="false">IF(Configuration!$C$15="No","",IFERROR(SUMPRODUCT(--('Bundle Assignment'!H3:H22=TRUE()),--('Patent Portfolio'!T3:T22="Yes"))/COUNTIF('Bundle Assignment'!H3:H22,TRUE()),0))</f>
        <v>1</v>
      </c>
      <c r="H7" s="88" t="n">
        <f aca="false">IF(Configuration!$C$15="No","",IFERROR(SUMPRODUCT(--('Bundle Assignment'!H3:H22=TRUE()),--('Patent Portfolio'!H3:H22&gt;=2))/COUNTIF('Bundle Assignment'!H3:H22,TRUE()),0))</f>
        <v>0</v>
      </c>
      <c r="I7" s="85" t="n">
        <f aca="false">IF(Configuration!$C$15="No","",SUMPRODUCT(--('Bundle Assignment'!H3:H22=TRUE()),--('Patent Portfolio'!L3:L22=3)))</f>
        <v>0</v>
      </c>
      <c r="J7" s="27" t="str">
        <f aca="false">IF(Configuration!$C$15="No","",IF(C7&lt;2,"WEAK",IF(AND(C7&gt;=Configuration!$C$59,D7&gt;=Configuration!$C$60,E7&gt;=Configuration!$C$61),"STRONG","MODERATE")))</f>
        <v>WEAK</v>
      </c>
      <c r="K7" s="89" t="str">
        <f aca="false">IF(Configuration!$C$15="No","",IF(Configuration!$C$63="No","",IFERROR(aggregate(5,6,'Patent Portfolio'!AC3:AC22/('Bundle Assignment'!H3:H22=TRUE())),"")))</f>
        <v/>
      </c>
      <c r="L7" s="88" t="n">
        <f aca="false">IF(Configuration!$C$15="No","",IF(Configuration!$C$64="No","",IFERROR(SUMPRODUCT(--('Bundle Assignment'!H3:H22=TRUE()),--('Patent Portfolio'!AD3:AD22&lt;=1))/COUNTIF('Bundle Assignment'!H3:H22,TRUE()),0)))</f>
        <v>0</v>
      </c>
      <c r="M7" s="88" t="n">
        <f aca="false">IF(Configuration!$C$15="No","",IF(Configuration!$C$65="No","",IFERROR(SUMPRODUCT(--('Bundle Assignment'!H3:H22=TRUE()),--('Patent Portfolio'!AK3:AK22&lt;&gt;"None"),--('Patent Portfolio'!AK3:AK22&lt;&gt;""))/COUNTIF('Bundle Assignment'!H3:H22,TRUE()),0)))</f>
        <v>0</v>
      </c>
      <c r="N7" s="88" t="n">
        <f aca="false">IF(Configuration!$C$15="No","",IF(Configuration!$C$66="No","",IFERROR(SUMPRODUCT(--('Bundle Assignment'!H3:H22=TRUE()),--('Patent Portfolio'!AI3:AI22="Survived"))/COUNTIF('Bundle Assignment'!H3:H22,TRUE()),0)))</f>
        <v>0</v>
      </c>
      <c r="O7" s="88" t="n">
        <f aca="false">IF(Configuration!$C$15="No","",IF(Configuration!$C$67="No","",IFERROR(SUMPRODUCT(--('Bundle Assignment'!H3:H22=TRUE()),--('Patent Portfolio'!T3:T22="Yes"))/COUNTIF('Bundle Assignment'!H3:H22,TRUE()),0)))</f>
        <v>1</v>
      </c>
    </row>
    <row r="8" customFormat="false" ht="15" hidden="false" customHeight="true" outlineLevel="0" collapsed="false">
      <c r="A8" s="82" t="n">
        <v>7</v>
      </c>
      <c r="B8" s="18" t="str">
        <f aca="false">IF(Configuration!$C$16="No","[DISABLED] Materials &amp; Chemistry","Materials &amp; Chemistry")</f>
        <v>Materials &amp; Chemistry</v>
      </c>
      <c r="C8" s="85" t="n">
        <f aca="false">IF(Configuration!$C$16="No","",COUNTIF('Bundle Assignment'!I3:I22,TRUE()))</f>
        <v>1</v>
      </c>
      <c r="D8" s="86" t="n">
        <f aca="false">IF(Configuration!$C$16="No","",IFERROR(SUMPRODUCT(--('Bundle Assignment'!I3:I22=TRUE()),('Patent Portfolio'!O3:O22+'Patent Portfolio'!P3:P22)/2)/COUNTIF('Bundle Assignment'!I3:I22,TRUE()),0))</f>
        <v>1.5</v>
      </c>
      <c r="E8" s="87" t="n">
        <f aca="false">IF(Configuration!$C$16="No","",IFERROR(SUMPRODUCT(--('Bundle Assignment'!I3:I22=TRUE()),'Patent Portfolio'!U3:U22)/COUNTIF('Bundle Assignment'!I3:I22,TRUE()),0))</f>
        <v>17</v>
      </c>
      <c r="F8" s="88" t="n">
        <f aca="false">IF(Configuration!$C$16="No","",IFERROR(SUMPRODUCT(--('Bundle Assignment'!I3:I22=TRUE()),--('Patent Portfolio'!X3:X22="Yes"))/COUNTIF('Bundle Assignment'!I3:I22,TRUE()),0))</f>
        <v>1</v>
      </c>
      <c r="G8" s="88" t="n">
        <f aca="false">IF(Configuration!$C$16="No","",IFERROR(SUMPRODUCT(--('Bundle Assignment'!I3:I22=TRUE()),--('Patent Portfolio'!T3:T22="Yes"))/COUNTIF('Bundle Assignment'!I3:I22,TRUE()),0))</f>
        <v>1</v>
      </c>
      <c r="H8" s="88" t="n">
        <f aca="false">IF(Configuration!$C$16="No","",IFERROR(SUMPRODUCT(--('Bundle Assignment'!I3:I22=TRUE()),--('Patent Portfolio'!H3:H22&gt;=2))/COUNTIF('Bundle Assignment'!I3:I22,TRUE()),0))</f>
        <v>0</v>
      </c>
      <c r="I8" s="85" t="n">
        <f aca="false">IF(Configuration!$C$16="No","",SUMPRODUCT(--('Bundle Assignment'!I3:I22=TRUE()),--('Patent Portfolio'!L3:L22=3)))</f>
        <v>1</v>
      </c>
      <c r="J8" s="27" t="str">
        <f aca="false">IF(Configuration!$C$16="No","",IF(C8&lt;2,"WEAK",IF(AND(C8&gt;=Configuration!$C$59,D8&gt;=Configuration!$C$60,E8&gt;=Configuration!$C$61),"STRONG","MODERATE")))</f>
        <v>WEAK</v>
      </c>
      <c r="K8" s="89" t="str">
        <f aca="false">IF(Configuration!$C$16="No","",IF(Configuration!$C$63="No","",IFERROR(aggregate(5,6,'Patent Portfolio'!AC3:AC22/('Bundle Assignment'!I3:I22=TRUE())),"")))</f>
        <v/>
      </c>
      <c r="L8" s="88" t="n">
        <f aca="false">IF(Configuration!$C$16="No","",IF(Configuration!$C$64="No","",IFERROR(SUMPRODUCT(--('Bundle Assignment'!I3:I22=TRUE()),--('Patent Portfolio'!AD3:AD22&lt;=1))/COUNTIF('Bundle Assignment'!I3:I22,TRUE()),0)))</f>
        <v>0</v>
      </c>
      <c r="M8" s="88" t="n">
        <f aca="false">IF(Configuration!$C$16="No","",IF(Configuration!$C$65="No","",IFERROR(SUMPRODUCT(--('Bundle Assignment'!I3:I22=TRUE()),--('Patent Portfolio'!AK3:AK22&lt;&gt;"None"),--('Patent Portfolio'!AK3:AK22&lt;&gt;""))/COUNTIF('Bundle Assignment'!I3:I22,TRUE()),0)))</f>
        <v>1</v>
      </c>
      <c r="N8" s="88" t="n">
        <f aca="false">IF(Configuration!$C$16="No","",IF(Configuration!$C$66="No","",IFERROR(SUMPRODUCT(--('Bundle Assignment'!I3:I22=TRUE()),--('Patent Portfolio'!AI3:AI22="Survived"))/COUNTIF('Bundle Assignment'!I3:I22,TRUE()),0)))</f>
        <v>0</v>
      </c>
      <c r="O8" s="88" t="n">
        <f aca="false">IF(Configuration!$C$16="No","",IF(Configuration!$C$67="No","",IFERROR(SUMPRODUCT(--('Bundle Assignment'!I3:I22=TRUE()),--('Patent Portfolio'!T3:T22="Yes"))/COUNTIF('Bundle Assignment'!I3:I22,TRUE()),0)))</f>
        <v>1</v>
      </c>
    </row>
    <row r="9" customFormat="false" ht="15" hidden="false" customHeight="true" outlineLevel="0" collapsed="false">
      <c r="A9" s="82" t="n">
        <v>8</v>
      </c>
      <c r="B9" s="18" t="str">
        <f aca="false">IF(Configuration!$C$17="No","[DISABLED] Algorithm / Software","Algorithm / Software")</f>
        <v>Algorithm / Software</v>
      </c>
      <c r="C9" s="85" t="n">
        <f aca="false">IF(Configuration!$C$17="No","",COUNTIF('Bundle Assignment'!J3:J22,TRUE()))</f>
        <v>3</v>
      </c>
      <c r="D9" s="86" t="n">
        <f aca="false">IF(Configuration!$C$17="No","",IFERROR(SUMPRODUCT(--('Bundle Assignment'!J3:J22=TRUE()),('Patent Portfolio'!O3:O22+'Patent Portfolio'!P3:P22)/2)/COUNTIF('Bundle Assignment'!J3:J22,TRUE()),0))</f>
        <v>1.16666666666667</v>
      </c>
      <c r="E9" s="87" t="n">
        <f aca="false">IF(Configuration!$C$17="No","",IFERROR(SUMPRODUCT(--('Bundle Assignment'!J3:J22=TRUE()),'Patent Portfolio'!U3:U22)/COUNTIF('Bundle Assignment'!J3:J22,TRUE()),0))</f>
        <v>14</v>
      </c>
      <c r="F9" s="88" t="n">
        <f aca="false">IF(Configuration!$C$17="No","",IFERROR(SUMPRODUCT(--('Bundle Assignment'!J3:J22=TRUE()),--('Patent Portfolio'!X3:X22="Yes"))/COUNTIF('Bundle Assignment'!J3:J22,TRUE()),0))</f>
        <v>0.333333333333333</v>
      </c>
      <c r="G9" s="88" t="n">
        <f aca="false">IF(Configuration!$C$17="No","",IFERROR(SUMPRODUCT(--('Bundle Assignment'!J3:J22=TRUE()),--('Patent Portfolio'!T3:T22="Yes"))/COUNTIF('Bundle Assignment'!J3:J22,TRUE()),0))</f>
        <v>0.666666666666667</v>
      </c>
      <c r="H9" s="88" t="n">
        <f aca="false">IF(Configuration!$C$17="No","",IFERROR(SUMPRODUCT(--('Bundle Assignment'!J3:J22=TRUE()),--('Patent Portfolio'!H3:H22&gt;=2))/COUNTIF('Bundle Assignment'!J3:J22,TRUE()),0))</f>
        <v>0</v>
      </c>
      <c r="I9" s="85" t="n">
        <f aca="false">IF(Configuration!$C$17="No","",SUMPRODUCT(--('Bundle Assignment'!J3:J22=TRUE()),--('Patent Portfolio'!L3:L22=3)))</f>
        <v>0</v>
      </c>
      <c r="J9" s="27" t="str">
        <f aca="false">IF(Configuration!$C$17="No","",IF(C9&lt;2,"WEAK",IF(AND(C9&gt;=Configuration!$C$59,D9&gt;=Configuration!$C$60,E9&gt;=Configuration!$C$61),"STRONG","MODERATE")))</f>
        <v>MODERATE</v>
      </c>
      <c r="K9" s="89" t="str">
        <f aca="false">IF(Configuration!$C$17="No","",IF(Configuration!$C$63="No","",IFERROR(aggregate(5,6,'Patent Portfolio'!AC3:AC22/('Bundle Assignment'!J3:J22=TRUE())),"")))</f>
        <v/>
      </c>
      <c r="L9" s="88" t="n">
        <f aca="false">IF(Configuration!$C$17="No","",IF(Configuration!$C$64="No","",IFERROR(SUMPRODUCT(--('Bundle Assignment'!J3:J22=TRUE()),--('Patent Portfolio'!AD3:AD22&lt;=1))/COUNTIF('Bundle Assignment'!J3:J22,TRUE()),0)))</f>
        <v>1</v>
      </c>
      <c r="M9" s="88" t="n">
        <f aca="false">IF(Configuration!$C$17="No","",IF(Configuration!$C$65="No","",IFERROR(SUMPRODUCT(--('Bundle Assignment'!J3:J22=TRUE()),--('Patent Portfolio'!AK3:AK22&lt;&gt;"None"),--('Patent Portfolio'!AK3:AK22&lt;&gt;""))/COUNTIF('Bundle Assignment'!J3:J22,TRUE()),0)))</f>
        <v>0.333333333333333</v>
      </c>
      <c r="N9" s="88" t="n">
        <f aca="false">IF(Configuration!$C$17="No","",IF(Configuration!$C$66="No","",IFERROR(SUMPRODUCT(--('Bundle Assignment'!J3:J22=TRUE()),--('Patent Portfolio'!AI3:AI22="Survived"))/COUNTIF('Bundle Assignment'!J3:J22,TRUE()),0)))</f>
        <v>0</v>
      </c>
      <c r="O9" s="88" t="n">
        <f aca="false">IF(Configuration!$C$17="No","",IF(Configuration!$C$67="No","",IFERROR(SUMPRODUCT(--('Bundle Assignment'!J3:J22=TRUE()),--('Patent Portfolio'!T3:T22="Yes"))/COUNTIF('Bundle Assignment'!J3:J22,TRUE()),0)))</f>
        <v>0.666666666666667</v>
      </c>
    </row>
    <row r="10" customFormat="false" ht="15" hidden="false" customHeight="true" outlineLevel="0" collapsed="false">
      <c r="A10" s="82" t="n">
        <v>9</v>
      </c>
      <c r="B10" s="18" t="str">
        <f aca="false">IF(Configuration!$C$18="No","[DISABLED] Interoperability","Interoperability")</f>
        <v>Interoperability</v>
      </c>
      <c r="C10" s="85" t="n">
        <f aca="false">IF(Configuration!$C$18="No","",COUNTIF('Bundle Assignment'!K3:K22,TRUE()))</f>
        <v>4</v>
      </c>
      <c r="D10" s="86" t="n">
        <f aca="false">IF(Configuration!$C$18="No","",IFERROR(SUMPRODUCT(--('Bundle Assignment'!K3:K22=TRUE()),('Patent Portfolio'!O3:O22+'Patent Portfolio'!P3:P22)/2)/COUNTIF('Bundle Assignment'!K3:K22,TRUE()),0))</f>
        <v>2</v>
      </c>
      <c r="E10" s="87" t="n">
        <f aca="false">IF(Configuration!$C$18="No","",IFERROR(SUMPRODUCT(--('Bundle Assignment'!K3:K22=TRUE()),'Patent Portfolio'!U3:U22)/COUNTIF('Bundle Assignment'!K3:K22,TRUE()),0))</f>
        <v>13.25</v>
      </c>
      <c r="F10" s="88" t="n">
        <f aca="false">IF(Configuration!$C$18="No","",IFERROR(SUMPRODUCT(--('Bundle Assignment'!K3:K22=TRUE()),--('Patent Portfolio'!X3:X22="Yes"))/COUNTIF('Bundle Assignment'!K3:K22,TRUE()),0))</f>
        <v>1</v>
      </c>
      <c r="G10" s="88" t="n">
        <f aca="false">IF(Configuration!$C$18="No","",IFERROR(SUMPRODUCT(--('Bundle Assignment'!K3:K22=TRUE()),--('Patent Portfolio'!T3:T22="Yes"))/COUNTIF('Bundle Assignment'!K3:K22,TRUE()),0))</f>
        <v>0.5</v>
      </c>
      <c r="H10" s="88" t="n">
        <f aca="false">IF(Configuration!$C$18="No","",IFERROR(SUMPRODUCT(--('Bundle Assignment'!K3:K22=TRUE()),--('Patent Portfolio'!H3:H22&gt;=2))/COUNTIF('Bundle Assignment'!K3:K22,TRUE()),0))</f>
        <v>1</v>
      </c>
      <c r="I10" s="85" t="n">
        <f aca="false">IF(Configuration!$C$18="No","",SUMPRODUCT(--('Bundle Assignment'!K3:K22=TRUE()),--('Patent Portfolio'!L3:L22=3)))</f>
        <v>0</v>
      </c>
      <c r="J10" s="27" t="str">
        <f aca="false">IF(Configuration!$C$18="No","",IF(C10&lt;2,"WEAK",IF(AND(C10&gt;=Configuration!$C$59,D10&gt;=Configuration!$C$60,E10&gt;=Configuration!$C$61),"STRONG","MODERATE")))</f>
        <v>STRONG</v>
      </c>
      <c r="K10" s="89" t="str">
        <f aca="false">IF(Configuration!$C$18="No","",IF(Configuration!$C$63="No","",IFERROR(aggregate(5,6,'Patent Portfolio'!AC3:AC22/('Bundle Assignment'!K3:K22=TRUE())),"")))</f>
        <v/>
      </c>
      <c r="L10" s="88" t="n">
        <f aca="false">IF(Configuration!$C$18="No","",IF(Configuration!$C$64="No","",IFERROR(SUMPRODUCT(--('Bundle Assignment'!K3:K22=TRUE()),--('Patent Portfolio'!AD3:AD22&lt;=1))/COUNTIF('Bundle Assignment'!K3:K22,TRUE()),0)))</f>
        <v>0</v>
      </c>
      <c r="M10" s="88" t="n">
        <f aca="false">IF(Configuration!$C$18="No","",IF(Configuration!$C$65="No","",IFERROR(SUMPRODUCT(--('Bundle Assignment'!K3:K22=TRUE()),--('Patent Portfolio'!AK3:AK22&lt;&gt;"None"),--('Patent Portfolio'!AK3:AK22&lt;&gt;""))/COUNTIF('Bundle Assignment'!K3:K22,TRUE()),0)))</f>
        <v>0.75</v>
      </c>
      <c r="N10" s="88" t="n">
        <f aca="false">IF(Configuration!$C$18="No","",IF(Configuration!$C$66="No","",IFERROR(SUMPRODUCT(--('Bundle Assignment'!K3:K22=TRUE()),--('Patent Portfolio'!AI3:AI22="Survived"))/COUNTIF('Bundle Assignment'!K3:K22,TRUE()),0)))</f>
        <v>0.5</v>
      </c>
      <c r="O10" s="88" t="n">
        <f aca="false">IF(Configuration!$C$18="No","",IF(Configuration!$C$67="No","",IFERROR(SUMPRODUCT(--('Bundle Assignment'!K3:K22=TRUE()),--('Patent Portfolio'!T3:T22="Yes"))/COUNTIF('Bundle Assignment'!K3:K22,TRUE()),0)))</f>
        <v>0.5</v>
      </c>
    </row>
    <row r="11" customFormat="false" ht="15" hidden="false" customHeight="true" outlineLevel="0" collapsed="false">
      <c r="A11" s="82" t="n">
        <v>10</v>
      </c>
      <c r="B11" s="18" t="str">
        <f aca="false">IF(Configuration!$C$19="No","[DISABLED] Generational Roadmap","Generational Roadmap")</f>
        <v>Generational Roadmap</v>
      </c>
      <c r="C11" s="85" t="n">
        <f aca="false">IF(Configuration!$C$19="No","",COUNTIF('Bundle Assignment'!L3:L22,TRUE()))</f>
        <v>12</v>
      </c>
      <c r="D11" s="86" t="n">
        <f aca="false">IF(Configuration!$C$19="No","",IFERROR(SUMPRODUCT(--('Bundle Assignment'!L3:L22=TRUE()),('Patent Portfolio'!O3:O22+'Patent Portfolio'!P3:P22)/2)/COUNTIF('Bundle Assignment'!L3:L22,TRUE()),0))</f>
        <v>1.58333333333333</v>
      </c>
      <c r="E11" s="87" t="n">
        <f aca="false">IF(Configuration!$C$19="No","",IFERROR(SUMPRODUCT(--('Bundle Assignment'!L3:L22=TRUE()),'Patent Portfolio'!U3:U22)/COUNTIF('Bundle Assignment'!L3:L22,TRUE()),0))</f>
        <v>13.1666666666667</v>
      </c>
      <c r="F11" s="88" t="n">
        <f aca="false">IF(Configuration!$C$19="No","",IFERROR(SUMPRODUCT(--('Bundle Assignment'!L3:L22=TRUE()),--('Patent Portfolio'!X3:X22="Yes"))/COUNTIF('Bundle Assignment'!L3:L22,TRUE()),0))</f>
        <v>0.833333333333333</v>
      </c>
      <c r="G11" s="88" t="n">
        <f aca="false">IF(Configuration!$C$19="No","",IFERROR(SUMPRODUCT(--('Bundle Assignment'!L3:L22=TRUE()),--('Patent Portfolio'!T3:T22="Yes"))/COUNTIF('Bundle Assignment'!L3:L22,TRUE()),0))</f>
        <v>0.5</v>
      </c>
      <c r="H11" s="88" t="n">
        <f aca="false">IF(Configuration!$C$19="No","",IFERROR(SUMPRODUCT(--('Bundle Assignment'!L3:L22=TRUE()),--('Patent Portfolio'!H3:H22&gt;=2))/COUNTIF('Bundle Assignment'!L3:L22,TRUE()),0))</f>
        <v>0.333333333333333</v>
      </c>
      <c r="I11" s="85" t="n">
        <f aca="false">IF(Configuration!$C$19="No","",SUMPRODUCT(--('Bundle Assignment'!L3:L22=TRUE()),--('Patent Portfolio'!L3:L22=3)))</f>
        <v>1</v>
      </c>
      <c r="J11" s="27" t="str">
        <f aca="false">IF(Configuration!$C$19="No","",IF(C11&lt;2,"WEAK",IF(AND(C11&gt;=Configuration!$C$59,D11&gt;=Configuration!$C$60,E11&gt;=Configuration!$C$61),"STRONG","MODERATE")))</f>
        <v>MODERATE</v>
      </c>
      <c r="K11" s="89" t="str">
        <f aca="false">IF(Configuration!$C$19="No","",IF(Configuration!$C$63="No","",IFERROR(aggregate(5,6,'Patent Portfolio'!AC3:AC22/('Bundle Assignment'!L3:L22=TRUE())),"")))</f>
        <v/>
      </c>
      <c r="L11" s="88" t="n">
        <f aca="false">IF(Configuration!$C$19="No","",IF(Configuration!$C$64="No","",IFERROR(SUMPRODUCT(--('Bundle Assignment'!L3:L22=TRUE()),--('Patent Portfolio'!AD3:AD22&lt;=1))/COUNTIF('Bundle Assignment'!L3:L22,TRUE()),0)))</f>
        <v>0.25</v>
      </c>
      <c r="M11" s="88" t="n">
        <f aca="false">IF(Configuration!$C$19="No","",IF(Configuration!$C$65="No","",IFERROR(SUMPRODUCT(--('Bundle Assignment'!L3:L22=TRUE()),--('Patent Portfolio'!AK3:AK22&lt;&gt;"None"),--('Patent Portfolio'!AK3:AK22&lt;&gt;""))/COUNTIF('Bundle Assignment'!L3:L22,TRUE()),0)))</f>
        <v>0.583333333333333</v>
      </c>
      <c r="N11" s="88" t="n">
        <f aca="false">IF(Configuration!$C$19="No","",IF(Configuration!$C$66="No","",IFERROR(SUMPRODUCT(--('Bundle Assignment'!L3:L22=TRUE()),--('Patent Portfolio'!AI3:AI22="Survived"))/COUNTIF('Bundle Assignment'!L3:L22,TRUE()),0)))</f>
        <v>0.166666666666667</v>
      </c>
      <c r="O11" s="88" t="n">
        <f aca="false">IF(Configuration!$C$19="No","",IF(Configuration!$C$67="No","",IFERROR(SUMPRODUCT(--('Bundle Assignment'!L3:L22=TRUE()),--('Patent Portfolio'!T3:T22="Yes"))/COUNTIF('Bundle Assignment'!L3:L22,TRUE()),0)))</f>
        <v>0.5</v>
      </c>
    </row>
    <row r="12" customFormat="false" ht="15" hidden="false" customHeight="true" outlineLevel="0" collapsed="false">
      <c r="A12" s="82" t="n">
        <v>11</v>
      </c>
      <c r="B12" s="18" t="str">
        <f aca="false">IF(Configuration!$C$20="No","[DISABLED] Claim-Type","Claim-Type")</f>
        <v>Claim-Type</v>
      </c>
      <c r="C12" s="85" t="n">
        <f aca="false">IF(Configuration!$C$20="No","",COUNTIF('Bundle Assignment'!M3:M22,TRUE()))</f>
        <v>12</v>
      </c>
      <c r="D12" s="86" t="n">
        <f aca="false">IF(Configuration!$C$20="No","",IFERROR(SUMPRODUCT(--('Bundle Assignment'!M3:M22=TRUE()),('Patent Portfolio'!O3:O22+'Patent Portfolio'!P3:P22)/2)/COUNTIF('Bundle Assignment'!M3:M22,TRUE()),0))</f>
        <v>1.58333333333333</v>
      </c>
      <c r="E12" s="87" t="n">
        <f aca="false">IF(Configuration!$C$20="No","",IFERROR(SUMPRODUCT(--('Bundle Assignment'!M3:M22=TRUE()),'Patent Portfolio'!U3:U22)/COUNTIF('Bundle Assignment'!M3:M22,TRUE()),0))</f>
        <v>13.1666666666667</v>
      </c>
      <c r="F12" s="88" t="n">
        <f aca="false">IF(Configuration!$C$20="No","",IFERROR(SUMPRODUCT(--('Bundle Assignment'!M3:M22=TRUE()),--('Patent Portfolio'!X3:X22="Yes"))/COUNTIF('Bundle Assignment'!M3:M22,TRUE()),0))</f>
        <v>0.833333333333333</v>
      </c>
      <c r="G12" s="88" t="n">
        <f aca="false">IF(Configuration!$C$20="No","",IFERROR(SUMPRODUCT(--('Bundle Assignment'!M3:M22=TRUE()),--('Patent Portfolio'!T3:T22="Yes"))/COUNTIF('Bundle Assignment'!M3:M22,TRUE()),0))</f>
        <v>0.5</v>
      </c>
      <c r="H12" s="88" t="n">
        <f aca="false">IF(Configuration!$C$20="No","",IFERROR(SUMPRODUCT(--('Bundle Assignment'!M3:M22=TRUE()),--('Patent Portfolio'!H3:H22&gt;=2))/COUNTIF('Bundle Assignment'!M3:M22,TRUE()),0))</f>
        <v>0.333333333333333</v>
      </c>
      <c r="I12" s="85" t="n">
        <f aca="false">IF(Configuration!$C$20="No","",SUMPRODUCT(--('Bundle Assignment'!M3:M22=TRUE()),--('Patent Portfolio'!L3:L22=3)))</f>
        <v>1</v>
      </c>
      <c r="J12" s="27" t="str">
        <f aca="false">IF(Configuration!$C$20="No","",IF(C12&lt;2,"WEAK",IF(AND(C12&gt;=Configuration!$C$59,D12&gt;=Configuration!$C$60,E12&gt;=Configuration!$C$61),"STRONG","MODERATE")))</f>
        <v>MODERATE</v>
      </c>
      <c r="K12" s="89" t="str">
        <f aca="false">IF(Configuration!$C$20="No","",IF(Configuration!$C$63="No","",IFERROR(aggregate(5,6,'Patent Portfolio'!AC3:AC22/('Bundle Assignment'!M3:M22=TRUE())),"")))</f>
        <v/>
      </c>
      <c r="L12" s="88" t="n">
        <f aca="false">IF(Configuration!$C$20="No","",IF(Configuration!$C$64="No","",IFERROR(SUMPRODUCT(--('Bundle Assignment'!M3:M22=TRUE()),--('Patent Portfolio'!AD3:AD22&lt;=1))/COUNTIF('Bundle Assignment'!M3:M22,TRUE()),0)))</f>
        <v>0.25</v>
      </c>
      <c r="M12" s="88" t="n">
        <f aca="false">IF(Configuration!$C$20="No","",IF(Configuration!$C$65="No","",IFERROR(SUMPRODUCT(--('Bundle Assignment'!M3:M22=TRUE()),--('Patent Portfolio'!AK3:AK22&lt;&gt;"None"),--('Patent Portfolio'!AK3:AK22&lt;&gt;""))/COUNTIF('Bundle Assignment'!M3:M22,TRUE()),0)))</f>
        <v>0.583333333333333</v>
      </c>
      <c r="N12" s="88" t="n">
        <f aca="false">IF(Configuration!$C$20="No","",IF(Configuration!$C$66="No","",IFERROR(SUMPRODUCT(--('Bundle Assignment'!M3:M22=TRUE()),--('Patent Portfolio'!AI3:AI22="Survived"))/COUNTIF('Bundle Assignment'!M3:M22,TRUE()),0)))</f>
        <v>0.166666666666667</v>
      </c>
      <c r="O12" s="88" t="n">
        <f aca="false">IF(Configuration!$C$20="No","",IF(Configuration!$C$67="No","",IFERROR(SUMPRODUCT(--('Bundle Assignment'!M3:M22=TRUE()),--('Patent Portfolio'!T3:T22="Yes"))/COUNTIF('Bundle Assignment'!M3:M22,TRUE()),0)))</f>
        <v>0.5</v>
      </c>
    </row>
    <row r="13" customFormat="false" ht="15" hidden="false" customHeight="true" outlineLevel="0" collapsed="false">
      <c r="A13" s="82" t="n">
        <v>12</v>
      </c>
      <c r="B13" s="18" t="str">
        <f aca="false">IF(Configuration!$C$21="No","[DISABLED] Detectability","Detectability")</f>
        <v>Detectability</v>
      </c>
      <c r="C13" s="85" t="n">
        <f aca="false">IF(Configuration!$C$21="No","",COUNTIF('Bundle Assignment'!N3:N22,TRUE()))</f>
        <v>11</v>
      </c>
      <c r="D13" s="86" t="n">
        <f aca="false">IF(Configuration!$C$21="No","",IFERROR(SUMPRODUCT(--('Bundle Assignment'!N3:N22=TRUE()),('Patent Portfolio'!O3:O22+'Patent Portfolio'!P3:P22)/2)/COUNTIF('Bundle Assignment'!N3:N22,TRUE()),0))</f>
        <v>1.68181818181818</v>
      </c>
      <c r="E13" s="87" t="n">
        <f aca="false">IF(Configuration!$C$21="No","",IFERROR(SUMPRODUCT(--('Bundle Assignment'!N3:N22=TRUE()),'Patent Portfolio'!U3:U22)/COUNTIF('Bundle Assignment'!N3:N22,TRUE()),0))</f>
        <v>13.1818181818182</v>
      </c>
      <c r="F13" s="88" t="n">
        <f aca="false">IF(Configuration!$C$21="No","",IFERROR(SUMPRODUCT(--('Bundle Assignment'!N3:N22=TRUE()),--('Patent Portfolio'!X3:X22="Yes"))/COUNTIF('Bundle Assignment'!N3:N22,TRUE()),0))</f>
        <v>0.818181818181818</v>
      </c>
      <c r="G13" s="88" t="n">
        <f aca="false">IF(Configuration!$C$21="No","",IFERROR(SUMPRODUCT(--('Bundle Assignment'!N3:N22=TRUE()),--('Patent Portfolio'!T3:T22="Yes"))/COUNTIF('Bundle Assignment'!N3:N22,TRUE()),0))</f>
        <v>0.454545454545455</v>
      </c>
      <c r="H13" s="88" t="n">
        <f aca="false">IF(Configuration!$C$21="No","",IFERROR(SUMPRODUCT(--('Bundle Assignment'!N3:N22=TRUE()),--('Patent Portfolio'!H3:H22&gt;=2))/COUNTIF('Bundle Assignment'!N3:N22,TRUE()),0))</f>
        <v>0.363636363636364</v>
      </c>
      <c r="I13" s="85" t="n">
        <f aca="false">IF(Configuration!$C$21="No","",SUMPRODUCT(--('Bundle Assignment'!N3:N22=TRUE()),--('Patent Portfolio'!L3:L22=3)))</f>
        <v>1</v>
      </c>
      <c r="J13" s="27" t="str">
        <f aca="false">IF(Configuration!$C$21="No","",IF(C13&lt;2,"WEAK",IF(AND(C13&gt;=Configuration!$C$59,D13&gt;=Configuration!$C$60,E13&gt;=Configuration!$C$61),"STRONG","MODERATE")))</f>
        <v>MODERATE</v>
      </c>
      <c r="K13" s="89" t="str">
        <f aca="false">IF(Configuration!$C$21="No","",IF(Configuration!$C$63="No","",IFERROR(aggregate(5,6,'Patent Portfolio'!AC3:AC22/('Bundle Assignment'!N3:N22=TRUE())),"")))</f>
        <v/>
      </c>
      <c r="L13" s="88" t="n">
        <f aca="false">IF(Configuration!$C$21="No","",IF(Configuration!$C$64="No","",IFERROR(SUMPRODUCT(--('Bundle Assignment'!N3:N22=TRUE()),--('Patent Portfolio'!AD3:AD22&lt;=1))/COUNTIF('Bundle Assignment'!N3:N22,TRUE()),0)))</f>
        <v>0.272727272727273</v>
      </c>
      <c r="M13" s="88" t="n">
        <f aca="false">IF(Configuration!$C$21="No","",IF(Configuration!$C$65="No","",IFERROR(SUMPRODUCT(--('Bundle Assignment'!N3:N22=TRUE()),--('Patent Portfolio'!AK3:AK22&lt;&gt;"None"),--('Patent Portfolio'!AK3:AK22&lt;&gt;""))/COUNTIF('Bundle Assignment'!N3:N22,TRUE()),0)))</f>
        <v>0.636363636363636</v>
      </c>
      <c r="N13" s="88" t="n">
        <f aca="false">IF(Configuration!$C$21="No","",IF(Configuration!$C$66="No","",IFERROR(SUMPRODUCT(--('Bundle Assignment'!N3:N22=TRUE()),--('Patent Portfolio'!AI3:AI22="Survived"))/COUNTIF('Bundle Assignment'!N3:N22,TRUE()),0)))</f>
        <v>0.181818181818182</v>
      </c>
      <c r="O13" s="88" t="n">
        <f aca="false">IF(Configuration!$C$21="No","",IF(Configuration!$C$67="No","",IFERROR(SUMPRODUCT(--('Bundle Assignment'!N3:N22=TRUE()),--('Patent Portfolio'!T3:T22="Yes"))/COUNTIF('Bundle Assignment'!N3:N22,TRUE()),0)))</f>
        <v>0.454545454545455</v>
      </c>
    </row>
    <row r="14" customFormat="false" ht="15" hidden="false" customHeight="true" outlineLevel="0" collapsed="false">
      <c r="A14" s="82" t="n">
        <v>13</v>
      </c>
      <c r="B14" s="18" t="str">
        <f aca="false">IF(Configuration!$C$22="No","[DISABLED] Geographic","Geographic")</f>
        <v>Geographic</v>
      </c>
      <c r="C14" s="85" t="n">
        <f aca="false">IF(Configuration!$C$22="No","",COUNTIF('Bundle Assignment'!O3:O22,TRUE()))</f>
        <v>10</v>
      </c>
      <c r="D14" s="86" t="n">
        <f aca="false">IF(Configuration!$C$22="No","",IFERROR(SUMPRODUCT(--('Bundle Assignment'!O3:O22=TRUE()),('Patent Portfolio'!O3:O22+'Patent Portfolio'!P3:P22)/2)/COUNTIF('Bundle Assignment'!O3:O22,TRUE()),0))</f>
        <v>1.7</v>
      </c>
      <c r="E14" s="87" t="n">
        <f aca="false">IF(Configuration!$C$22="No","",IFERROR(SUMPRODUCT(--('Bundle Assignment'!O3:O22=TRUE()),'Patent Portfolio'!U3:U22)/COUNTIF('Bundle Assignment'!O3:O22,TRUE()),0))</f>
        <v>13.1</v>
      </c>
      <c r="F14" s="88" t="n">
        <f aca="false">IF(Configuration!$C$22="No","",IFERROR(SUMPRODUCT(--('Bundle Assignment'!O3:O22=TRUE()),--('Patent Portfolio'!X3:X22="Yes"))/COUNTIF('Bundle Assignment'!O3:O22,TRUE()),0))</f>
        <v>1</v>
      </c>
      <c r="G14" s="88" t="n">
        <f aca="false">IF(Configuration!$C$22="No","",IFERROR(SUMPRODUCT(--('Bundle Assignment'!O3:O22=TRUE()),--('Patent Portfolio'!T3:T22="Yes"))/COUNTIF('Bundle Assignment'!O3:O22,TRUE()),0))</f>
        <v>0.5</v>
      </c>
      <c r="H14" s="88" t="n">
        <f aca="false">IF(Configuration!$C$22="No","",IFERROR(SUMPRODUCT(--('Bundle Assignment'!O3:O22=TRUE()),--('Patent Portfolio'!H3:H22&gt;=2))/COUNTIF('Bundle Assignment'!O3:O22,TRUE()),0))</f>
        <v>0.4</v>
      </c>
      <c r="I14" s="85" t="n">
        <f aca="false">IF(Configuration!$C$22="No","",SUMPRODUCT(--('Bundle Assignment'!O3:O22=TRUE()),--('Patent Portfolio'!L3:L22=3)))</f>
        <v>1</v>
      </c>
      <c r="J14" s="27" t="str">
        <f aca="false">IF(Configuration!$C$22="No","",IF(C14&lt;2,"WEAK",IF(AND(C14&gt;=Configuration!$C$59,D14&gt;=Configuration!$C$60,E14&gt;=Configuration!$C$61),"STRONG","MODERATE")))</f>
        <v>MODERATE</v>
      </c>
      <c r="K14" s="89" t="str">
        <f aca="false">IF(Configuration!$C$22="No","",IF(Configuration!$C$63="No","",IFERROR(aggregate(5,6,'Patent Portfolio'!AC3:AC22/('Bundle Assignment'!O3:O22=TRUE())),"")))</f>
        <v/>
      </c>
      <c r="L14" s="88" t="n">
        <f aca="false">IF(Configuration!$C$22="No","",IF(Configuration!$C$64="No","",IFERROR(SUMPRODUCT(--('Bundle Assignment'!O3:O22=TRUE()),--('Patent Portfolio'!AD3:AD22&lt;=1))/COUNTIF('Bundle Assignment'!O3:O22,TRUE()),0)))</f>
        <v>0.1</v>
      </c>
      <c r="M14" s="88" t="n">
        <f aca="false">IF(Configuration!$C$22="No","",IF(Configuration!$C$65="No","",IFERROR(SUMPRODUCT(--('Bundle Assignment'!O3:O22=TRUE()),--('Patent Portfolio'!AK3:AK22&lt;&gt;"None"),--('Patent Portfolio'!AK3:AK22&lt;&gt;""))/COUNTIF('Bundle Assignment'!O3:O22,TRUE()),0)))</f>
        <v>0.7</v>
      </c>
      <c r="N14" s="88" t="n">
        <f aca="false">IF(Configuration!$C$22="No","",IF(Configuration!$C$66="No","",IFERROR(SUMPRODUCT(--('Bundle Assignment'!O3:O22=TRUE()),--('Patent Portfolio'!AI3:AI22="Survived"))/COUNTIF('Bundle Assignment'!O3:O22,TRUE()),0)))</f>
        <v>0.2</v>
      </c>
      <c r="O14" s="88" t="n">
        <f aca="false">IF(Configuration!$C$22="No","",IF(Configuration!$C$67="No","",IFERROR(SUMPRODUCT(--('Bundle Assignment'!O3:O22=TRUE()),--('Patent Portfolio'!T3:T22="Yes"))/COUNTIF('Bundle Assignment'!O3:O22,TRUE()),0)))</f>
        <v>0.5</v>
      </c>
    </row>
    <row r="15" customFormat="false" ht="15" hidden="false" customHeight="true" outlineLevel="0" collapsed="false">
      <c r="A15" s="82" t="n">
        <v>14</v>
      </c>
      <c r="B15" s="18" t="str">
        <f aca="false">IF(Configuration!$C$23="No","[DISABLED] Family-Tree","Family-Tree")</f>
        <v>Family-Tree</v>
      </c>
      <c r="C15" s="85" t="n">
        <f aca="false">IF(Configuration!$C$23="No","",COUNTIF('Bundle Assignment'!P3:P22,TRUE()))</f>
        <v>12</v>
      </c>
      <c r="D15" s="86" t="n">
        <f aca="false">IF(Configuration!$C$23="No","",IFERROR(SUMPRODUCT(--('Bundle Assignment'!P3:P22=TRUE()),('Patent Portfolio'!O3:O22+'Patent Portfolio'!P3:P22)/2)/COUNTIF('Bundle Assignment'!P3:P22,TRUE()),0))</f>
        <v>1.58333333333333</v>
      </c>
      <c r="E15" s="87" t="n">
        <f aca="false">IF(Configuration!$C$23="No","",IFERROR(SUMPRODUCT(--('Bundle Assignment'!P3:P22=TRUE()),'Patent Portfolio'!U3:U22)/COUNTIF('Bundle Assignment'!P3:P22,TRUE()),0))</f>
        <v>13.1666666666667</v>
      </c>
      <c r="F15" s="88" t="n">
        <f aca="false">IF(Configuration!$C$23="No","",IFERROR(SUMPRODUCT(--('Bundle Assignment'!P3:P22=TRUE()),--('Patent Portfolio'!X3:X22="Yes"))/COUNTIF('Bundle Assignment'!P3:P22,TRUE()),0))</f>
        <v>0.833333333333333</v>
      </c>
      <c r="G15" s="88" t="n">
        <f aca="false">IF(Configuration!$C$23="No","",IFERROR(SUMPRODUCT(--('Bundle Assignment'!P3:P22=TRUE()),--('Patent Portfolio'!T3:T22="Yes"))/COUNTIF('Bundle Assignment'!P3:P22,TRUE()),0))</f>
        <v>0.5</v>
      </c>
      <c r="H15" s="88" t="n">
        <f aca="false">IF(Configuration!$C$23="No","",IFERROR(SUMPRODUCT(--('Bundle Assignment'!P3:P22=TRUE()),--('Patent Portfolio'!H3:H22&gt;=2))/COUNTIF('Bundle Assignment'!P3:P22,TRUE()),0))</f>
        <v>0.333333333333333</v>
      </c>
      <c r="I15" s="85" t="n">
        <f aca="false">IF(Configuration!$C$23="No","",SUMPRODUCT(--('Bundle Assignment'!P3:P22=TRUE()),--('Patent Portfolio'!L3:L22=3)))</f>
        <v>1</v>
      </c>
      <c r="J15" s="27" t="str">
        <f aca="false">IF(Configuration!$C$23="No","",IF(C15&lt;2,"WEAK",IF(AND(C15&gt;=Configuration!$C$59,D15&gt;=Configuration!$C$60,E15&gt;=Configuration!$C$61),"STRONG","MODERATE")))</f>
        <v>MODERATE</v>
      </c>
      <c r="K15" s="89" t="str">
        <f aca="false">IF(Configuration!$C$23="No","",IF(Configuration!$C$63="No","",IFERROR(aggregate(5,6,'Patent Portfolio'!AC3:AC22/('Bundle Assignment'!P3:P22=TRUE())),"")))</f>
        <v/>
      </c>
      <c r="L15" s="88" t="n">
        <f aca="false">IF(Configuration!$C$23="No","",IF(Configuration!$C$64="No","",IFERROR(SUMPRODUCT(--('Bundle Assignment'!P3:P22=TRUE()),--('Patent Portfolio'!AD3:AD22&lt;=1))/COUNTIF('Bundle Assignment'!P3:P22,TRUE()),0)))</f>
        <v>0.25</v>
      </c>
      <c r="M15" s="88" t="n">
        <f aca="false">IF(Configuration!$C$23="No","",IF(Configuration!$C$65="No","",IFERROR(SUMPRODUCT(--('Bundle Assignment'!P3:P22=TRUE()),--('Patent Portfolio'!AK3:AK22&lt;&gt;"None"),--('Patent Portfolio'!AK3:AK22&lt;&gt;""))/COUNTIF('Bundle Assignment'!P3:P22,TRUE()),0)))</f>
        <v>0.583333333333333</v>
      </c>
      <c r="N15" s="88" t="n">
        <f aca="false">IF(Configuration!$C$23="No","",IF(Configuration!$C$66="No","",IFERROR(SUMPRODUCT(--('Bundle Assignment'!P3:P22=TRUE()),--('Patent Portfolio'!AI3:AI22="Survived"))/COUNTIF('Bundle Assignment'!P3:P22,TRUE()),0)))</f>
        <v>0.166666666666667</v>
      </c>
      <c r="O15" s="88" t="n">
        <f aca="false">IF(Configuration!$C$23="No","",IF(Configuration!$C$67="No","",IFERROR(SUMPRODUCT(--('Bundle Assignment'!P3:P22=TRUE()),--('Patent Portfolio'!T3:T22="Yes"))/COUNTIF('Bundle Assignment'!P3:P22,TRUE()),0)))</f>
        <v>0.5</v>
      </c>
    </row>
    <row r="16" customFormat="false" ht="15" hidden="false" customHeight="true" outlineLevel="0" collapsed="false">
      <c r="A16" s="82" t="n">
        <v>15</v>
      </c>
      <c r="B16" s="18" t="str">
        <f aca="false">IF(Configuration!$C$24="No","[DISABLED] Lifecycle / Term","Lifecycle / Term")</f>
        <v>Lifecycle / Term</v>
      </c>
      <c r="C16" s="85" t="n">
        <f aca="false">IF(Configuration!$C$24="No","",COUNTIF('Bundle Assignment'!Q3:Q22,TRUE()))</f>
        <v>12</v>
      </c>
      <c r="D16" s="86" t="n">
        <f aca="false">IF(Configuration!$C$24="No","",IFERROR(SUMPRODUCT(--('Bundle Assignment'!Q3:Q22=TRUE()),('Patent Portfolio'!O3:O22+'Patent Portfolio'!P3:P22)/2)/COUNTIF('Bundle Assignment'!Q3:Q22,TRUE()),0))</f>
        <v>1.58333333333333</v>
      </c>
      <c r="E16" s="87" t="n">
        <f aca="false">IF(Configuration!$C$24="No","",IFERROR(SUMPRODUCT(--('Bundle Assignment'!Q3:Q22=TRUE()),'Patent Portfolio'!U3:U22)/COUNTIF('Bundle Assignment'!Q3:Q22,TRUE()),0))</f>
        <v>13.1666666666667</v>
      </c>
      <c r="F16" s="88" t="n">
        <f aca="false">IF(Configuration!$C$24="No","",IFERROR(SUMPRODUCT(--('Bundle Assignment'!Q3:Q22=TRUE()),--('Patent Portfolio'!X3:X22="Yes"))/COUNTIF('Bundle Assignment'!Q3:Q22,TRUE()),0))</f>
        <v>0.833333333333333</v>
      </c>
      <c r="G16" s="88" t="n">
        <f aca="false">IF(Configuration!$C$24="No","",IFERROR(SUMPRODUCT(--('Bundle Assignment'!Q3:Q22=TRUE()),--('Patent Portfolio'!T3:T22="Yes"))/COUNTIF('Bundle Assignment'!Q3:Q22,TRUE()),0))</f>
        <v>0.5</v>
      </c>
      <c r="H16" s="88" t="n">
        <f aca="false">IF(Configuration!$C$24="No","",IFERROR(SUMPRODUCT(--('Bundle Assignment'!Q3:Q22=TRUE()),--('Patent Portfolio'!H3:H22&gt;=2))/COUNTIF('Bundle Assignment'!Q3:Q22,TRUE()),0))</f>
        <v>0.333333333333333</v>
      </c>
      <c r="I16" s="85" t="n">
        <f aca="false">IF(Configuration!$C$24="No","",SUMPRODUCT(--('Bundle Assignment'!Q3:Q22=TRUE()),--('Patent Portfolio'!L3:L22=3)))</f>
        <v>1</v>
      </c>
      <c r="J16" s="27" t="str">
        <f aca="false">IF(Configuration!$C$24="No","",IF(C16&lt;2,"WEAK",IF(AND(C16&gt;=Configuration!$C$59,D16&gt;=Configuration!$C$60,E16&gt;=Configuration!$C$61),"STRONG","MODERATE")))</f>
        <v>MODERATE</v>
      </c>
      <c r="K16" s="89" t="str">
        <f aca="false">IF(Configuration!$C$24="No","",IF(Configuration!$C$63="No","",IFERROR(aggregate(5,6,'Patent Portfolio'!AC3:AC22/('Bundle Assignment'!Q3:Q22=TRUE())),"")))</f>
        <v/>
      </c>
      <c r="L16" s="88" t="n">
        <f aca="false">IF(Configuration!$C$24="No","",IF(Configuration!$C$64="No","",IFERROR(SUMPRODUCT(--('Bundle Assignment'!Q3:Q22=TRUE()),--('Patent Portfolio'!AD3:AD22&lt;=1))/COUNTIF('Bundle Assignment'!Q3:Q22,TRUE()),0)))</f>
        <v>0.25</v>
      </c>
      <c r="M16" s="88" t="n">
        <f aca="false">IF(Configuration!$C$24="No","",IF(Configuration!$C$65="No","",IFERROR(SUMPRODUCT(--('Bundle Assignment'!Q3:Q22=TRUE()),--('Patent Portfolio'!AK3:AK22&lt;&gt;"None"),--('Patent Portfolio'!AK3:AK22&lt;&gt;""))/COUNTIF('Bundle Assignment'!Q3:Q22,TRUE()),0)))</f>
        <v>0.583333333333333</v>
      </c>
      <c r="N16" s="88" t="n">
        <f aca="false">IF(Configuration!$C$24="No","",IF(Configuration!$C$66="No","",IFERROR(SUMPRODUCT(--('Bundle Assignment'!Q3:Q22=TRUE()),--('Patent Portfolio'!AI3:AI22="Survived"))/COUNTIF('Bundle Assignment'!Q3:Q22,TRUE()),0)))</f>
        <v>0.166666666666667</v>
      </c>
      <c r="O16" s="88" t="n">
        <f aca="false">IF(Configuration!$C$24="No","",IF(Configuration!$C$67="No","",IFERROR(SUMPRODUCT(--('Bundle Assignment'!Q3:Q22=TRUE()),--('Patent Portfolio'!T3:T22="Yes"))/COUNTIF('Bundle Assignment'!Q3:Q22,TRUE()),0)))</f>
        <v>0.5</v>
      </c>
    </row>
    <row r="17" customFormat="false" ht="15" hidden="false" customHeight="true" outlineLevel="0" collapsed="false">
      <c r="A17" s="82" t="n">
        <v>16</v>
      </c>
      <c r="B17" s="18" t="str">
        <f aca="false">IF(Configuration!$C$25="No","[DISABLED] Foundational + Improvement","Foundational + Improvement")</f>
        <v>Foundational + Improvement</v>
      </c>
      <c r="C17" s="85" t="n">
        <f aca="false">IF(Configuration!$C$25="No","",COUNTIF('Bundle Assignment'!R3:R22,TRUE()))</f>
        <v>13</v>
      </c>
      <c r="D17" s="86" t="n">
        <f aca="false">IF(Configuration!$C$25="No","",IFERROR(SUMPRODUCT(--('Bundle Assignment'!R3:R22=TRUE()),('Patent Portfolio'!O3:O22+'Patent Portfolio'!P3:P22)/2)/COUNTIF('Bundle Assignment'!R3:R22,TRUE()),0))</f>
        <v>0.615384615384615</v>
      </c>
      <c r="E17" s="87" t="n">
        <f aca="false">IF(Configuration!$C$25="No","",IFERROR(SUMPRODUCT(--('Bundle Assignment'!R3:R22=TRUE()),'Patent Portfolio'!U3:U22)/COUNTIF('Bundle Assignment'!R3:R22,TRUE()),0))</f>
        <v>5.38461538461539</v>
      </c>
      <c r="F17" s="88" t="n">
        <f aca="false">IF(Configuration!$C$25="No","",IFERROR(SUMPRODUCT(--('Bundle Assignment'!R3:R22=TRUE()),--('Patent Portfolio'!X3:X22="Yes"))/COUNTIF('Bundle Assignment'!R3:R22,TRUE()),0))</f>
        <v>0.230769230769231</v>
      </c>
      <c r="G17" s="88" t="n">
        <f aca="false">IF(Configuration!$C$25="No","",IFERROR(SUMPRODUCT(--('Bundle Assignment'!R3:R22=TRUE()),--('Patent Portfolio'!T3:T22="Yes"))/COUNTIF('Bundle Assignment'!R3:R22,TRUE()),0))</f>
        <v>0.230769230769231</v>
      </c>
      <c r="H17" s="88" t="n">
        <f aca="false">IF(Configuration!$C$25="No","",IFERROR(SUMPRODUCT(--('Bundle Assignment'!R3:R22=TRUE()),--('Patent Portfolio'!H3:H22&gt;=2))/COUNTIF('Bundle Assignment'!R3:R22,TRUE()),0))</f>
        <v>0.153846153846154</v>
      </c>
      <c r="I17" s="85" t="n">
        <f aca="false">IF(Configuration!$C$25="No","",SUMPRODUCT(--('Bundle Assignment'!R3:R22=TRUE()),--('Patent Portfolio'!L3:L22=3)))</f>
        <v>1</v>
      </c>
      <c r="J17" s="27" t="str">
        <f aca="false">IF(Configuration!$C$25="No","",IF(C17&lt;2,"WEAK",IF(AND(C17&gt;=Configuration!$C$59,D17&gt;=Configuration!$C$60,E17&gt;=Configuration!$C$61),"STRONG","MODERATE")))</f>
        <v>MODERATE</v>
      </c>
      <c r="K17" s="89" t="str">
        <f aca="false">IF(Configuration!$C$25="No","",IF(Configuration!$C$63="No","",IFERROR(aggregate(5,6,'Patent Portfolio'!AC3:AC22/('Bundle Assignment'!R3:R22=TRUE())),"")))</f>
        <v/>
      </c>
      <c r="L17" s="88" t="n">
        <f aca="false">IF(Configuration!$C$25="No","",IF(Configuration!$C$64="No","",IFERROR(SUMPRODUCT(--('Bundle Assignment'!R3:R22=TRUE()),--('Patent Portfolio'!AD3:AD22&lt;=1))/COUNTIF('Bundle Assignment'!R3:R22,TRUE()),0)))</f>
        <v>0.769230769230769</v>
      </c>
      <c r="M17" s="88" t="n">
        <f aca="false">IF(Configuration!$C$25="No","",IF(Configuration!$C$65="No","",IFERROR(SUMPRODUCT(--('Bundle Assignment'!R3:R22=TRUE()),--('Patent Portfolio'!AK3:AK22&lt;&gt;"None"),--('Patent Portfolio'!AK3:AK22&lt;&gt;""))/COUNTIF('Bundle Assignment'!R3:R22,TRUE()),0)))</f>
        <v>0.153846153846154</v>
      </c>
      <c r="N17" s="88" t="n">
        <f aca="false">IF(Configuration!$C$25="No","",IF(Configuration!$C$66="No","",IFERROR(SUMPRODUCT(--('Bundle Assignment'!R3:R22=TRUE()),--('Patent Portfolio'!AI3:AI22="Survived"))/COUNTIF('Bundle Assignment'!R3:R22,TRUE()),0)))</f>
        <v>0.0769230769230769</v>
      </c>
      <c r="O17" s="88" t="n">
        <f aca="false">IF(Configuration!$C$25="No","",IF(Configuration!$C$67="No","",IFERROR(SUMPRODUCT(--('Bundle Assignment'!R3:R22=TRUE()),--('Patent Portfolio'!T3:T22="Yes"))/COUNTIF('Bundle Assignment'!R3:R22,TRUE()),0)))</f>
        <v>0.230769230769231</v>
      </c>
    </row>
    <row r="18" customFormat="false" ht="15" hidden="false" customHeight="true" outlineLevel="0" collapsed="false">
      <c r="A18" s="82" t="n">
        <v>17</v>
      </c>
      <c r="B18" s="18" t="str">
        <f aca="false">IF(Configuration!$C$26="No","[DISABLED] Cross-Industry","Cross-Industry")</f>
        <v>Cross-Industry</v>
      </c>
      <c r="C18" s="85" t="n">
        <f aca="false">IF(Configuration!$C$26="No","",COUNTIF('Bundle Assignment'!S3:S22,TRUE()))</f>
        <v>9</v>
      </c>
      <c r="D18" s="86" t="n">
        <f aca="false">IF(Configuration!$C$26="No","",IFERROR(SUMPRODUCT(--('Bundle Assignment'!S3:S22=TRUE()),('Patent Portfolio'!O3:O22+'Patent Portfolio'!P3:P22)/2)/COUNTIF('Bundle Assignment'!S3:S22,TRUE()),0))</f>
        <v>1.66666666666667</v>
      </c>
      <c r="E18" s="87" t="n">
        <f aca="false">IF(Configuration!$C$26="No","",IFERROR(SUMPRODUCT(--('Bundle Assignment'!S3:S22=TRUE()),'Patent Portfolio'!U3:U22)/COUNTIF('Bundle Assignment'!S3:S22,TRUE()),0))</f>
        <v>13.1111111111111</v>
      </c>
      <c r="F18" s="88" t="n">
        <f aca="false">IF(Configuration!$C$26="No","",IFERROR(SUMPRODUCT(--('Bundle Assignment'!S3:S22=TRUE()),--('Patent Portfolio'!X3:X22="Yes"))/COUNTIF('Bundle Assignment'!S3:S22,TRUE()),0))</f>
        <v>0.777777777777778</v>
      </c>
      <c r="G18" s="88" t="n">
        <f aca="false">IF(Configuration!$C$26="No","",IFERROR(SUMPRODUCT(--('Bundle Assignment'!S3:S22=TRUE()),--('Patent Portfolio'!T3:T22="Yes"))/COUNTIF('Bundle Assignment'!S3:S22,TRUE()),0))</f>
        <v>0.444444444444444</v>
      </c>
      <c r="H18" s="88" t="n">
        <f aca="false">IF(Configuration!$C$26="No","",IFERROR(SUMPRODUCT(--('Bundle Assignment'!S3:S22=TRUE()),--('Patent Portfolio'!H3:H22&gt;=2))/COUNTIF('Bundle Assignment'!S3:S22,TRUE()),0))</f>
        <v>0.222222222222222</v>
      </c>
      <c r="I18" s="85" t="n">
        <f aca="false">IF(Configuration!$C$26="No","",SUMPRODUCT(--('Bundle Assignment'!S3:S22=TRUE()),--('Patent Portfolio'!L3:L22=3)))</f>
        <v>1</v>
      </c>
      <c r="J18" s="27" t="str">
        <f aca="false">IF(Configuration!$C$26="No","",IF(C18&lt;2,"WEAK",IF(AND(C18&gt;=Configuration!$C$59,D18&gt;=Configuration!$C$60,E18&gt;=Configuration!$C$61),"STRONG","MODERATE")))</f>
        <v>MODERATE</v>
      </c>
      <c r="K18" s="89" t="str">
        <f aca="false">IF(Configuration!$C$26="No","",IF(Configuration!$C$63="No","",IFERROR(aggregate(5,6,'Patent Portfolio'!AC3:AC22/('Bundle Assignment'!S3:S22=TRUE())),"")))</f>
        <v/>
      </c>
      <c r="L18" s="88" t="n">
        <f aca="false">IF(Configuration!$C$26="No","",IF(Configuration!$C$64="No","",IFERROR(SUMPRODUCT(--('Bundle Assignment'!S3:S22=TRUE()),--('Patent Portfolio'!AD3:AD22&lt;=1))/COUNTIF('Bundle Assignment'!S3:S22,TRUE()),0)))</f>
        <v>0.333333333333333</v>
      </c>
      <c r="M18" s="88" t="n">
        <f aca="false">IF(Configuration!$C$26="No","",IF(Configuration!$C$65="No","",IFERROR(SUMPRODUCT(--('Bundle Assignment'!S3:S22=TRUE()),--('Patent Portfolio'!AK3:AK22&lt;&gt;"None"),--('Patent Portfolio'!AK3:AK22&lt;&gt;""))/COUNTIF('Bundle Assignment'!S3:S22,TRUE()),0)))</f>
        <v>0.555555555555556</v>
      </c>
      <c r="N18" s="88" t="n">
        <f aca="false">IF(Configuration!$C$26="No","",IF(Configuration!$C$66="No","",IFERROR(SUMPRODUCT(--('Bundle Assignment'!S3:S22=TRUE()),--('Patent Portfolio'!AI3:AI22="Survived"))/COUNTIF('Bundle Assignment'!S3:S22,TRUE()),0)))</f>
        <v>0.111111111111111</v>
      </c>
      <c r="O18" s="88" t="n">
        <f aca="false">IF(Configuration!$C$26="No","",IF(Configuration!$C$67="No","",IFERROR(SUMPRODUCT(--('Bundle Assignment'!S3:S22=TRUE()),--('Patent Portfolio'!T3:T22="Yes"))/COUNTIF('Bundle Assignment'!S3:S22,TRUE()),0)))</f>
        <v>0.444444444444444</v>
      </c>
    </row>
    <row r="19" customFormat="false" ht="15" hidden="false" customHeight="true" outlineLevel="0" collapsed="false">
      <c r="A19" s="82" t="n">
        <v>18</v>
      </c>
      <c r="B19" s="18" t="str">
        <f aca="false">IF(Configuration!$C$27="No","[DISABLED] Convergent Theme","Convergent Theme")</f>
        <v>Convergent Theme</v>
      </c>
      <c r="C19" s="85" t="n">
        <f aca="false">IF(Configuration!$C$27="No","",COUNTIF('Bundle Assignment'!T3:T22,TRUE()))</f>
        <v>4</v>
      </c>
      <c r="D19" s="86" t="n">
        <f aca="false">IF(Configuration!$C$27="No","",IFERROR(SUMPRODUCT(--('Bundle Assignment'!T3:T22=TRUE()),('Patent Portfolio'!O3:O22+'Patent Portfolio'!P3:P22)/2)/COUNTIF('Bundle Assignment'!T3:T22,TRUE()),0))</f>
        <v>1.25</v>
      </c>
      <c r="E19" s="87" t="n">
        <f aca="false">IF(Configuration!$C$27="No","",IFERROR(SUMPRODUCT(--('Bundle Assignment'!T3:T22=TRUE()),'Patent Portfolio'!U3:U22)/COUNTIF('Bundle Assignment'!T3:T22,TRUE()),0))</f>
        <v>13</v>
      </c>
      <c r="F19" s="88" t="n">
        <f aca="false">IF(Configuration!$C$27="No","",IFERROR(SUMPRODUCT(--('Bundle Assignment'!T3:T22=TRUE()),--('Patent Portfolio'!X3:X22="Yes"))/COUNTIF('Bundle Assignment'!T3:T22,TRUE()),0))</f>
        <v>0.5</v>
      </c>
      <c r="G19" s="88" t="n">
        <f aca="false">IF(Configuration!$C$27="No","",IFERROR(SUMPRODUCT(--('Bundle Assignment'!T3:T22=TRUE()),--('Patent Portfolio'!T3:T22="Yes"))/COUNTIF('Bundle Assignment'!T3:T22,TRUE()),0))</f>
        <v>0.5</v>
      </c>
      <c r="H19" s="88" t="n">
        <f aca="false">IF(Configuration!$C$27="No","",IFERROR(SUMPRODUCT(--('Bundle Assignment'!T3:T22=TRUE()),--('Patent Portfolio'!H3:H22&gt;=2))/COUNTIF('Bundle Assignment'!T3:T22,TRUE()),0))</f>
        <v>0</v>
      </c>
      <c r="I19" s="85" t="n">
        <f aca="false">IF(Configuration!$C$27="No","",SUMPRODUCT(--('Bundle Assignment'!T3:T22=TRUE()),--('Patent Portfolio'!L3:L22=3)))</f>
        <v>0</v>
      </c>
      <c r="J19" s="27" t="str">
        <f aca="false">IF(Configuration!$C$27="No","",IF(C19&lt;2,"WEAK",IF(AND(C19&gt;=Configuration!$C$59,D19&gt;=Configuration!$C$60,E19&gt;=Configuration!$C$61),"STRONG","MODERATE")))</f>
        <v>MODERATE</v>
      </c>
      <c r="K19" s="89" t="str">
        <f aca="false">IF(Configuration!$C$27="No","",IF(Configuration!$C$63="No","",IFERROR(aggregate(5,6,'Patent Portfolio'!AC3:AC22/('Bundle Assignment'!T3:T22=TRUE())),"")))</f>
        <v/>
      </c>
      <c r="L19" s="88" t="n">
        <f aca="false">IF(Configuration!$C$27="No","",IF(Configuration!$C$64="No","",IFERROR(SUMPRODUCT(--('Bundle Assignment'!T3:T22=TRUE()),--('Patent Portfolio'!AD3:AD22&lt;=1))/COUNTIF('Bundle Assignment'!T3:T22,TRUE()),0)))</f>
        <v>0.75</v>
      </c>
      <c r="M19" s="88" t="n">
        <f aca="false">IF(Configuration!$C$27="No","",IF(Configuration!$C$65="No","",IFERROR(SUMPRODUCT(--('Bundle Assignment'!T3:T22=TRUE()),--('Patent Portfolio'!AK3:AK22&lt;&gt;"None"),--('Patent Portfolio'!AK3:AK22&lt;&gt;""))/COUNTIF('Bundle Assignment'!T3:T22,TRUE()),0)))</f>
        <v>0.5</v>
      </c>
      <c r="N19" s="88" t="n">
        <f aca="false">IF(Configuration!$C$27="No","",IF(Configuration!$C$66="No","",IFERROR(SUMPRODUCT(--('Bundle Assignment'!T3:T22=TRUE()),--('Patent Portfolio'!AI3:AI22="Survived"))/COUNTIF('Bundle Assignment'!T3:T22,TRUE()),0)))</f>
        <v>0</v>
      </c>
      <c r="O19" s="88" t="n">
        <f aca="false">IF(Configuration!$C$27="No","",IF(Configuration!$C$67="No","",IFERROR(SUMPRODUCT(--('Bundle Assignment'!T3:T22=TRUE()),--('Patent Portfolio'!T3:T22="Yes"))/COUNTIF('Bundle Assignment'!T3:T22,TRUE()),0)))</f>
        <v>0.5</v>
      </c>
    </row>
    <row r="20" customFormat="false" ht="15" hidden="false" customHeight="true" outlineLevel="0" collapsed="false">
      <c r="A20" s="82" t="n">
        <v>19</v>
      </c>
      <c r="B20" s="18" t="str">
        <f aca="false">IF(Configuration!$C$28="No","[DISABLED] Defensive / Counter-Assert.","Defensive / Counter-Assert.")</f>
        <v>Defensive / Counter-Assert.</v>
      </c>
      <c r="C20" s="85" t="n">
        <f aca="false">IF(Configuration!$C$28="No","",COUNTIF('Bundle Assignment'!U3:U22,TRUE()))</f>
        <v>10</v>
      </c>
      <c r="D20" s="86" t="n">
        <f aca="false">IF(Configuration!$C$28="No","",IFERROR(SUMPRODUCT(--('Bundle Assignment'!U3:U22=TRUE()),('Patent Portfolio'!O3:O22+'Patent Portfolio'!P3:P22)/2)/COUNTIF('Bundle Assignment'!U3:U22,TRUE()),0))</f>
        <v>1.75</v>
      </c>
      <c r="E20" s="87" t="n">
        <f aca="false">IF(Configuration!$C$28="No","",IFERROR(SUMPRODUCT(--('Bundle Assignment'!U3:U22=TRUE()),'Patent Portfolio'!U3:U22)/COUNTIF('Bundle Assignment'!U3:U22,TRUE()),0))</f>
        <v>13.7</v>
      </c>
      <c r="F20" s="88" t="n">
        <f aca="false">IF(Configuration!$C$28="No","",IFERROR(SUMPRODUCT(--('Bundle Assignment'!U3:U22=TRUE()),--('Patent Portfolio'!X3:X22="Yes"))/COUNTIF('Bundle Assignment'!U3:U22,TRUE()),0))</f>
        <v>0.9</v>
      </c>
      <c r="G20" s="88" t="n">
        <f aca="false">IF(Configuration!$C$28="No","",IFERROR(SUMPRODUCT(--('Bundle Assignment'!U3:U22=TRUE()),--('Patent Portfolio'!T3:T22="Yes"))/COUNTIF('Bundle Assignment'!U3:U22,TRUE()),0))</f>
        <v>0.5</v>
      </c>
      <c r="H20" s="88" t="n">
        <f aca="false">IF(Configuration!$C$28="No","",IFERROR(SUMPRODUCT(--('Bundle Assignment'!U3:U22=TRUE()),--('Patent Portfolio'!H3:H22&gt;=2))/COUNTIF('Bundle Assignment'!U3:U22,TRUE()),0))</f>
        <v>0.4</v>
      </c>
      <c r="I20" s="85" t="n">
        <f aca="false">IF(Configuration!$C$28="No","",SUMPRODUCT(--('Bundle Assignment'!U3:U22=TRUE()),--('Patent Portfolio'!L3:L22=3)))</f>
        <v>1</v>
      </c>
      <c r="J20" s="27" t="str">
        <f aca="false">IF(Configuration!$C$28="No","",IF(C20&lt;2,"WEAK",IF(AND(C20&gt;=Configuration!$C$59,D20&gt;=Configuration!$C$60,E20&gt;=Configuration!$C$61),"STRONG","MODERATE")))</f>
        <v>MODERATE</v>
      </c>
      <c r="K20" s="89" t="str">
        <f aca="false">IF(Configuration!$C$28="No","",IF(Configuration!$C$63="No","",IFERROR(aggregate(5,6,'Patent Portfolio'!AC3:AC22/('Bundle Assignment'!U3:U22=TRUE())),"")))</f>
        <v/>
      </c>
      <c r="L20" s="88" t="n">
        <f aca="false">IF(Configuration!$C$28="No","",IF(Configuration!$C$64="No","",IFERROR(SUMPRODUCT(--('Bundle Assignment'!U3:U22=TRUE()),--('Patent Portfolio'!AD3:AD22&lt;=1))/COUNTIF('Bundle Assignment'!U3:U22,TRUE()),0)))</f>
        <v>0.2</v>
      </c>
      <c r="M20" s="88" t="n">
        <f aca="false">IF(Configuration!$C$28="No","",IF(Configuration!$C$65="No","",IFERROR(SUMPRODUCT(--('Bundle Assignment'!U3:U22=TRUE()),--('Patent Portfolio'!AK3:AK22&lt;&gt;"None"),--('Patent Portfolio'!AK3:AK22&lt;&gt;""))/COUNTIF('Bundle Assignment'!U3:U22,TRUE()),0)))</f>
        <v>0.7</v>
      </c>
      <c r="N20" s="88" t="n">
        <f aca="false">IF(Configuration!$C$28="No","",IF(Configuration!$C$66="No","",IFERROR(SUMPRODUCT(--('Bundle Assignment'!U3:U22=TRUE()),--('Patent Portfolio'!AI3:AI22="Survived"))/COUNTIF('Bundle Assignment'!U3:U22,TRUE()),0)))</f>
        <v>0.2</v>
      </c>
      <c r="O20" s="88" t="n">
        <f aca="false">IF(Configuration!$C$28="No","",IF(Configuration!$C$67="No","",IFERROR(SUMPRODUCT(--('Bundle Assignment'!U3:U22=TRUE()),--('Patent Portfolio'!T3:T22="Yes"))/COUNTIF('Bundle Assignment'!U3:U22,TRUE()),0)))</f>
        <v>0.5</v>
      </c>
    </row>
    <row r="21" customFormat="false" ht="15" hidden="false" customHeight="true" outlineLevel="0" collapsed="false">
      <c r="A21" s="82" t="n">
        <v>20</v>
      </c>
      <c r="B21" s="18" t="str">
        <f aca="false">IF(Configuration!$C$29="No","[DISABLED] Whitespace / Design-Around","Whitespace / Design-Around")</f>
        <v>Whitespace / Design-Around</v>
      </c>
      <c r="C21" s="85" t="n">
        <f aca="false">IF(Configuration!$C$29="No","",COUNTIF('Bundle Assignment'!V3:V22,TRUE()))</f>
        <v>10</v>
      </c>
      <c r="D21" s="86" t="n">
        <f aca="false">IF(Configuration!$C$29="No","",IFERROR(SUMPRODUCT(--('Bundle Assignment'!V3:V22=TRUE()),('Patent Portfolio'!O3:O22+'Patent Portfolio'!P3:P22)/2)/COUNTIF('Bundle Assignment'!V3:V22,TRUE()),0))</f>
        <v>1.7</v>
      </c>
      <c r="E21" s="87" t="n">
        <f aca="false">IF(Configuration!$C$29="No","",IFERROR(SUMPRODUCT(--('Bundle Assignment'!V3:V22=TRUE()),'Patent Portfolio'!U3:U22)/COUNTIF('Bundle Assignment'!V3:V22,TRUE()),0))</f>
        <v>13.1</v>
      </c>
      <c r="F21" s="88" t="n">
        <f aca="false">IF(Configuration!$C$29="No","",IFERROR(SUMPRODUCT(--('Bundle Assignment'!V3:V22=TRUE()),--('Patent Portfolio'!X3:X22="Yes"))/COUNTIF('Bundle Assignment'!V3:V22,TRUE()),0))</f>
        <v>1</v>
      </c>
      <c r="G21" s="88" t="n">
        <f aca="false">IF(Configuration!$C$29="No","",IFERROR(SUMPRODUCT(--('Bundle Assignment'!V3:V22=TRUE()),--('Patent Portfolio'!T3:T22="Yes"))/COUNTIF('Bundle Assignment'!V3:V22,TRUE()),0))</f>
        <v>0.5</v>
      </c>
      <c r="H21" s="88" t="n">
        <f aca="false">IF(Configuration!$C$29="No","",IFERROR(SUMPRODUCT(--('Bundle Assignment'!V3:V22=TRUE()),--('Patent Portfolio'!H3:H22&gt;=2))/COUNTIF('Bundle Assignment'!V3:V22,TRUE()),0))</f>
        <v>0.4</v>
      </c>
      <c r="I21" s="85" t="n">
        <f aca="false">IF(Configuration!$C$29="No","",SUMPRODUCT(--('Bundle Assignment'!V3:V22=TRUE()),--('Patent Portfolio'!L3:L22=3)))</f>
        <v>1</v>
      </c>
      <c r="J21" s="27" t="str">
        <f aca="false">IF(Configuration!$C$29="No","",IF(C21&lt;2,"WEAK",IF(AND(C21&gt;=Configuration!$C$59,D21&gt;=Configuration!$C$60,E21&gt;=Configuration!$C$61),"STRONG","MODERATE")))</f>
        <v>MODERATE</v>
      </c>
      <c r="K21" s="89" t="str">
        <f aca="false">IF(Configuration!$C$29="No","",IF(Configuration!$C$63="No","",IFERROR(aggregate(5,6,'Patent Portfolio'!AC3:AC22/('Bundle Assignment'!V3:V22=TRUE())),"")))</f>
        <v/>
      </c>
      <c r="L21" s="88" t="n">
        <f aca="false">IF(Configuration!$C$29="No","",IF(Configuration!$C$64="No","",IFERROR(SUMPRODUCT(--('Bundle Assignment'!V3:V22=TRUE()),--('Patent Portfolio'!AD3:AD22&lt;=1))/COUNTIF('Bundle Assignment'!V3:V22,TRUE()),0)))</f>
        <v>0.1</v>
      </c>
      <c r="M21" s="88" t="n">
        <f aca="false">IF(Configuration!$C$29="No","",IF(Configuration!$C$65="No","",IFERROR(SUMPRODUCT(--('Bundle Assignment'!V3:V22=TRUE()),--('Patent Portfolio'!AK3:AK22&lt;&gt;"None"),--('Patent Portfolio'!AK3:AK22&lt;&gt;""))/COUNTIF('Bundle Assignment'!V3:V22,TRUE()),0)))</f>
        <v>0.7</v>
      </c>
      <c r="N21" s="88" t="n">
        <f aca="false">IF(Configuration!$C$29="No","",IF(Configuration!$C$66="No","",IFERROR(SUMPRODUCT(--('Bundle Assignment'!V3:V22=TRUE()),--('Patent Portfolio'!AI3:AI22="Survived"))/COUNTIF('Bundle Assignment'!V3:V22,TRUE()),0)))</f>
        <v>0.2</v>
      </c>
      <c r="O21" s="88" t="n">
        <f aca="false">IF(Configuration!$C$29="No","",IF(Configuration!$C$67="No","",IFERROR(SUMPRODUCT(--('Bundle Assignment'!V3:V22=TRUE()),--('Patent Portfolio'!T3:T22="Yes"))/COUNTIF('Bundle Assignment'!V3:V22,TRUE()),0)))</f>
        <v>0.5</v>
      </c>
    </row>
    <row r="22" customFormat="false" ht="15" hidden="false" customHeight="true" outlineLevel="0" collapsed="false">
      <c r="A22" s="82" t="n">
        <v>21</v>
      </c>
      <c r="B22" s="18" t="str">
        <f aca="false">IF(Configuration!$C$30="No","[DISABLED] Prosecution-Status","Prosecution-Status")</f>
        <v>Prosecution-Status</v>
      </c>
      <c r="C22" s="85" t="n">
        <f aca="false">IF(Configuration!$C$30="No","",COUNTIF('Bundle Assignment'!W3:W22,TRUE()))</f>
        <v>6</v>
      </c>
      <c r="D22" s="86" t="n">
        <f aca="false">IF(Configuration!$C$30="No","",IFERROR(SUMPRODUCT(--('Bundle Assignment'!W3:W22=TRUE()),('Patent Portfolio'!O3:O22+'Patent Portfolio'!P3:P22)/2)/COUNTIF('Bundle Assignment'!W3:W22,TRUE()),0))</f>
        <v>1.33333333333333</v>
      </c>
      <c r="E22" s="87" t="n">
        <f aca="false">IF(Configuration!$C$30="No","",IFERROR(SUMPRODUCT(--('Bundle Assignment'!W3:W22=TRUE()),'Patent Portfolio'!U3:U22)/COUNTIF('Bundle Assignment'!W3:W22,TRUE()),0))</f>
        <v>15.8333333333333</v>
      </c>
      <c r="F22" s="88" t="n">
        <f aca="false">IF(Configuration!$C$30="No","",IFERROR(SUMPRODUCT(--('Bundle Assignment'!W3:W22=TRUE()),--('Patent Portfolio'!X3:X22="Yes"))/COUNTIF('Bundle Assignment'!W3:W22,TRUE()),0))</f>
        <v>0.833333333333333</v>
      </c>
      <c r="G22" s="88" t="n">
        <f aca="false">IF(Configuration!$C$30="No","",IFERROR(SUMPRODUCT(--('Bundle Assignment'!W3:W22=TRUE()),--('Patent Portfolio'!T3:T22="Yes"))/COUNTIF('Bundle Assignment'!W3:W22,TRUE()),0))</f>
        <v>1</v>
      </c>
      <c r="H22" s="88" t="n">
        <f aca="false">IF(Configuration!$C$30="No","",IFERROR(SUMPRODUCT(--('Bundle Assignment'!W3:W22=TRUE()),--('Patent Portfolio'!H3:H22&gt;=2))/COUNTIF('Bundle Assignment'!W3:W22,TRUE()),0))</f>
        <v>0.333333333333333</v>
      </c>
      <c r="I22" s="85" t="n">
        <f aca="false">IF(Configuration!$C$30="No","",SUMPRODUCT(--('Bundle Assignment'!W3:W22=TRUE()),--('Patent Portfolio'!L3:L22=3)))</f>
        <v>1</v>
      </c>
      <c r="J22" s="27" t="str">
        <f aca="false">IF(Configuration!$C$30="No","",IF(C22&lt;2,"WEAK",IF(AND(C22&gt;=Configuration!$C$59,D22&gt;=Configuration!$C$60,E22&gt;=Configuration!$C$61),"STRONG","MODERATE")))</f>
        <v>MODERATE</v>
      </c>
      <c r="K22" s="89" t="str">
        <f aca="false">IF(Configuration!$C$30="No","",IF(Configuration!$C$63="No","",IFERROR(aggregate(5,6,'Patent Portfolio'!AC3:AC22/('Bundle Assignment'!W3:W22=TRUE())),"")))</f>
        <v/>
      </c>
      <c r="L22" s="88" t="n">
        <f aca="false">IF(Configuration!$C$30="No","",IF(Configuration!$C$64="No","",IFERROR(SUMPRODUCT(--('Bundle Assignment'!W3:W22=TRUE()),--('Patent Portfolio'!AD3:AD22&lt;=1))/COUNTIF('Bundle Assignment'!W3:W22,TRUE()),0)))</f>
        <v>0.333333333333333</v>
      </c>
      <c r="M22" s="88" t="n">
        <f aca="false">IF(Configuration!$C$30="No","",IF(Configuration!$C$65="No","",IFERROR(SUMPRODUCT(--('Bundle Assignment'!W3:W22=TRUE()),--('Patent Portfolio'!AK3:AK22&lt;&gt;"None"),--('Patent Portfolio'!AK3:AK22&lt;&gt;""))/COUNTIF('Bundle Assignment'!W3:W22,TRUE()),0)))</f>
        <v>0.5</v>
      </c>
      <c r="N22" s="88" t="n">
        <f aca="false">IF(Configuration!$C$30="No","",IF(Configuration!$C$66="No","",IFERROR(SUMPRODUCT(--('Bundle Assignment'!W3:W22=TRUE()),--('Patent Portfolio'!AI3:AI22="Survived"))/COUNTIF('Bundle Assignment'!W3:W22,TRUE()),0)))</f>
        <v>0.166666666666667</v>
      </c>
      <c r="O22" s="88" t="n">
        <f aca="false">IF(Configuration!$C$30="No","",IF(Configuration!$C$67="No","",IFERROR(SUMPRODUCT(--('Bundle Assignment'!W3:W22=TRUE()),--('Patent Portfolio'!T3:T22="Yes"))/COUNTIF('Bundle Assignment'!W3:W22,TRUE()),0)))</f>
        <v>1</v>
      </c>
    </row>
    <row r="23" customFormat="false" ht="15" hidden="false" customHeight="true" outlineLevel="0" collapsed="false">
      <c r="A23" s="82" t="n">
        <v>22</v>
      </c>
      <c r="B23" s="18" t="str">
        <f aca="false">IF(Configuration!$C$31="No","[DISABLED] Anchor-and-Halo","Anchor-and-Halo")</f>
        <v>Anchor-and-Halo</v>
      </c>
      <c r="C23" s="85" t="n">
        <f aca="false">IF(Configuration!$C$31="No","",COUNTIF('Bundle Assignment'!X3:X22,TRUE()))</f>
        <v>10</v>
      </c>
      <c r="D23" s="86" t="n">
        <f aca="false">IF(Configuration!$C$31="No","",IFERROR(SUMPRODUCT(--('Bundle Assignment'!X3:X22=TRUE()),('Patent Portfolio'!O3:O22+'Patent Portfolio'!P3:P22)/2)/COUNTIF('Bundle Assignment'!X3:X22,TRUE()),0))</f>
        <v>1.7</v>
      </c>
      <c r="E23" s="87" t="n">
        <f aca="false">IF(Configuration!$C$31="No","",IFERROR(SUMPRODUCT(--('Bundle Assignment'!X3:X22=TRUE()),'Patent Portfolio'!U3:U22)/COUNTIF('Bundle Assignment'!X3:X22,TRUE()),0))</f>
        <v>13.1</v>
      </c>
      <c r="F23" s="88" t="n">
        <f aca="false">IF(Configuration!$C$31="No","",IFERROR(SUMPRODUCT(--('Bundle Assignment'!X3:X22=TRUE()),--('Patent Portfolio'!X3:X22="Yes"))/COUNTIF('Bundle Assignment'!X3:X22,TRUE()),0))</f>
        <v>1</v>
      </c>
      <c r="G23" s="88" t="n">
        <f aca="false">IF(Configuration!$C$31="No","",IFERROR(SUMPRODUCT(--('Bundle Assignment'!X3:X22=TRUE()),--('Patent Portfolio'!T3:T22="Yes"))/COUNTIF('Bundle Assignment'!X3:X22,TRUE()),0))</f>
        <v>0.5</v>
      </c>
      <c r="H23" s="88" t="n">
        <f aca="false">IF(Configuration!$C$31="No","",IFERROR(SUMPRODUCT(--('Bundle Assignment'!X3:X22=TRUE()),--('Patent Portfolio'!H3:H22&gt;=2))/COUNTIF('Bundle Assignment'!X3:X22,TRUE()),0))</f>
        <v>0.4</v>
      </c>
      <c r="I23" s="85" t="n">
        <f aca="false">IF(Configuration!$C$31="No","",SUMPRODUCT(--('Bundle Assignment'!X3:X22=TRUE()),--('Patent Portfolio'!L3:L22=3)))</f>
        <v>1</v>
      </c>
      <c r="J23" s="27" t="str">
        <f aca="false">IF(Configuration!$C$31="No","",IF(C23&lt;2,"WEAK",IF(AND(C23&gt;=Configuration!$C$59,D23&gt;=Configuration!$C$60,E23&gt;=Configuration!$C$61),"STRONG","MODERATE")))</f>
        <v>MODERATE</v>
      </c>
      <c r="K23" s="89" t="str">
        <f aca="false">IF(Configuration!$C$31="No","",IF(Configuration!$C$63="No","",IFERROR(aggregate(5,6,'Patent Portfolio'!AC3:AC22/('Bundle Assignment'!X3:X22=TRUE())),"")))</f>
        <v/>
      </c>
      <c r="L23" s="88" t="n">
        <f aca="false">IF(Configuration!$C$31="No","",IF(Configuration!$C$64="No","",IFERROR(SUMPRODUCT(--('Bundle Assignment'!X3:X22=TRUE()),--('Patent Portfolio'!AD3:AD22&lt;=1))/COUNTIF('Bundle Assignment'!X3:X22,TRUE()),0)))</f>
        <v>0.1</v>
      </c>
      <c r="M23" s="88" t="n">
        <f aca="false">IF(Configuration!$C$31="No","",IF(Configuration!$C$65="No","",IFERROR(SUMPRODUCT(--('Bundle Assignment'!X3:X22=TRUE()),--('Patent Portfolio'!AK3:AK22&lt;&gt;"None"),--('Patent Portfolio'!AK3:AK22&lt;&gt;""))/COUNTIF('Bundle Assignment'!X3:X22,TRUE()),0)))</f>
        <v>0.7</v>
      </c>
      <c r="N23" s="88" t="n">
        <f aca="false">IF(Configuration!$C$31="No","",IF(Configuration!$C$66="No","",IFERROR(SUMPRODUCT(--('Bundle Assignment'!X3:X22=TRUE()),--('Patent Portfolio'!AI3:AI22="Survived"))/COUNTIF('Bundle Assignment'!X3:X22,TRUE()),0)))</f>
        <v>0.2</v>
      </c>
      <c r="O23" s="88" t="n">
        <f aca="false">IF(Configuration!$C$31="No","",IF(Configuration!$C$67="No","",IFERROR(SUMPRODUCT(--('Bundle Assignment'!X3:X22=TRUE()),--('Patent Portfolio'!T3:T22="Yes"))/COUNTIF('Bundle Assignment'!X3:X22,TRUE()),0)))</f>
        <v>0.5</v>
      </c>
    </row>
    <row r="24" customFormat="false" ht="15" hidden="false" customHeight="true" outlineLevel="0" collapsed="false">
      <c r="A24" s="82" t="n">
        <v>23</v>
      </c>
      <c r="B24" s="18" t="str">
        <f aca="false">IF(Configuration!$C$32="No","[DISABLED] Picket-Fence","Picket-Fence")</f>
        <v>Picket-Fence</v>
      </c>
      <c r="C24" s="85" t="n">
        <f aca="false">IF(Configuration!$C$32="No","",COUNTIF('Bundle Assignment'!Y3:Y22,TRUE()))</f>
        <v>12</v>
      </c>
      <c r="D24" s="86" t="n">
        <f aca="false">IF(Configuration!$C$32="No","",IFERROR(SUMPRODUCT(--('Bundle Assignment'!Y3:Y22=TRUE()),('Patent Portfolio'!O3:O22+'Patent Portfolio'!P3:P22)/2)/COUNTIF('Bundle Assignment'!Y3:Y22,TRUE()),0))</f>
        <v>1.58333333333333</v>
      </c>
      <c r="E24" s="87" t="n">
        <f aca="false">IF(Configuration!$C$32="No","",IFERROR(SUMPRODUCT(--('Bundle Assignment'!Y3:Y22=TRUE()),'Patent Portfolio'!U3:U22)/COUNTIF('Bundle Assignment'!Y3:Y22,TRUE()),0))</f>
        <v>13.1666666666667</v>
      </c>
      <c r="F24" s="88" t="n">
        <f aca="false">IF(Configuration!$C$32="No","",IFERROR(SUMPRODUCT(--('Bundle Assignment'!Y3:Y22=TRUE()),--('Patent Portfolio'!X3:X22="Yes"))/COUNTIF('Bundle Assignment'!Y3:Y22,TRUE()),0))</f>
        <v>0.833333333333333</v>
      </c>
      <c r="G24" s="88" t="n">
        <f aca="false">IF(Configuration!$C$32="No","",IFERROR(SUMPRODUCT(--('Bundle Assignment'!Y3:Y22=TRUE()),--('Patent Portfolio'!T3:T22="Yes"))/COUNTIF('Bundle Assignment'!Y3:Y22,TRUE()),0))</f>
        <v>0.5</v>
      </c>
      <c r="H24" s="88" t="n">
        <f aca="false">IF(Configuration!$C$32="No","",IFERROR(SUMPRODUCT(--('Bundle Assignment'!Y3:Y22=TRUE()),--('Patent Portfolio'!H3:H22&gt;=2))/COUNTIF('Bundle Assignment'!Y3:Y22,TRUE()),0))</f>
        <v>0.333333333333333</v>
      </c>
      <c r="I24" s="85" t="n">
        <f aca="false">IF(Configuration!$C$32="No","",SUMPRODUCT(--('Bundle Assignment'!Y3:Y22=TRUE()),--('Patent Portfolio'!L3:L22=3)))</f>
        <v>1</v>
      </c>
      <c r="J24" s="27" t="str">
        <f aca="false">IF(Configuration!$C$32="No","",IF(C24&lt;2,"WEAK",IF(AND(C24&gt;=Configuration!$C$59,D24&gt;=Configuration!$C$60,E24&gt;=Configuration!$C$61),"STRONG","MODERATE")))</f>
        <v>MODERATE</v>
      </c>
      <c r="K24" s="89" t="str">
        <f aca="false">IF(Configuration!$C$32="No","",IF(Configuration!$C$63="No","",IFERROR(aggregate(5,6,'Patent Portfolio'!AC3:AC22/('Bundle Assignment'!Y3:Y22=TRUE())),"")))</f>
        <v/>
      </c>
      <c r="L24" s="88" t="n">
        <f aca="false">IF(Configuration!$C$32="No","",IF(Configuration!$C$64="No","",IFERROR(SUMPRODUCT(--('Bundle Assignment'!Y3:Y22=TRUE()),--('Patent Portfolio'!AD3:AD22&lt;=1))/COUNTIF('Bundle Assignment'!Y3:Y22,TRUE()),0)))</f>
        <v>0.25</v>
      </c>
      <c r="M24" s="88" t="n">
        <f aca="false">IF(Configuration!$C$32="No","",IF(Configuration!$C$65="No","",IFERROR(SUMPRODUCT(--('Bundle Assignment'!Y3:Y22=TRUE()),--('Patent Portfolio'!AK3:AK22&lt;&gt;"None"),--('Patent Portfolio'!AK3:AK22&lt;&gt;""))/COUNTIF('Bundle Assignment'!Y3:Y22,TRUE()),0)))</f>
        <v>0.583333333333333</v>
      </c>
      <c r="N24" s="88" t="n">
        <f aca="false">IF(Configuration!$C$32="No","",IF(Configuration!$C$66="No","",IFERROR(SUMPRODUCT(--('Bundle Assignment'!Y3:Y22=TRUE()),--('Patent Portfolio'!AI3:AI22="Survived"))/COUNTIF('Bundle Assignment'!Y3:Y22,TRUE()),0)))</f>
        <v>0.166666666666667</v>
      </c>
      <c r="O24" s="88" t="n">
        <f aca="false">IF(Configuration!$C$32="No","",IF(Configuration!$C$67="No","",IFERROR(SUMPRODUCT(--('Bundle Assignment'!Y3:Y22=TRUE()),--('Patent Portfolio'!T3:T22="Yes"))/COUNTIF('Bundle Assignment'!Y3:Y22,TRUE()),0)))</f>
        <v>0.5</v>
      </c>
    </row>
    <row r="25" customFormat="false" ht="15" hidden="false" customHeight="true" outlineLevel="0" collapsed="false">
      <c r="A25" s="82" t="n">
        <v>24</v>
      </c>
      <c r="B25" s="18" t="str">
        <f aca="false">IF(Configuration!$C$33="No","[DISABLED] Strong-Core + Tail","Strong-Core + Tail")</f>
        <v>Strong-Core + Tail</v>
      </c>
      <c r="C25" s="85" t="n">
        <f aca="false">IF(Configuration!$C$33="No","",COUNTIF('Bundle Assignment'!Z3:Z22,TRUE()))</f>
        <v>12</v>
      </c>
      <c r="D25" s="86" t="n">
        <f aca="false">IF(Configuration!$C$33="No","",IFERROR(SUMPRODUCT(--('Bundle Assignment'!Z3:Z22=TRUE()),('Patent Portfolio'!O3:O22+'Patent Portfolio'!P3:P22)/2)/COUNTIF('Bundle Assignment'!Z3:Z22,TRUE()),0))</f>
        <v>1.58333333333333</v>
      </c>
      <c r="E25" s="87" t="n">
        <f aca="false">IF(Configuration!$C$33="No","",IFERROR(SUMPRODUCT(--('Bundle Assignment'!Z3:Z22=TRUE()),'Patent Portfolio'!U3:U22)/COUNTIF('Bundle Assignment'!Z3:Z22,TRUE()),0))</f>
        <v>13.1666666666667</v>
      </c>
      <c r="F25" s="88" t="n">
        <f aca="false">IF(Configuration!$C$33="No","",IFERROR(SUMPRODUCT(--('Bundle Assignment'!Z3:Z22=TRUE()),--('Patent Portfolio'!X3:X22="Yes"))/COUNTIF('Bundle Assignment'!Z3:Z22,TRUE()),0))</f>
        <v>0.833333333333333</v>
      </c>
      <c r="G25" s="88" t="n">
        <f aca="false">IF(Configuration!$C$33="No","",IFERROR(SUMPRODUCT(--('Bundle Assignment'!Z3:Z22=TRUE()),--('Patent Portfolio'!T3:T22="Yes"))/COUNTIF('Bundle Assignment'!Z3:Z22,TRUE()),0))</f>
        <v>0.5</v>
      </c>
      <c r="H25" s="88" t="n">
        <f aca="false">IF(Configuration!$C$33="No","",IFERROR(SUMPRODUCT(--('Bundle Assignment'!Z3:Z22=TRUE()),--('Patent Portfolio'!H3:H22&gt;=2))/COUNTIF('Bundle Assignment'!Z3:Z22,TRUE()),0))</f>
        <v>0.333333333333333</v>
      </c>
      <c r="I25" s="85" t="n">
        <f aca="false">IF(Configuration!$C$33="No","",SUMPRODUCT(--('Bundle Assignment'!Z3:Z22=TRUE()),--('Patent Portfolio'!L3:L22=3)))</f>
        <v>1</v>
      </c>
      <c r="J25" s="27" t="str">
        <f aca="false">IF(Configuration!$C$33="No","",IF(C25&lt;2,"WEAK",IF(AND(C25&gt;=Configuration!$C$59,D25&gt;=Configuration!$C$60,E25&gt;=Configuration!$C$61),"STRONG","MODERATE")))</f>
        <v>MODERATE</v>
      </c>
      <c r="K25" s="89" t="str">
        <f aca="false">IF(Configuration!$C$33="No","",IF(Configuration!$C$63="No","",IFERROR(aggregate(5,6,'Patent Portfolio'!AC3:AC22/('Bundle Assignment'!Z3:Z22=TRUE())),"")))</f>
        <v/>
      </c>
      <c r="L25" s="88" t="n">
        <f aca="false">IF(Configuration!$C$33="No","",IF(Configuration!$C$64="No","",IFERROR(SUMPRODUCT(--('Bundle Assignment'!Z3:Z22=TRUE()),--('Patent Portfolio'!AD3:AD22&lt;=1))/COUNTIF('Bundle Assignment'!Z3:Z22,TRUE()),0)))</f>
        <v>0.25</v>
      </c>
      <c r="M25" s="88" t="n">
        <f aca="false">IF(Configuration!$C$33="No","",IF(Configuration!$C$65="No","",IFERROR(SUMPRODUCT(--('Bundle Assignment'!Z3:Z22=TRUE()),--('Patent Portfolio'!AK3:AK22&lt;&gt;"None"),--('Patent Portfolio'!AK3:AK22&lt;&gt;""))/COUNTIF('Bundle Assignment'!Z3:Z22,TRUE()),0)))</f>
        <v>0.583333333333333</v>
      </c>
      <c r="N25" s="88" t="n">
        <f aca="false">IF(Configuration!$C$33="No","",IF(Configuration!$C$66="No","",IFERROR(SUMPRODUCT(--('Bundle Assignment'!Z3:Z22=TRUE()),--('Patent Portfolio'!AI3:AI22="Survived"))/COUNTIF('Bundle Assignment'!Z3:Z22,TRUE()),0)))</f>
        <v>0.166666666666667</v>
      </c>
      <c r="O25" s="88" t="n">
        <f aca="false">IF(Configuration!$C$33="No","",IF(Configuration!$C$67="No","",IFERROR(SUMPRODUCT(--('Bundle Assignment'!Z3:Z22=TRUE()),--('Patent Portfolio'!T3:T22="Yes"))/COUNTIF('Bundle Assignment'!Z3:Z22,TRUE()),0)))</f>
        <v>0.5</v>
      </c>
    </row>
    <row r="26" customFormat="false" ht="15" hidden="false" customHeight="true" outlineLevel="0" collapsed="false">
      <c r="A26" s="82" t="n">
        <v>25</v>
      </c>
      <c r="B26" s="18" t="str">
        <f aca="false">IF(Configuration!$C$34="No","[DISABLED] Continuation-Live","Continuation-Live")</f>
        <v>Continuation-Live</v>
      </c>
      <c r="C26" s="85" t="n">
        <f aca="false">IF(Configuration!$C$34="No","",COUNTIF('Bundle Assignment'!AA3:AA22,TRUE()))</f>
        <v>6</v>
      </c>
      <c r="D26" s="86" t="n">
        <f aca="false">IF(Configuration!$C$34="No","",IFERROR(SUMPRODUCT(--('Bundle Assignment'!AA3:AA22=TRUE()),('Patent Portfolio'!O3:O22+'Patent Portfolio'!P3:P22)/2)/COUNTIF('Bundle Assignment'!AA3:AA22,TRUE()),0))</f>
        <v>1.33333333333333</v>
      </c>
      <c r="E26" s="87" t="n">
        <f aca="false">IF(Configuration!$C$34="No","",IFERROR(SUMPRODUCT(--('Bundle Assignment'!AA3:AA22=TRUE()),'Patent Portfolio'!U3:U22)/COUNTIF('Bundle Assignment'!AA3:AA22,TRUE()),0))</f>
        <v>15.8333333333333</v>
      </c>
      <c r="F26" s="88" t="n">
        <f aca="false">IF(Configuration!$C$34="No","",IFERROR(SUMPRODUCT(--('Bundle Assignment'!AA3:AA22=TRUE()),--('Patent Portfolio'!X3:X22="Yes"))/COUNTIF('Bundle Assignment'!AA3:AA22,TRUE()),0))</f>
        <v>0.833333333333333</v>
      </c>
      <c r="G26" s="88" t="n">
        <f aca="false">IF(Configuration!$C$34="No","",IFERROR(SUMPRODUCT(--('Bundle Assignment'!AA3:AA22=TRUE()),--('Patent Portfolio'!T3:T22="Yes"))/COUNTIF('Bundle Assignment'!AA3:AA22,TRUE()),0))</f>
        <v>1</v>
      </c>
      <c r="H26" s="88" t="n">
        <f aca="false">IF(Configuration!$C$34="No","",IFERROR(SUMPRODUCT(--('Bundle Assignment'!AA3:AA22=TRUE()),--('Patent Portfolio'!H3:H22&gt;=2))/COUNTIF('Bundle Assignment'!AA3:AA22,TRUE()),0))</f>
        <v>0.333333333333333</v>
      </c>
      <c r="I26" s="85" t="n">
        <f aca="false">IF(Configuration!$C$34="No","",SUMPRODUCT(--('Bundle Assignment'!AA3:AA22=TRUE()),--('Patent Portfolio'!L3:L22=3)))</f>
        <v>1</v>
      </c>
      <c r="J26" s="27" t="str">
        <f aca="false">IF(Configuration!$C$34="No","",IF(C26&lt;2,"WEAK",IF(AND(C26&gt;=Configuration!$C$59,D26&gt;=Configuration!$C$60,E26&gt;=Configuration!$C$61),"STRONG","MODERATE")))</f>
        <v>MODERATE</v>
      </c>
      <c r="K26" s="89" t="str">
        <f aca="false">IF(Configuration!$C$34="No","",IF(Configuration!$C$63="No","",IFERROR(aggregate(5,6,'Patent Portfolio'!AC3:AC22/('Bundle Assignment'!AA3:AA22=TRUE())),"")))</f>
        <v/>
      </c>
      <c r="L26" s="88" t="n">
        <f aca="false">IF(Configuration!$C$34="No","",IF(Configuration!$C$64="No","",IFERROR(SUMPRODUCT(--('Bundle Assignment'!AA3:AA22=TRUE()),--('Patent Portfolio'!AD3:AD22&lt;=1))/COUNTIF('Bundle Assignment'!AA3:AA22,TRUE()),0)))</f>
        <v>0.333333333333333</v>
      </c>
      <c r="M26" s="88" t="n">
        <f aca="false">IF(Configuration!$C$34="No","",IF(Configuration!$C$65="No","",IFERROR(SUMPRODUCT(--('Bundle Assignment'!AA3:AA22=TRUE()),--('Patent Portfolio'!AK3:AK22&lt;&gt;"None"),--('Patent Portfolio'!AK3:AK22&lt;&gt;""))/COUNTIF('Bundle Assignment'!AA3:AA22,TRUE()),0)))</f>
        <v>0.5</v>
      </c>
      <c r="N26" s="88" t="n">
        <f aca="false">IF(Configuration!$C$34="No","",IF(Configuration!$C$66="No","",IFERROR(SUMPRODUCT(--('Bundle Assignment'!AA3:AA22=TRUE()),--('Patent Portfolio'!AI3:AI22="Survived"))/COUNTIF('Bundle Assignment'!AA3:AA22,TRUE()),0)))</f>
        <v>0.166666666666667</v>
      </c>
      <c r="O26" s="88" t="n">
        <f aca="false">IF(Configuration!$C$34="No","",IF(Configuration!$C$67="No","",IFERROR(SUMPRODUCT(--('Bundle Assignment'!AA3:AA22=TRUE()),--('Patent Portfolio'!T3:T22="Yes"))/COUNTIF('Bundle Assignment'!AA3:AA22,TRUE()),0)))</f>
        <v>1</v>
      </c>
    </row>
    <row r="27" customFormat="false" ht="15" hidden="false" customHeight="true" outlineLevel="0" collapsed="false">
      <c r="A27" s="82" t="n">
        <v>26</v>
      </c>
      <c r="B27" s="18" t="str">
        <f aca="false">IF(Configuration!$C$35="No","[DISABLED] EoU-Backed","EoU-Backed")</f>
        <v>EoU-Backed</v>
      </c>
      <c r="C27" s="85" t="n">
        <f aca="false">IF(Configuration!$C$35="No","",COUNTIF('Bundle Assignment'!AB3:AB22,TRUE()))</f>
        <v>7</v>
      </c>
      <c r="D27" s="86" t="n">
        <f aca="false">IF(Configuration!$C$35="No","",IFERROR(SUMPRODUCT(--('Bundle Assignment'!AB3:AB22=TRUE()),('Patent Portfolio'!O3:O22+'Patent Portfolio'!P3:P22)/2)/COUNTIF('Bundle Assignment'!AB3:AB22,TRUE()),0))</f>
        <v>1.85714285714286</v>
      </c>
      <c r="E27" s="87" t="n">
        <f aca="false">IF(Configuration!$C$35="No","",IFERROR(SUMPRODUCT(--('Bundle Assignment'!AB3:AB22=TRUE()),'Patent Portfolio'!U3:U22)/COUNTIF('Bundle Assignment'!AB3:AB22,TRUE()),0))</f>
        <v>12.8571428571429</v>
      </c>
      <c r="F27" s="88" t="n">
        <f aca="false">IF(Configuration!$C$35="No","",IFERROR(SUMPRODUCT(--('Bundle Assignment'!AB3:AB22=TRUE()),--('Patent Portfolio'!X3:X22="Yes"))/COUNTIF('Bundle Assignment'!AB3:AB22,TRUE()),0))</f>
        <v>1</v>
      </c>
      <c r="G27" s="88" t="n">
        <f aca="false">IF(Configuration!$C$35="No","",IFERROR(SUMPRODUCT(--('Bundle Assignment'!AB3:AB22=TRUE()),--('Patent Portfolio'!T3:T22="Yes"))/COUNTIF('Bundle Assignment'!AB3:AB22,TRUE()),0))</f>
        <v>0.428571428571429</v>
      </c>
      <c r="H27" s="88" t="n">
        <f aca="false">IF(Configuration!$C$35="No","",IFERROR(SUMPRODUCT(--('Bundle Assignment'!AB3:AB22=TRUE()),--('Patent Portfolio'!H3:H22&gt;=2))/COUNTIF('Bundle Assignment'!AB3:AB22,TRUE()),0))</f>
        <v>0.428571428571429</v>
      </c>
      <c r="I27" s="85" t="n">
        <f aca="false">IF(Configuration!$C$35="No","",SUMPRODUCT(--('Bundle Assignment'!AB3:AB22=TRUE()),--('Patent Portfolio'!L3:L22=3)))</f>
        <v>1</v>
      </c>
      <c r="J27" s="27" t="str">
        <f aca="false">IF(Configuration!$C$35="No","",IF(C27&lt;2,"WEAK",IF(AND(C27&gt;=Configuration!$C$59,D27&gt;=Configuration!$C$60,E27&gt;=Configuration!$C$61),"STRONG","MODERATE")))</f>
        <v>MODERATE</v>
      </c>
      <c r="K27" s="89" t="str">
        <f aca="false">IF(Configuration!$C$35="No","",IF(Configuration!$C$63="No","",IFERROR(aggregate(5,6,'Patent Portfolio'!AC3:AC22/('Bundle Assignment'!AB3:AB22=TRUE())),"")))</f>
        <v/>
      </c>
      <c r="L27" s="88" t="n">
        <f aca="false">IF(Configuration!$C$35="No","",IF(Configuration!$C$64="No","",IFERROR(SUMPRODUCT(--('Bundle Assignment'!AB3:AB22=TRUE()),--('Patent Portfolio'!AD3:AD22&lt;=1))/COUNTIF('Bundle Assignment'!AB3:AB22,TRUE()),0)))</f>
        <v>0.142857142857143</v>
      </c>
      <c r="M27" s="88" t="n">
        <f aca="false">IF(Configuration!$C$35="No","",IF(Configuration!$C$65="No","",IFERROR(SUMPRODUCT(--('Bundle Assignment'!AB3:AB22=TRUE()),--('Patent Portfolio'!AK3:AK22&lt;&gt;"None"),--('Patent Portfolio'!AK3:AK22&lt;&gt;""))/COUNTIF('Bundle Assignment'!AB3:AB22,TRUE()),0)))</f>
        <v>1</v>
      </c>
      <c r="N27" s="88" t="n">
        <f aca="false">IF(Configuration!$C$35="No","",IF(Configuration!$C$66="No","",IFERROR(SUMPRODUCT(--('Bundle Assignment'!AB3:AB22=TRUE()),--('Patent Portfolio'!AI3:AI22="Survived"))/COUNTIF('Bundle Assignment'!AB3:AB22,TRUE()),0)))</f>
        <v>0.285714285714286</v>
      </c>
      <c r="O27" s="88" t="n">
        <f aca="false">IF(Configuration!$C$35="No","",IF(Configuration!$C$67="No","",IFERROR(SUMPRODUCT(--('Bundle Assignment'!AB3:AB22=TRUE()),--('Patent Portfolio'!T3:T22="Yes"))/COUNTIF('Bundle Assignment'!AB3:AB22,TRUE()),0)))</f>
        <v>0.428571428571429</v>
      </c>
    </row>
    <row r="28" customFormat="false" ht="15" hidden="false" customHeight="true" outlineLevel="0" collapsed="false">
      <c r="A28" s="82" t="n">
        <v>27</v>
      </c>
      <c r="B28" s="18" t="str">
        <f aca="false">IF(Configuration!$C$36="No","[DISABLED] Battle-Tested","Battle-Tested")</f>
        <v>Battle-Tested</v>
      </c>
      <c r="C28" s="85" t="n">
        <f aca="false">IF(Configuration!$C$36="No","",COUNTIF('Bundle Assignment'!AC3:AC22,TRUE()))</f>
        <v>2</v>
      </c>
      <c r="D28" s="86" t="n">
        <f aca="false">IF(Configuration!$C$36="No","",IFERROR(SUMPRODUCT(--('Bundle Assignment'!AC3:AC22=TRUE()),('Patent Portfolio'!O3:O22+'Patent Portfolio'!P3:P22)/2)/COUNTIF('Bundle Assignment'!AC3:AC22,TRUE()),0))</f>
        <v>2.5</v>
      </c>
      <c r="E28" s="87" t="n">
        <f aca="false">IF(Configuration!$C$36="No","",IFERROR(SUMPRODUCT(--('Bundle Assignment'!AC3:AC22=TRUE()),'Patent Portfolio'!U3:U22)/COUNTIF('Bundle Assignment'!AC3:AC22,TRUE()),0))</f>
        <v>11.5</v>
      </c>
      <c r="F28" s="88" t="n">
        <f aca="false">IF(Configuration!$C$36="No","",IFERROR(SUMPRODUCT(--('Bundle Assignment'!AC3:AC22=TRUE()),--('Patent Portfolio'!X3:X22="Yes"))/COUNTIF('Bundle Assignment'!AC3:AC22,TRUE()),0))</f>
        <v>1</v>
      </c>
      <c r="G28" s="88" t="n">
        <f aca="false">IF(Configuration!$C$36="No","",IFERROR(SUMPRODUCT(--('Bundle Assignment'!AC3:AC22=TRUE()),--('Patent Portfolio'!T3:T22="Yes"))/COUNTIF('Bundle Assignment'!AC3:AC22,TRUE()),0))</f>
        <v>0.5</v>
      </c>
      <c r="H28" s="88" t="n">
        <f aca="false">IF(Configuration!$C$36="No","",IFERROR(SUMPRODUCT(--('Bundle Assignment'!AC3:AC22=TRUE()),--('Patent Portfolio'!H3:H22&gt;=2))/COUNTIF('Bundle Assignment'!AC3:AC22,TRUE()),0))</f>
        <v>1</v>
      </c>
      <c r="I28" s="85" t="n">
        <f aca="false">IF(Configuration!$C$36="No","",SUMPRODUCT(--('Bundle Assignment'!AC3:AC22=TRUE()),--('Patent Portfolio'!L3:L22=3)))</f>
        <v>0</v>
      </c>
      <c r="J28" s="27" t="str">
        <f aca="false">IF(Configuration!$C$36="No","",IF(C28&lt;2,"WEAK",IF(AND(C28&gt;=Configuration!$C$59,D28&gt;=Configuration!$C$60,E28&gt;=Configuration!$C$61),"STRONG","MODERATE")))</f>
        <v>MODERATE</v>
      </c>
      <c r="K28" s="89" t="str">
        <f aca="false">IF(Configuration!$C$36="No","",IF(Configuration!$C$63="No","",IFERROR(aggregate(5,6,'Patent Portfolio'!AC3:AC22/('Bundle Assignment'!AC3:AC22=TRUE())),"")))</f>
        <v/>
      </c>
      <c r="L28" s="88" t="n">
        <f aca="false">IF(Configuration!$C$36="No","",IF(Configuration!$C$64="No","",IFERROR(SUMPRODUCT(--('Bundle Assignment'!AC3:AC22=TRUE()),--('Patent Portfolio'!AD3:AD22&lt;=1))/COUNTIF('Bundle Assignment'!AC3:AC22,TRUE()),0)))</f>
        <v>0</v>
      </c>
      <c r="M28" s="88" t="n">
        <f aca="false">IF(Configuration!$C$36="No","",IF(Configuration!$C$65="No","",IFERROR(SUMPRODUCT(--('Bundle Assignment'!AC3:AC22=TRUE()),--('Patent Portfolio'!AK3:AK22&lt;&gt;"None"),--('Patent Portfolio'!AK3:AK22&lt;&gt;""))/COUNTIF('Bundle Assignment'!AC3:AC22,TRUE()),0)))</f>
        <v>1</v>
      </c>
      <c r="N28" s="88" t="n">
        <f aca="false">IF(Configuration!$C$36="No","",IF(Configuration!$C$66="No","",IFERROR(SUMPRODUCT(--('Bundle Assignment'!AC3:AC22=TRUE()),--('Patent Portfolio'!AI3:AI22="Survived"))/COUNTIF('Bundle Assignment'!AC3:AC22,TRUE()),0)))</f>
        <v>1</v>
      </c>
      <c r="O28" s="88" t="n">
        <f aca="false">IF(Configuration!$C$36="No","",IF(Configuration!$C$67="No","",IFERROR(SUMPRODUCT(--('Bundle Assignment'!AC3:AC22=TRUE()),--('Patent Portfolio'!T3:T22="Yes"))/COUNTIF('Bundle Assignment'!AC3:AC22,TRUE()),0)))</f>
        <v>0.5</v>
      </c>
    </row>
    <row r="29" customFormat="false" ht="15" hidden="false" customHeight="true" outlineLevel="0" collapsed="false">
      <c r="A29" s="82" t="n">
        <v>28</v>
      </c>
      <c r="B29" s="18" t="str">
        <f aca="false">IF(Configuration!$C$37="No","[DISABLED] Clean-Title","Clean-Title")</f>
        <v>Clean-Title</v>
      </c>
      <c r="C29" s="85" t="n">
        <f aca="false">IF(Configuration!$C$37="No","",COUNTIF('Bundle Assignment'!AD3:AD22,TRUE()))</f>
        <v>9</v>
      </c>
      <c r="D29" s="86" t="n">
        <f aca="false">IF(Configuration!$C$37="No","",IFERROR(SUMPRODUCT(--('Bundle Assignment'!AD3:AD22=TRUE()),('Patent Portfolio'!O3:O22+'Patent Portfolio'!P3:P22)/2)/COUNTIF('Bundle Assignment'!AD3:AD22,TRUE()),0))</f>
        <v>1.55555555555556</v>
      </c>
      <c r="E29" s="87" t="n">
        <f aca="false">IF(Configuration!$C$37="No","",IFERROR(SUMPRODUCT(--('Bundle Assignment'!AD3:AD22=TRUE()),'Patent Portfolio'!U3:U22)/COUNTIF('Bundle Assignment'!AD3:AD22,TRUE()),0))</f>
        <v>14.1111111111111</v>
      </c>
      <c r="F29" s="88" t="n">
        <f aca="false">IF(Configuration!$C$37="No","",IFERROR(SUMPRODUCT(--('Bundle Assignment'!AD3:AD22=TRUE()),--('Patent Portfolio'!X3:X22="Yes"))/COUNTIF('Bundle Assignment'!AD3:AD22,TRUE()),0))</f>
        <v>0.888888888888889</v>
      </c>
      <c r="G29" s="88" t="n">
        <f aca="false">IF(Configuration!$C$37="No","",IFERROR(SUMPRODUCT(--('Bundle Assignment'!AD3:AD22=TRUE()),--('Patent Portfolio'!T3:T22="Yes"))/COUNTIF('Bundle Assignment'!AD3:AD22,TRUE()),0))</f>
        <v>0.666666666666667</v>
      </c>
      <c r="H29" s="88" t="n">
        <f aca="false">IF(Configuration!$C$37="No","",IFERROR(SUMPRODUCT(--('Bundle Assignment'!AD3:AD22=TRUE()),--('Patent Portfolio'!H3:H22&gt;=2))/COUNTIF('Bundle Assignment'!AD3:AD22,TRUE()),0))</f>
        <v>0.444444444444444</v>
      </c>
      <c r="I29" s="85" t="n">
        <f aca="false">IF(Configuration!$C$37="No","",SUMPRODUCT(--('Bundle Assignment'!AD3:AD22=TRUE()),--('Patent Portfolio'!L3:L22=3)))</f>
        <v>1</v>
      </c>
      <c r="J29" s="27" t="str">
        <f aca="false">IF(Configuration!$C$37="No","",IF(C29&lt;2,"WEAK",IF(AND(C29&gt;=Configuration!$C$59,D29&gt;=Configuration!$C$60,E29&gt;=Configuration!$C$61),"STRONG","MODERATE")))</f>
        <v>MODERATE</v>
      </c>
      <c r="K29" s="89" t="str">
        <f aca="false">IF(Configuration!$C$37="No","",IF(Configuration!$C$63="No","",IFERROR(aggregate(5,6,'Patent Portfolio'!AC3:AC22/('Bundle Assignment'!AD3:AD22=TRUE())),"")))</f>
        <v/>
      </c>
      <c r="L29" s="88" t="n">
        <f aca="false">IF(Configuration!$C$37="No","",IF(Configuration!$C$64="No","",IFERROR(SUMPRODUCT(--('Bundle Assignment'!AD3:AD22=TRUE()),--('Patent Portfolio'!AD3:AD22&lt;=1))/COUNTIF('Bundle Assignment'!AD3:AD22,TRUE()),0)))</f>
        <v>0.222222222222222</v>
      </c>
      <c r="M29" s="88" t="n">
        <f aca="false">IF(Configuration!$C$37="No","",IF(Configuration!$C$65="No","",IFERROR(SUMPRODUCT(--('Bundle Assignment'!AD3:AD22=TRUE()),--('Patent Portfolio'!AK3:AK22&lt;&gt;"None"),--('Patent Portfolio'!AK3:AK22&lt;&gt;""))/COUNTIF('Bundle Assignment'!AD3:AD22,TRUE()),0)))</f>
        <v>0.666666666666667</v>
      </c>
      <c r="N29" s="88" t="n">
        <f aca="false">IF(Configuration!$C$37="No","",IF(Configuration!$C$66="No","",IFERROR(SUMPRODUCT(--('Bundle Assignment'!AD3:AD22=TRUE()),--('Patent Portfolio'!AI3:AI22="Survived"))/COUNTIF('Bundle Assignment'!AD3:AD22,TRUE()),0)))</f>
        <v>0.222222222222222</v>
      </c>
      <c r="O29" s="88" t="n">
        <f aca="false">IF(Configuration!$C$37="No","",IF(Configuration!$C$67="No","",IFERROR(SUMPRODUCT(--('Bundle Assignment'!AD3:AD22=TRUE()),--('Patent Portfolio'!T3:T22="Yes"))/COUNTIF('Bundle Assignment'!AD3:AD22,TRUE()),0)))</f>
        <v>0.666666666666667</v>
      </c>
    </row>
    <row r="30" customFormat="false" ht="15" hidden="false" customHeight="true" outlineLevel="0" collapsed="false">
      <c r="A30" s="82" t="n">
        <v>29</v>
      </c>
      <c r="B30" s="18" t="str">
        <f aca="false">IF(Configuration!$C$38="No","[DISABLED] High-Citation","High-Citation")</f>
        <v>High-Citation</v>
      </c>
      <c r="C30" s="85" t="n">
        <f aca="false">IF(Configuration!$C$38="No","",COUNTIF('Bundle Assignment'!AE3:AE22,TRUE()))</f>
        <v>8</v>
      </c>
      <c r="D30" s="86" t="n">
        <f aca="false">IF(Configuration!$C$38="No","",IFERROR(SUMPRODUCT(--('Bundle Assignment'!AE3:AE22=TRUE()),('Patent Portfolio'!O3:O22+'Patent Portfolio'!P3:P22)/2)/COUNTIF('Bundle Assignment'!AE3:AE22,TRUE()),0))</f>
        <v>1.6875</v>
      </c>
      <c r="E30" s="87" t="n">
        <f aca="false">IF(Configuration!$C$38="No","",IFERROR(SUMPRODUCT(--('Bundle Assignment'!AE3:AE22=TRUE()),'Patent Portfolio'!U3:U22)/COUNTIF('Bundle Assignment'!AE3:AE22,TRUE()),0))</f>
        <v>12.875</v>
      </c>
      <c r="F30" s="88" t="n">
        <f aca="false">IF(Configuration!$C$38="No","",IFERROR(SUMPRODUCT(--('Bundle Assignment'!AE3:AE22=TRUE()),--('Patent Portfolio'!X3:X22="Yes"))/COUNTIF('Bundle Assignment'!AE3:AE22,TRUE()),0))</f>
        <v>1</v>
      </c>
      <c r="G30" s="88" t="n">
        <f aca="false">IF(Configuration!$C$38="No","",IFERROR(SUMPRODUCT(--('Bundle Assignment'!AE3:AE22=TRUE()),--('Patent Portfolio'!T3:T22="Yes"))/COUNTIF('Bundle Assignment'!AE3:AE22,TRUE()),0))</f>
        <v>0.5</v>
      </c>
      <c r="H30" s="88" t="n">
        <f aca="false">IF(Configuration!$C$38="No","",IFERROR(SUMPRODUCT(--('Bundle Assignment'!AE3:AE22=TRUE()),--('Patent Portfolio'!H3:H22&gt;=2))/COUNTIF('Bundle Assignment'!AE3:AE22,TRUE()),0))</f>
        <v>0.375</v>
      </c>
      <c r="I30" s="85" t="n">
        <f aca="false">IF(Configuration!$C$38="No","",SUMPRODUCT(--('Bundle Assignment'!AE3:AE22=TRUE()),--('Patent Portfolio'!L3:L22=3)))</f>
        <v>1</v>
      </c>
      <c r="J30" s="27" t="str">
        <f aca="false">IF(Configuration!$C$38="No","",IF(C30&lt;2,"WEAK",IF(AND(C30&gt;=Configuration!$C$59,D30&gt;=Configuration!$C$60,E30&gt;=Configuration!$C$61),"STRONG","MODERATE")))</f>
        <v>MODERATE</v>
      </c>
      <c r="K30" s="89" t="str">
        <f aca="false">IF(Configuration!$C$38="No","",IF(Configuration!$C$63="No","",IFERROR(aggregate(5,6,'Patent Portfolio'!AC3:AC22/('Bundle Assignment'!AE3:AE22=TRUE())),"")))</f>
        <v/>
      </c>
      <c r="L30" s="88" t="n">
        <f aca="false">IF(Configuration!$C$38="No","",IF(Configuration!$C$64="No","",IFERROR(SUMPRODUCT(--('Bundle Assignment'!AE3:AE22=TRUE()),--('Patent Portfolio'!AD3:AD22&lt;=1))/COUNTIF('Bundle Assignment'!AE3:AE22,TRUE()),0)))</f>
        <v>0.125</v>
      </c>
      <c r="M30" s="88" t="n">
        <f aca="false">IF(Configuration!$C$38="No","",IF(Configuration!$C$65="No","",IFERROR(SUMPRODUCT(--('Bundle Assignment'!AE3:AE22=TRUE()),--('Patent Portfolio'!AK3:AK22&lt;&gt;"None"),--('Patent Portfolio'!AK3:AK22&lt;&gt;""))/COUNTIF('Bundle Assignment'!AE3:AE22,TRUE()),0)))</f>
        <v>0.875</v>
      </c>
      <c r="N30" s="88" t="n">
        <f aca="false">IF(Configuration!$C$38="No","",IF(Configuration!$C$66="No","",IFERROR(SUMPRODUCT(--('Bundle Assignment'!AE3:AE22=TRUE()),--('Patent Portfolio'!AI3:AI22="Survived"))/COUNTIF('Bundle Assignment'!AE3:AE22,TRUE()),0)))</f>
        <v>0.25</v>
      </c>
      <c r="O30" s="88" t="n">
        <f aca="false">IF(Configuration!$C$38="No","",IF(Configuration!$C$67="No","",IFERROR(SUMPRODUCT(--('Bundle Assignment'!AE3:AE22=TRUE()),--('Patent Portfolio'!T3:T22="Yes"))/COUNTIF('Bundle Assignment'!AE3:AE22,TRUE()),0)))</f>
        <v>0.5</v>
      </c>
    </row>
    <row r="31" customFormat="false" ht="15" hidden="false" customHeight="true" outlineLevel="0" collapsed="false">
      <c r="A31" s="82" t="n">
        <v>30</v>
      </c>
      <c r="B31" s="18" t="str">
        <f aca="false">IF(Configuration!$C$39="No","[DISABLED] Adjacent Re-Read","Adjacent Re-Read")</f>
        <v>Adjacent Re-Read</v>
      </c>
      <c r="C31" s="85" t="n">
        <f aca="false">IF(Configuration!$C$39="No","",COUNTIF('Bundle Assignment'!AF3:AF22,TRUE()))</f>
        <v>9</v>
      </c>
      <c r="D31" s="86" t="n">
        <f aca="false">IF(Configuration!$C$39="No","",IFERROR(SUMPRODUCT(--('Bundle Assignment'!AF3:AF22=TRUE()),('Patent Portfolio'!O3:O22+'Patent Portfolio'!P3:P22)/2)/COUNTIF('Bundle Assignment'!AF3:AF22,TRUE()),0))</f>
        <v>1.66666666666667</v>
      </c>
      <c r="E31" s="87" t="n">
        <f aca="false">IF(Configuration!$C$39="No","",IFERROR(SUMPRODUCT(--('Bundle Assignment'!AF3:AF22=TRUE()),'Patent Portfolio'!U3:U22)/COUNTIF('Bundle Assignment'!AF3:AF22,TRUE()),0))</f>
        <v>13.1111111111111</v>
      </c>
      <c r="F31" s="88" t="n">
        <f aca="false">IF(Configuration!$C$39="No","",IFERROR(SUMPRODUCT(--('Bundle Assignment'!AF3:AF22=TRUE()),--('Patent Portfolio'!X3:X22="Yes"))/COUNTIF('Bundle Assignment'!AF3:AF22,TRUE()),0))</f>
        <v>0.777777777777778</v>
      </c>
      <c r="G31" s="88" t="n">
        <f aca="false">IF(Configuration!$C$39="No","",IFERROR(SUMPRODUCT(--('Bundle Assignment'!AF3:AF22=TRUE()),--('Patent Portfolio'!T3:T22="Yes"))/COUNTIF('Bundle Assignment'!AF3:AF22,TRUE()),0))</f>
        <v>0.444444444444444</v>
      </c>
      <c r="H31" s="88" t="n">
        <f aca="false">IF(Configuration!$C$39="No","",IFERROR(SUMPRODUCT(--('Bundle Assignment'!AF3:AF22=TRUE()),--('Patent Portfolio'!H3:H22&gt;=2))/COUNTIF('Bundle Assignment'!AF3:AF22,TRUE()),0))</f>
        <v>0.222222222222222</v>
      </c>
      <c r="I31" s="85" t="n">
        <f aca="false">IF(Configuration!$C$39="No","",SUMPRODUCT(--('Bundle Assignment'!AF3:AF22=TRUE()),--('Patent Portfolio'!L3:L22=3)))</f>
        <v>1</v>
      </c>
      <c r="J31" s="27" t="str">
        <f aca="false">IF(Configuration!$C$39="No","",IF(C31&lt;2,"WEAK",IF(AND(C31&gt;=Configuration!$C$59,D31&gt;=Configuration!$C$60,E31&gt;=Configuration!$C$61),"STRONG","MODERATE")))</f>
        <v>MODERATE</v>
      </c>
      <c r="K31" s="89" t="str">
        <f aca="false">IF(Configuration!$C$39="No","",IF(Configuration!$C$63="No","",IFERROR(aggregate(5,6,'Patent Portfolio'!AC3:AC22/('Bundle Assignment'!AF3:AF22=TRUE())),"")))</f>
        <v/>
      </c>
      <c r="L31" s="88" t="n">
        <f aca="false">IF(Configuration!$C$39="No","",IF(Configuration!$C$64="No","",IFERROR(SUMPRODUCT(--('Bundle Assignment'!AF3:AF22=TRUE()),--('Patent Portfolio'!AD3:AD22&lt;=1))/COUNTIF('Bundle Assignment'!AF3:AF22,TRUE()),0)))</f>
        <v>0.333333333333333</v>
      </c>
      <c r="M31" s="88" t="n">
        <f aca="false">IF(Configuration!$C$39="No","",IF(Configuration!$C$65="No","",IFERROR(SUMPRODUCT(--('Bundle Assignment'!AF3:AF22=TRUE()),--('Patent Portfolio'!AK3:AK22&lt;&gt;"None"),--('Patent Portfolio'!AK3:AK22&lt;&gt;""))/COUNTIF('Bundle Assignment'!AF3:AF22,TRUE()),0)))</f>
        <v>0.555555555555556</v>
      </c>
      <c r="N31" s="88" t="n">
        <f aca="false">IF(Configuration!$C$39="No","",IF(Configuration!$C$66="No","",IFERROR(SUMPRODUCT(--('Bundle Assignment'!AF3:AF22=TRUE()),--('Patent Portfolio'!AI3:AI22="Survived"))/COUNTIF('Bundle Assignment'!AF3:AF22,TRUE()),0)))</f>
        <v>0.111111111111111</v>
      </c>
      <c r="O31" s="88" t="n">
        <f aca="false">IF(Configuration!$C$39="No","",IF(Configuration!$C$67="No","",IFERROR(SUMPRODUCT(--('Bundle Assignment'!AF3:AF22=TRUE()),--('Patent Portfolio'!T3:T22="Yes"))/COUNTIF('Bundle Assignment'!AF3:AF22,TRUE()),0)))</f>
        <v>0.444444444444444</v>
      </c>
    </row>
    <row r="32" customFormat="false" ht="15" hidden="false" customHeight="true" outlineLevel="0" collapsed="false">
      <c r="A32" s="82" t="n">
        <v>31</v>
      </c>
      <c r="B32" s="18" t="str">
        <f aca="false">IF(Configuration!$C$40="No","[DISABLED] Salvage / Volume Lot","Salvage / Volume Lot")</f>
        <v>Salvage / Volume Lot</v>
      </c>
      <c r="C32" s="85" t="n">
        <f aca="false">IF(Configuration!$C$40="No","",COUNTIF('Bundle Assignment'!AG3:AG22,TRUE()))</f>
        <v>11</v>
      </c>
      <c r="D32" s="86" t="n">
        <f aca="false">IF(Configuration!$C$40="No","",IFERROR(SUMPRODUCT(--('Bundle Assignment'!AG3:AG22=TRUE()),('Patent Portfolio'!O3:O22+'Patent Portfolio'!P3:P22)/2)/COUNTIF('Bundle Assignment'!AG3:AG22,TRUE()),0))</f>
        <v>0.318181818181818</v>
      </c>
      <c r="E32" s="87" t="n">
        <f aca="false">IF(Configuration!$C$40="No","",IFERROR(SUMPRODUCT(--('Bundle Assignment'!AG3:AG22=TRUE()),'Patent Portfolio'!U3:U22)/COUNTIF('Bundle Assignment'!AG3:AG22,TRUE()),0))</f>
        <v>3.81818181818182</v>
      </c>
      <c r="F32" s="88" t="n">
        <f aca="false">IF(Configuration!$C$40="No","",IFERROR(SUMPRODUCT(--('Bundle Assignment'!AG3:AG22=TRUE()),--('Patent Portfolio'!X3:X22="Yes"))/COUNTIF('Bundle Assignment'!AG3:AG22,TRUE()),0))</f>
        <v>0.0909090909090909</v>
      </c>
      <c r="G32" s="88" t="n">
        <f aca="false">IF(Configuration!$C$40="No","",IFERROR(SUMPRODUCT(--('Bundle Assignment'!AG3:AG22=TRUE()),--('Patent Portfolio'!T3:T22="Yes"))/COUNTIF('Bundle Assignment'!AG3:AG22,TRUE()),0))</f>
        <v>0.181818181818182</v>
      </c>
      <c r="H32" s="88" t="n">
        <f aca="false">IF(Configuration!$C$40="No","",IFERROR(SUMPRODUCT(--('Bundle Assignment'!AG3:AG22=TRUE()),--('Patent Portfolio'!H3:H22&gt;=2))/COUNTIF('Bundle Assignment'!AG3:AG22,TRUE()),0))</f>
        <v>0</v>
      </c>
      <c r="I32" s="85" t="n">
        <f aca="false">IF(Configuration!$C$40="No","",SUMPRODUCT(--('Bundle Assignment'!AG3:AG22=TRUE()),--('Patent Portfolio'!L3:L22=3)))</f>
        <v>0</v>
      </c>
      <c r="J32" s="27" t="str">
        <f aca="false">IF(Configuration!$C$40="No","",IF(C32&lt;2,"WEAK",IF(AND(C32&gt;=Configuration!$C$59,D32&gt;=Configuration!$C$60,E32&gt;=Configuration!$C$61),"STRONG","MODERATE")))</f>
        <v>MODERATE</v>
      </c>
      <c r="K32" s="89" t="str">
        <f aca="false">IF(Configuration!$C$40="No","",IF(Configuration!$C$63="No","",IFERROR(aggregate(5,6,'Patent Portfolio'!AC3:AC22/('Bundle Assignment'!AG3:AG22=TRUE())),"")))</f>
        <v/>
      </c>
      <c r="L32" s="88" t="n">
        <f aca="false">IF(Configuration!$C$40="No","",IF(Configuration!$C$64="No","",IFERROR(SUMPRODUCT(--('Bundle Assignment'!AG3:AG22=TRUE()),--('Patent Portfolio'!AD3:AD22&lt;=1))/COUNTIF('Bundle Assignment'!AG3:AG22,TRUE()),0)))</f>
        <v>1</v>
      </c>
      <c r="M32" s="88" t="n">
        <f aca="false">IF(Configuration!$C$40="No","",IF(Configuration!$C$65="No","",IFERROR(SUMPRODUCT(--('Bundle Assignment'!AG3:AG22=TRUE()),--('Patent Portfolio'!AK3:AK22&lt;&gt;"None"),--('Patent Portfolio'!AK3:AK22&lt;&gt;""))/COUNTIF('Bundle Assignment'!AG3:AG22,TRUE()),0)))</f>
        <v>0.0909090909090909</v>
      </c>
      <c r="N32" s="88" t="n">
        <f aca="false">IF(Configuration!$C$40="No","",IF(Configuration!$C$66="No","",IFERROR(SUMPRODUCT(--('Bundle Assignment'!AG3:AG22=TRUE()),--('Patent Portfolio'!AI3:AI22="Survived"))/COUNTIF('Bundle Assignment'!AG3:AG22,TRUE()),0)))</f>
        <v>0</v>
      </c>
      <c r="O32" s="88" t="n">
        <f aca="false">IF(Configuration!$C$40="No","",IF(Configuration!$C$67="No","",IFERROR(SUMPRODUCT(--('Bundle Assignment'!AG3:AG22=TRUE()),--('Patent Portfolio'!T3:T22="Yes"))/COUNTIF('Bundle Assignment'!AG3:AG22,TRUE()),0)))</f>
        <v>0.181818181818182</v>
      </c>
    </row>
    <row r="33" customFormat="false" ht="15" hidden="false" customHeight="true" outlineLevel="0" collapsed="false">
      <c r="A33" s="82" t="n">
        <v>32</v>
      </c>
      <c r="B33" s="18" t="str">
        <f aca="false">IF(Configuration!$C$41="No","[DISABLED] Pre-Expiry","Pre-Expiry")</f>
        <v>Pre-Expiry</v>
      </c>
      <c r="C33" s="85" t="n">
        <f aca="false">IF(Configuration!$C$41="No","",COUNTIF('Bundle Assignment'!AH3:AH22,TRUE()))</f>
        <v>0</v>
      </c>
      <c r="D33" s="86" t="n">
        <f aca="false">IF(Configuration!$C$41="No","",IFERROR(SUMPRODUCT(--('Bundle Assignment'!AH3:AH22=TRUE()),('Patent Portfolio'!O3:O22+'Patent Portfolio'!P3:P22)/2)/COUNTIF('Bundle Assignment'!AH3:AH22,TRUE()),0))</f>
        <v>0</v>
      </c>
      <c r="E33" s="87" t="n">
        <f aca="false">IF(Configuration!$C$41="No","",IFERROR(SUMPRODUCT(--('Bundle Assignment'!AH3:AH22=TRUE()),'Patent Portfolio'!U3:U22)/COUNTIF('Bundle Assignment'!AH3:AH22,TRUE()),0))</f>
        <v>0</v>
      </c>
      <c r="F33" s="88" t="n">
        <f aca="false">IF(Configuration!$C$41="No","",IFERROR(SUMPRODUCT(--('Bundle Assignment'!AH3:AH22=TRUE()),--('Patent Portfolio'!X3:X22="Yes"))/COUNTIF('Bundle Assignment'!AH3:AH22,TRUE()),0))</f>
        <v>0</v>
      </c>
      <c r="G33" s="88" t="n">
        <f aca="false">IF(Configuration!$C$41="No","",IFERROR(SUMPRODUCT(--('Bundle Assignment'!AH3:AH22=TRUE()),--('Patent Portfolio'!T3:T22="Yes"))/COUNTIF('Bundle Assignment'!AH3:AH22,TRUE()),0))</f>
        <v>0</v>
      </c>
      <c r="H33" s="88" t="n">
        <f aca="false">IF(Configuration!$C$41="No","",IFERROR(SUMPRODUCT(--('Bundle Assignment'!AH3:AH22=TRUE()),--('Patent Portfolio'!H3:H22&gt;=2))/COUNTIF('Bundle Assignment'!AH3:AH22,TRUE()),0))</f>
        <v>0</v>
      </c>
      <c r="I33" s="85" t="n">
        <f aca="false">IF(Configuration!$C$41="No","",SUMPRODUCT(--('Bundle Assignment'!AH3:AH22=TRUE()),--('Patent Portfolio'!L3:L22=3)))</f>
        <v>0</v>
      </c>
      <c r="J33" s="27" t="str">
        <f aca="false">IF(Configuration!$C$41="No","",IF(C33&lt;2,"WEAK",IF(AND(C33&gt;=Configuration!$C$59,D33&gt;=Configuration!$C$60,E33&gt;=Configuration!$C$61),"STRONG","MODERATE")))</f>
        <v>WEAK</v>
      </c>
      <c r="K33" s="89" t="str">
        <f aca="false">IF(Configuration!$C$41="No","",IF(Configuration!$C$63="No","",IFERROR(aggregate(5,6,'Patent Portfolio'!AC3:AC22/('Bundle Assignment'!AH3:AH22=TRUE())),"")))</f>
        <v/>
      </c>
      <c r="L33" s="88" t="n">
        <f aca="false">IF(Configuration!$C$41="No","",IF(Configuration!$C$64="No","",IFERROR(SUMPRODUCT(--('Bundle Assignment'!AH3:AH22=TRUE()),--('Patent Portfolio'!AD3:AD22&lt;=1))/COUNTIF('Bundle Assignment'!AH3:AH22,TRUE()),0)))</f>
        <v>0</v>
      </c>
      <c r="M33" s="88" t="n">
        <f aca="false">IF(Configuration!$C$41="No","",IF(Configuration!$C$65="No","",IFERROR(SUMPRODUCT(--('Bundle Assignment'!AH3:AH22=TRUE()),--('Patent Portfolio'!AK3:AK22&lt;&gt;"None"),--('Patent Portfolio'!AK3:AK22&lt;&gt;""))/COUNTIF('Bundle Assignment'!AH3:AH22,TRUE()),0)))</f>
        <v>0</v>
      </c>
      <c r="N33" s="88" t="n">
        <f aca="false">IF(Configuration!$C$41="No","",IF(Configuration!$C$66="No","",IFERROR(SUMPRODUCT(--('Bundle Assignment'!AH3:AH22=TRUE()),--('Patent Portfolio'!AI3:AI22="Survived"))/COUNTIF('Bundle Assignment'!AH3:AH22,TRUE()),0)))</f>
        <v>0</v>
      </c>
      <c r="O33" s="88" t="n">
        <f aca="false">IF(Configuration!$C$41="No","",IF(Configuration!$C$67="No","",IFERROR(SUMPRODUCT(--('Bundle Assignment'!AH3:AH22=TRUE()),--('Patent Portfolio'!T3:T22="Yes"))/COUNTIF('Bundle Assignment'!AH3:AH22,TRUE()),0)))</f>
        <v>0</v>
      </c>
    </row>
    <row r="34" customFormat="false" ht="15" hidden="false" customHeight="true" outlineLevel="0" collapsed="false">
      <c r="A34" s="82" t="n">
        <v>33</v>
      </c>
      <c r="B34" s="18" t="str">
        <f aca="false">IF(Configuration!$C$42="No","[DISABLED] Provenance-Coherent","Provenance-Coherent")</f>
        <v>Provenance-Coherent</v>
      </c>
      <c r="C34" s="85" t="n">
        <f aca="false">IF(Configuration!$C$42="No","",COUNTIF('Bundle Assignment'!AI3:AI22,TRUE()))</f>
        <v>12</v>
      </c>
      <c r="D34" s="86" t="n">
        <f aca="false">IF(Configuration!$C$42="No","",IFERROR(SUMPRODUCT(--('Bundle Assignment'!AI3:AI22=TRUE()),('Patent Portfolio'!O3:O22+'Patent Portfolio'!P3:P22)/2)/COUNTIF('Bundle Assignment'!AI3:AI22,TRUE()),0))</f>
        <v>1.58333333333333</v>
      </c>
      <c r="E34" s="87" t="n">
        <f aca="false">IF(Configuration!$C$42="No","",IFERROR(SUMPRODUCT(--('Bundle Assignment'!AI3:AI22=TRUE()),'Patent Portfolio'!U3:U22)/COUNTIF('Bundle Assignment'!AI3:AI22,TRUE()),0))</f>
        <v>13.1666666666667</v>
      </c>
      <c r="F34" s="88" t="n">
        <f aca="false">IF(Configuration!$C$42="No","",IFERROR(SUMPRODUCT(--('Bundle Assignment'!AI3:AI22=TRUE()),--('Patent Portfolio'!X3:X22="Yes"))/COUNTIF('Bundle Assignment'!AI3:AI22,TRUE()),0))</f>
        <v>0.833333333333333</v>
      </c>
      <c r="G34" s="88" t="n">
        <f aca="false">IF(Configuration!$C$42="No","",IFERROR(SUMPRODUCT(--('Bundle Assignment'!AI3:AI22=TRUE()),--('Patent Portfolio'!T3:T22="Yes"))/COUNTIF('Bundle Assignment'!AI3:AI22,TRUE()),0))</f>
        <v>0.5</v>
      </c>
      <c r="H34" s="88" t="n">
        <f aca="false">IF(Configuration!$C$42="No","",IFERROR(SUMPRODUCT(--('Bundle Assignment'!AI3:AI22=TRUE()),--('Patent Portfolio'!H3:H22&gt;=2))/COUNTIF('Bundle Assignment'!AI3:AI22,TRUE()),0))</f>
        <v>0.333333333333333</v>
      </c>
      <c r="I34" s="85" t="n">
        <f aca="false">IF(Configuration!$C$42="No","",SUMPRODUCT(--('Bundle Assignment'!AI3:AI22=TRUE()),--('Patent Portfolio'!L3:L22=3)))</f>
        <v>1</v>
      </c>
      <c r="J34" s="27" t="str">
        <f aca="false">IF(Configuration!$C$42="No","",IF(C34&lt;2,"WEAK",IF(AND(C34&gt;=Configuration!$C$59,D34&gt;=Configuration!$C$60,E34&gt;=Configuration!$C$61),"STRONG","MODERATE")))</f>
        <v>MODERATE</v>
      </c>
      <c r="K34" s="89" t="str">
        <f aca="false">IF(Configuration!$C$42="No","",IF(Configuration!$C$63="No","",IFERROR(aggregate(5,6,'Patent Portfolio'!AC3:AC22/('Bundle Assignment'!AI3:AI22=TRUE())),"")))</f>
        <v/>
      </c>
      <c r="L34" s="88" t="n">
        <f aca="false">IF(Configuration!$C$42="No","",IF(Configuration!$C$64="No","",IFERROR(SUMPRODUCT(--('Bundle Assignment'!AI3:AI22=TRUE()),--('Patent Portfolio'!AD3:AD22&lt;=1))/COUNTIF('Bundle Assignment'!AI3:AI22,TRUE()),0)))</f>
        <v>0.25</v>
      </c>
      <c r="M34" s="88" t="n">
        <f aca="false">IF(Configuration!$C$42="No","",IF(Configuration!$C$65="No","",IFERROR(SUMPRODUCT(--('Bundle Assignment'!AI3:AI22=TRUE()),--('Patent Portfolio'!AK3:AK22&lt;&gt;"None"),--('Patent Portfolio'!AK3:AK22&lt;&gt;""))/COUNTIF('Bundle Assignment'!AI3:AI22,TRUE()),0)))</f>
        <v>0.583333333333333</v>
      </c>
      <c r="N34" s="88" t="n">
        <f aca="false">IF(Configuration!$C$42="No","",IF(Configuration!$C$66="No","",IFERROR(SUMPRODUCT(--('Bundle Assignment'!AI3:AI22=TRUE()),--('Patent Portfolio'!AI3:AI22="Survived"))/COUNTIF('Bundle Assignment'!AI3:AI22,TRUE()),0)))</f>
        <v>0.166666666666667</v>
      </c>
      <c r="O34" s="88" t="n">
        <f aca="false">IF(Configuration!$C$42="No","",IF(Configuration!$C$67="No","",IFERROR(SUMPRODUCT(--('Bundle Assignment'!AI3:AI22=TRUE()),--('Patent Portfolio'!T3:T22="Yes"))/COUNTIF('Bundle Assignment'!AI3:AI22,TRUE()),0)))</f>
        <v>0.5</v>
      </c>
    </row>
  </sheetData>
  <conditionalFormatting sqref="J2:J22">
    <cfRule type="cellIs" priority="2" operator="equal" aboveAverage="0" equalAverage="0" bottom="0" percent="0" rank="0" text="" dxfId="0">
      <formula>"STRONG"</formula>
    </cfRule>
    <cfRule type="cellIs" priority="3" operator="equal" aboveAverage="0" equalAverage="0" bottom="0" percent="0" rank="0" text="" dxfId="3">
      <formula>"MODERATE"</formula>
    </cfRule>
    <cfRule type="cellIs" priority="4" operator="equal" aboveAverage="0" equalAverage="0" bottom="0" percent="0" rank="0" text="" dxfId="1">
      <formula>"WEAK"</formula>
    </cfRule>
  </conditionalFormatting>
  <conditionalFormatting sqref="C2:C22">
    <cfRule type="colorScale" priority="5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L2:L34">
    <cfRule type="colorScale" priority="6">
      <colorScale>
        <cfvo type="num" val="0"/>
        <cfvo type="num" val="0.3"/>
        <cfvo type="num" val="0.6"/>
        <color rgb="FFC6EFCE"/>
        <color rgb="FFFFEB9C"/>
        <color rgb="FFFFC7CE"/>
      </colorScale>
    </cfRule>
    <cfRule type="expression" priority="7" aboveAverage="0" equalAverage="0" bottom="0" percent="0" rank="0" text="" dxfId="2">
      <formula>ISNUMBER(SEARCH("[DISABLED]",$L$1))</formula>
    </cfRule>
  </conditionalFormatting>
  <conditionalFormatting sqref="M2:M34">
    <cfRule type="colorScale" priority="8">
      <colorScale>
        <cfvo type="num" val="0"/>
        <cfvo type="num" val="0.5"/>
        <cfvo type="num" val="1"/>
        <color rgb="FFFFC7CE"/>
        <color rgb="FFFFEB9C"/>
        <color rgb="FFC6EFCE"/>
      </colorScale>
    </cfRule>
    <cfRule type="expression" priority="9" aboveAverage="0" equalAverage="0" bottom="0" percent="0" rank="0" text="" dxfId="2">
      <formula>ISNUMBER(SEARCH("[DISABLED]",$M$1))</formula>
    </cfRule>
  </conditionalFormatting>
  <conditionalFormatting sqref="N2:N34">
    <cfRule type="colorScale" priority="10">
      <colorScale>
        <cfvo type="num" val="0"/>
        <cfvo type="num" val="0.5"/>
        <cfvo type="num" val="1"/>
        <color rgb="FFFFC7CE"/>
        <color rgb="FFFFEB9C"/>
        <color rgb="FFC6EFCE"/>
      </colorScale>
    </cfRule>
    <cfRule type="expression" priority="11" aboveAverage="0" equalAverage="0" bottom="0" percent="0" rank="0" text="" dxfId="2">
      <formula>ISNUMBER(SEARCH("[DISABLED]",$N$1))</formula>
    </cfRule>
  </conditionalFormatting>
  <conditionalFormatting sqref="O2:O34">
    <cfRule type="colorScale" priority="12">
      <colorScale>
        <cfvo type="num" val="0"/>
        <cfvo type="num" val="0.5"/>
        <cfvo type="num" val="1"/>
        <color rgb="FFFFC7CE"/>
        <color rgb="FFFFEB9C"/>
        <color rgb="FFC6EFCE"/>
      </colorScale>
    </cfRule>
    <cfRule type="expression" priority="13" aboveAverage="0" equalAverage="0" bottom="0" percent="0" rank="0" text="" dxfId="2">
      <formula>ISNUMBER(SEARCH("[DISABLED]",$O$1))</formula>
    </cfRule>
  </conditionalFormatting>
  <conditionalFormatting sqref="A2:O2">
    <cfRule type="expression" priority="14" aboveAverage="0" equalAverage="0" bottom="0" percent="0" rank="0" text="" dxfId="2">
      <formula>ISNUMBER(SEARCH("[DISABLED]",$B2))</formula>
    </cfRule>
  </conditionalFormatting>
  <conditionalFormatting sqref="A3:O3">
    <cfRule type="expression" priority="15" aboveAverage="0" equalAverage="0" bottom="0" percent="0" rank="0" text="" dxfId="2">
      <formula>ISNUMBER(SEARCH("[DISABLED]",$B3))</formula>
    </cfRule>
  </conditionalFormatting>
  <conditionalFormatting sqref="A4:O4">
    <cfRule type="expression" priority="16" aboveAverage="0" equalAverage="0" bottom="0" percent="0" rank="0" text="" dxfId="2">
      <formula>ISNUMBER(SEARCH("[DISABLED]",$B4))</formula>
    </cfRule>
  </conditionalFormatting>
  <conditionalFormatting sqref="A5:O5">
    <cfRule type="expression" priority="17" aboveAverage="0" equalAverage="0" bottom="0" percent="0" rank="0" text="" dxfId="2">
      <formula>ISNUMBER(SEARCH("[DISABLED]",$B5))</formula>
    </cfRule>
  </conditionalFormatting>
  <conditionalFormatting sqref="A6:O6">
    <cfRule type="expression" priority="18" aboveAverage="0" equalAverage="0" bottom="0" percent="0" rank="0" text="" dxfId="2">
      <formula>ISNUMBER(SEARCH("[DISABLED]",$B6))</formula>
    </cfRule>
  </conditionalFormatting>
  <conditionalFormatting sqref="A7:O7">
    <cfRule type="expression" priority="19" aboveAverage="0" equalAverage="0" bottom="0" percent="0" rank="0" text="" dxfId="2">
      <formula>ISNUMBER(SEARCH("[DISABLED]",$B7))</formula>
    </cfRule>
  </conditionalFormatting>
  <conditionalFormatting sqref="A8:O8">
    <cfRule type="expression" priority="20" aboveAverage="0" equalAverage="0" bottom="0" percent="0" rank="0" text="" dxfId="2">
      <formula>ISNUMBER(SEARCH("[DISABLED]",$B8))</formula>
    </cfRule>
  </conditionalFormatting>
  <conditionalFormatting sqref="A9:O9">
    <cfRule type="expression" priority="21" aboveAverage="0" equalAverage="0" bottom="0" percent="0" rank="0" text="" dxfId="2">
      <formula>ISNUMBER(SEARCH("[DISABLED]",$B9))</formula>
    </cfRule>
  </conditionalFormatting>
  <conditionalFormatting sqref="A10:O10">
    <cfRule type="expression" priority="22" aboveAverage="0" equalAverage="0" bottom="0" percent="0" rank="0" text="" dxfId="2">
      <formula>ISNUMBER(SEARCH("[DISABLED]",$B10))</formula>
    </cfRule>
  </conditionalFormatting>
  <conditionalFormatting sqref="A11:O11">
    <cfRule type="expression" priority="23" aboveAverage="0" equalAverage="0" bottom="0" percent="0" rank="0" text="" dxfId="2">
      <formula>ISNUMBER(SEARCH("[DISABLED]",$B11))</formula>
    </cfRule>
  </conditionalFormatting>
  <conditionalFormatting sqref="A12:O12">
    <cfRule type="expression" priority="24" aboveAverage="0" equalAverage="0" bottom="0" percent="0" rank="0" text="" dxfId="2">
      <formula>ISNUMBER(SEARCH("[DISABLED]",$B12))</formula>
    </cfRule>
  </conditionalFormatting>
  <conditionalFormatting sqref="A13:O13">
    <cfRule type="expression" priority="25" aboveAverage="0" equalAverage="0" bottom="0" percent="0" rank="0" text="" dxfId="2">
      <formula>ISNUMBER(SEARCH("[DISABLED]",$B13))</formula>
    </cfRule>
  </conditionalFormatting>
  <conditionalFormatting sqref="A14:O14">
    <cfRule type="expression" priority="26" aboveAverage="0" equalAverage="0" bottom="0" percent="0" rank="0" text="" dxfId="2">
      <formula>ISNUMBER(SEARCH("[DISABLED]",$B14))</formula>
    </cfRule>
  </conditionalFormatting>
  <conditionalFormatting sqref="A15:O15">
    <cfRule type="expression" priority="27" aboveAverage="0" equalAverage="0" bottom="0" percent="0" rank="0" text="" dxfId="2">
      <formula>ISNUMBER(SEARCH("[DISABLED]",$B15))</formula>
    </cfRule>
  </conditionalFormatting>
  <conditionalFormatting sqref="A16:O16">
    <cfRule type="expression" priority="28" aboveAverage="0" equalAverage="0" bottom="0" percent="0" rank="0" text="" dxfId="2">
      <formula>ISNUMBER(SEARCH("[DISABLED]",$B16))</formula>
    </cfRule>
  </conditionalFormatting>
  <conditionalFormatting sqref="A17:O17">
    <cfRule type="expression" priority="29" aboveAverage="0" equalAverage="0" bottom="0" percent="0" rank="0" text="" dxfId="2">
      <formula>ISNUMBER(SEARCH("[DISABLED]",$B17))</formula>
    </cfRule>
  </conditionalFormatting>
  <conditionalFormatting sqref="A18:O18">
    <cfRule type="expression" priority="30" aboveAverage="0" equalAverage="0" bottom="0" percent="0" rank="0" text="" dxfId="2">
      <formula>ISNUMBER(SEARCH("[DISABLED]",$B18))</formula>
    </cfRule>
  </conditionalFormatting>
  <conditionalFormatting sqref="A19:O19">
    <cfRule type="expression" priority="31" aboveAverage="0" equalAverage="0" bottom="0" percent="0" rank="0" text="" dxfId="2">
      <formula>ISNUMBER(SEARCH("[DISABLED]",$B19))</formula>
    </cfRule>
  </conditionalFormatting>
  <conditionalFormatting sqref="A20:O20">
    <cfRule type="expression" priority="32" aboveAverage="0" equalAverage="0" bottom="0" percent="0" rank="0" text="" dxfId="2">
      <formula>ISNUMBER(SEARCH("[DISABLED]",$B20))</formula>
    </cfRule>
  </conditionalFormatting>
  <conditionalFormatting sqref="A21:O21">
    <cfRule type="expression" priority="33" aboveAverage="0" equalAverage="0" bottom="0" percent="0" rank="0" text="" dxfId="2">
      <formula>ISNUMBER(SEARCH("[DISABLED]",$B21))</formula>
    </cfRule>
  </conditionalFormatting>
  <conditionalFormatting sqref="A22:O22">
    <cfRule type="expression" priority="34" aboveAverage="0" equalAverage="0" bottom="0" percent="0" rank="0" text="" dxfId="2">
      <formula>ISNUMBER(SEARCH("[DISABLED]",$B22))</formula>
    </cfRule>
  </conditionalFormatting>
  <conditionalFormatting sqref="A23:O23">
    <cfRule type="expression" priority="35" aboveAverage="0" equalAverage="0" bottom="0" percent="0" rank="0" text="" dxfId="2">
      <formula>ISNUMBER(SEARCH("[DISABLED]",$B23))</formula>
    </cfRule>
  </conditionalFormatting>
  <conditionalFormatting sqref="A24:O24">
    <cfRule type="expression" priority="36" aboveAverage="0" equalAverage="0" bottom="0" percent="0" rank="0" text="" dxfId="2">
      <formula>ISNUMBER(SEARCH("[DISABLED]",$B24))</formula>
    </cfRule>
  </conditionalFormatting>
  <conditionalFormatting sqref="A25:O25">
    <cfRule type="expression" priority="37" aboveAverage="0" equalAverage="0" bottom="0" percent="0" rank="0" text="" dxfId="2">
      <formula>ISNUMBER(SEARCH("[DISABLED]",$B25))</formula>
    </cfRule>
  </conditionalFormatting>
  <conditionalFormatting sqref="A26:O26">
    <cfRule type="expression" priority="38" aboveAverage="0" equalAverage="0" bottom="0" percent="0" rank="0" text="" dxfId="2">
      <formula>ISNUMBER(SEARCH("[DISABLED]",$B26))</formula>
    </cfRule>
  </conditionalFormatting>
  <conditionalFormatting sqref="A27:O27">
    <cfRule type="expression" priority="39" aboveAverage="0" equalAverage="0" bottom="0" percent="0" rank="0" text="" dxfId="2">
      <formula>ISNUMBER(SEARCH("[DISABLED]",$B27))</formula>
    </cfRule>
  </conditionalFormatting>
  <conditionalFormatting sqref="A28:O28">
    <cfRule type="expression" priority="40" aboveAverage="0" equalAverage="0" bottom="0" percent="0" rank="0" text="" dxfId="2">
      <formula>ISNUMBER(SEARCH("[DISABLED]",$B28))</formula>
    </cfRule>
  </conditionalFormatting>
  <conditionalFormatting sqref="A29:O29">
    <cfRule type="expression" priority="41" aboveAverage="0" equalAverage="0" bottom="0" percent="0" rank="0" text="" dxfId="2">
      <formula>ISNUMBER(SEARCH("[DISABLED]",$B29))</formula>
    </cfRule>
  </conditionalFormatting>
  <conditionalFormatting sqref="A30:O30">
    <cfRule type="expression" priority="42" aboveAverage="0" equalAverage="0" bottom="0" percent="0" rank="0" text="" dxfId="2">
      <formula>ISNUMBER(SEARCH("[DISABLED]",$B30))</formula>
    </cfRule>
  </conditionalFormatting>
  <conditionalFormatting sqref="A31:O31">
    <cfRule type="expression" priority="43" aboveAverage="0" equalAverage="0" bottom="0" percent="0" rank="0" text="" dxfId="2">
      <formula>ISNUMBER(SEARCH("[DISABLED]",$B31))</formula>
    </cfRule>
  </conditionalFormatting>
  <conditionalFormatting sqref="A32:O32">
    <cfRule type="expression" priority="44" aboveAverage="0" equalAverage="0" bottom="0" percent="0" rank="0" text="" dxfId="2">
      <formula>ISNUMBER(SEARCH("[DISABLED]",$B32))</formula>
    </cfRule>
  </conditionalFormatting>
  <conditionalFormatting sqref="A33:O33">
    <cfRule type="expression" priority="45" aboveAverage="0" equalAverage="0" bottom="0" percent="0" rank="0" text="" dxfId="2">
      <formula>ISNUMBER(SEARCH("[DISABLED]",$B33))</formula>
    </cfRule>
  </conditionalFormatting>
  <conditionalFormatting sqref="A34:O34">
    <cfRule type="expression" priority="46" aboveAverage="0" equalAverage="0" bottom="0" percent="0" rank="0" text="" dxfId="2">
      <formula>ISNUMBER(SEARCH("[DISABLED]",$B34))</formula>
    </cfRule>
  </conditionalFormatting>
  <conditionalFormatting sqref="K2:K34">
    <cfRule type="expression" priority="47" aboveAverage="0" equalAverage="0" bottom="0" percent="0" rank="0" text="" dxfId="2">
      <formula>ISNUMBER(SEARCH("[DISABLED]",$K$1))</formula>
    </cfRule>
  </conditionalFormatting>
  <conditionalFormatting sqref="J2:J34">
    <cfRule type="cellIs" priority="48" operator="equal" aboveAverage="0" equalAverage="0" bottom="0" percent="0" rank="0" text="" dxfId="0">
      <formula>"STRONG"</formula>
    </cfRule>
    <cfRule type="cellIs" priority="49" operator="equal" aboveAverage="0" equalAverage="0" bottom="0" percent="0" rank="0" text="" dxfId="3">
      <formula>"MODERATE"</formula>
    </cfRule>
    <cfRule type="cellIs" priority="50" operator="equal" aboveAverage="0" equalAverage="0" bottom="0" percent="0" rank="0" text="" dxfId="1">
      <formula>"WEAK"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4" min="3" style="1" width="22"/>
    <col collapsed="false" customWidth="true" hidden="false" outlineLevel="0" max="6" min="5" style="1" width="14"/>
  </cols>
  <sheetData>
    <row r="1" customFormat="false" ht="17.25" hidden="false" customHeight="true" outlineLevel="0" collapsed="false">
      <c r="A1" s="90" t="s">
        <v>930</v>
      </c>
      <c r="B1" s="90"/>
      <c r="C1" s="90"/>
      <c r="D1" s="90"/>
      <c r="E1" s="90"/>
      <c r="F1" s="90"/>
    </row>
    <row r="2" customFormat="false" ht="23.25" hidden="false" customHeight="true" outlineLevel="0" collapsed="false">
      <c r="A2" s="91" t="s">
        <v>931</v>
      </c>
      <c r="B2" s="29" t="s">
        <v>932</v>
      </c>
      <c r="C2" s="29"/>
      <c r="D2" s="29"/>
      <c r="E2" s="29"/>
      <c r="F2" s="29"/>
    </row>
    <row r="3" customFormat="false" ht="15" hidden="false" customHeight="true" outlineLevel="0" collapsed="false">
      <c r="A3" s="91" t="s">
        <v>933</v>
      </c>
      <c r="B3" s="29" t="s">
        <v>934</v>
      </c>
      <c r="C3" s="29"/>
      <c r="D3" s="29"/>
      <c r="E3" s="29"/>
      <c r="F3" s="29"/>
    </row>
    <row r="5" customFormat="false" ht="15" hidden="false" customHeight="true" outlineLevel="0" collapsed="false">
      <c r="A5" s="13" t="s">
        <v>670</v>
      </c>
      <c r="B5" s="13" t="s">
        <v>671</v>
      </c>
      <c r="C5" s="13" t="s">
        <v>935</v>
      </c>
      <c r="D5" s="13" t="s">
        <v>936</v>
      </c>
      <c r="E5" s="13" t="s">
        <v>937</v>
      </c>
      <c r="F5" s="13" t="s">
        <v>938</v>
      </c>
    </row>
    <row r="6" customFormat="false" ht="15" hidden="false" customHeight="true" outlineLevel="0" collapsed="false">
      <c r="A6" s="49" t="s">
        <v>712</v>
      </c>
      <c r="B6" s="49" t="s">
        <v>713</v>
      </c>
      <c r="C6" s="49" t="s">
        <v>224</v>
      </c>
      <c r="D6" s="49" t="s">
        <v>253</v>
      </c>
      <c r="E6" s="92" t="n">
        <v>14</v>
      </c>
      <c r="F6" s="92" t="s">
        <v>69</v>
      </c>
    </row>
    <row r="7" customFormat="false" ht="15" hidden="false" customHeight="true" outlineLevel="0" collapsed="false">
      <c r="A7" s="49" t="s">
        <v>718</v>
      </c>
      <c r="B7" s="49" t="s">
        <v>719</v>
      </c>
      <c r="C7" s="49" t="s">
        <v>224</v>
      </c>
      <c r="D7" s="49" t="s">
        <v>253</v>
      </c>
      <c r="E7" s="92" t="n">
        <v>13</v>
      </c>
      <c r="F7" s="92" t="s">
        <v>69</v>
      </c>
    </row>
    <row r="10" customFormat="false" ht="17.25" hidden="false" customHeight="true" outlineLevel="0" collapsed="false">
      <c r="A10" s="90" t="s">
        <v>939</v>
      </c>
      <c r="B10" s="90"/>
      <c r="C10" s="90"/>
      <c r="D10" s="90"/>
      <c r="E10" s="90"/>
      <c r="F10" s="90"/>
    </row>
    <row r="11" customFormat="false" ht="23.25" hidden="false" customHeight="true" outlineLevel="0" collapsed="false">
      <c r="A11" s="91" t="s">
        <v>931</v>
      </c>
      <c r="B11" s="29" t="s">
        <v>940</v>
      </c>
      <c r="C11" s="29"/>
      <c r="D11" s="29"/>
      <c r="E11" s="29"/>
      <c r="F11" s="29"/>
    </row>
    <row r="12" customFormat="false" ht="15" hidden="false" customHeight="true" outlineLevel="0" collapsed="false">
      <c r="A12" s="91" t="s">
        <v>933</v>
      </c>
      <c r="B12" s="29" t="s">
        <v>941</v>
      </c>
      <c r="C12" s="29"/>
      <c r="D12" s="29"/>
      <c r="E12" s="29"/>
      <c r="F12" s="29"/>
    </row>
    <row r="14" customFormat="false" ht="15" hidden="false" customHeight="true" outlineLevel="0" collapsed="false">
      <c r="A14" s="13" t="s">
        <v>670</v>
      </c>
      <c r="B14" s="13" t="s">
        <v>671</v>
      </c>
      <c r="C14" s="13" t="s">
        <v>935</v>
      </c>
      <c r="D14" s="13" t="s">
        <v>936</v>
      </c>
      <c r="E14" s="13" t="s">
        <v>937</v>
      </c>
      <c r="F14" s="13" t="s">
        <v>938</v>
      </c>
    </row>
    <row r="15" customFormat="false" ht="23.25" hidden="false" customHeight="true" outlineLevel="0" collapsed="false">
      <c r="A15" s="49" t="s">
        <v>736</v>
      </c>
      <c r="B15" s="49" t="s">
        <v>737</v>
      </c>
      <c r="C15" s="49" t="s">
        <v>738</v>
      </c>
      <c r="D15" s="49" t="s">
        <v>734</v>
      </c>
      <c r="E15" s="92" t="n">
        <v>17</v>
      </c>
      <c r="F15" s="92" t="s">
        <v>69</v>
      </c>
    </row>
    <row r="16" customFormat="false" ht="23.25" hidden="false" customHeight="true" outlineLevel="0" collapsed="false">
      <c r="A16" s="49" t="s">
        <v>742</v>
      </c>
      <c r="B16" s="49" t="s">
        <v>743</v>
      </c>
      <c r="C16" s="49" t="s">
        <v>744</v>
      </c>
      <c r="D16" s="49" t="s">
        <v>334</v>
      </c>
      <c r="E16" s="92" t="n">
        <v>11</v>
      </c>
      <c r="F16" s="92" t="s">
        <v>69</v>
      </c>
    </row>
    <row r="17" customFormat="false" ht="15" hidden="false" customHeight="true" outlineLevel="0" collapsed="false">
      <c r="A17" s="49" t="s">
        <v>749</v>
      </c>
      <c r="B17" s="49" t="s">
        <v>750</v>
      </c>
      <c r="C17" s="49" t="s">
        <v>751</v>
      </c>
      <c r="D17" s="49" t="s">
        <v>334</v>
      </c>
      <c r="E17" s="92" t="n">
        <v>12</v>
      </c>
      <c r="F17" s="92" t="s">
        <v>69</v>
      </c>
    </row>
    <row r="20" customFormat="false" ht="17.25" hidden="false" customHeight="true" outlineLevel="0" collapsed="false">
      <c r="A20" s="90" t="s">
        <v>942</v>
      </c>
      <c r="B20" s="90"/>
      <c r="C20" s="90"/>
      <c r="D20" s="90"/>
      <c r="E20" s="90"/>
      <c r="F20" s="90"/>
    </row>
    <row r="21" customFormat="false" ht="34.5" hidden="false" customHeight="true" outlineLevel="0" collapsed="false">
      <c r="A21" s="91" t="s">
        <v>931</v>
      </c>
      <c r="B21" s="29" t="s">
        <v>943</v>
      </c>
      <c r="C21" s="29"/>
      <c r="D21" s="29"/>
      <c r="E21" s="29"/>
      <c r="F21" s="29"/>
    </row>
    <row r="22" customFormat="false" ht="15" hidden="false" customHeight="true" outlineLevel="0" collapsed="false">
      <c r="A22" s="91" t="s">
        <v>933</v>
      </c>
      <c r="B22" s="29" t="s">
        <v>944</v>
      </c>
      <c r="C22" s="29"/>
      <c r="D22" s="29"/>
      <c r="E22" s="29"/>
      <c r="F22" s="29"/>
    </row>
    <row r="24" customFormat="false" ht="15" hidden="false" customHeight="true" outlineLevel="0" collapsed="false">
      <c r="A24" s="13" t="s">
        <v>670</v>
      </c>
      <c r="B24" s="13" t="s">
        <v>671</v>
      </c>
      <c r="C24" s="13" t="s">
        <v>935</v>
      </c>
      <c r="D24" s="13" t="s">
        <v>936</v>
      </c>
      <c r="E24" s="13" t="s">
        <v>937</v>
      </c>
      <c r="F24" s="13" t="s">
        <v>938</v>
      </c>
    </row>
    <row r="25" customFormat="false" ht="23.25" hidden="false" customHeight="true" outlineLevel="0" collapsed="false">
      <c r="A25" s="49" t="s">
        <v>755</v>
      </c>
      <c r="B25" s="49" t="s">
        <v>756</v>
      </c>
      <c r="C25" s="49" t="s">
        <v>757</v>
      </c>
      <c r="D25" s="49" t="s">
        <v>334</v>
      </c>
      <c r="E25" s="92" t="n">
        <v>15</v>
      </c>
      <c r="F25" s="92" t="s">
        <v>69</v>
      </c>
    </row>
    <row r="26" customFormat="false" ht="23.25" hidden="false" customHeight="true" outlineLevel="0" collapsed="false">
      <c r="A26" s="49" t="s">
        <v>764</v>
      </c>
      <c r="B26" s="49" t="s">
        <v>765</v>
      </c>
      <c r="C26" s="49" t="s">
        <v>757</v>
      </c>
      <c r="D26" s="49" t="s">
        <v>734</v>
      </c>
      <c r="E26" s="92" t="n">
        <v>19</v>
      </c>
      <c r="F26" s="92" t="s">
        <v>58</v>
      </c>
    </row>
    <row r="27" customFormat="false" ht="15" hidden="false" customHeight="true" outlineLevel="0" collapsed="false">
      <c r="A27" s="49" t="s">
        <v>772</v>
      </c>
      <c r="B27" s="49" t="s">
        <v>773</v>
      </c>
      <c r="C27" s="49" t="s">
        <v>774</v>
      </c>
      <c r="D27" s="49" t="s">
        <v>334</v>
      </c>
      <c r="E27" s="92" t="n">
        <v>10</v>
      </c>
      <c r="F27" s="92" t="s">
        <v>69</v>
      </c>
    </row>
  </sheetData>
  <mergeCells count="9">
    <mergeCell ref="A1:F1"/>
    <mergeCell ref="B2:F2"/>
    <mergeCell ref="B3:F3"/>
    <mergeCell ref="A10:F10"/>
    <mergeCell ref="B11:F11"/>
    <mergeCell ref="B12:F12"/>
    <mergeCell ref="A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21.75" hidden="false" customHeight="true" outlineLevel="0" collapsed="false">
      <c r="A1" s="2" t="s">
        <v>945</v>
      </c>
    </row>
    <row r="2" customFormat="false" ht="15" hidden="false" customHeight="true" outlineLevel="0" collapsed="false">
      <c r="A2" s="3" t="s">
        <v>946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93" t="s">
        <v>947</v>
      </c>
    </row>
    <row r="5" customFormat="false" ht="15" hidden="false" customHeight="true" outlineLevel="0" collapsed="false">
      <c r="A5" s="4" t="s">
        <v>948</v>
      </c>
    </row>
    <row r="6" customFormat="false" ht="15" hidden="false" customHeight="true" outlineLevel="0" collapsed="false">
      <c r="A6" s="4" t="s">
        <v>949</v>
      </c>
    </row>
    <row r="7" customFormat="false" ht="15" hidden="false" customHeight="true" outlineLevel="0" collapsed="false">
      <c r="A7" s="4" t="s">
        <v>950</v>
      </c>
    </row>
    <row r="8" customFormat="false" ht="15" hidden="false" customHeight="true" outlineLevel="0" collapsed="false">
      <c r="A8" s="4" t="s">
        <v>951</v>
      </c>
    </row>
    <row r="9" customFormat="false" ht="15" hidden="false" customHeight="true" outlineLevel="0" collapsed="false">
      <c r="A9" s="4" t="s">
        <v>952</v>
      </c>
    </row>
    <row r="10" customFormat="false" ht="15" hidden="false" customHeight="true" outlineLevel="0" collapsed="false">
      <c r="A10" s="4"/>
    </row>
    <row r="11" customFormat="false" ht="15" hidden="false" customHeight="true" outlineLevel="0" collapsed="false">
      <c r="A11" s="93" t="s">
        <v>953</v>
      </c>
    </row>
    <row r="12" customFormat="false" ht="15" hidden="false" customHeight="true" outlineLevel="0" collapsed="false">
      <c r="A12" s="4" t="s">
        <v>954</v>
      </c>
    </row>
    <row r="13" customFormat="false" ht="15" hidden="false" customHeight="true" outlineLevel="0" collapsed="false">
      <c r="A13" s="4" t="s">
        <v>955</v>
      </c>
    </row>
    <row r="14" customFormat="false" ht="15" hidden="false" customHeight="true" outlineLevel="0" collapsed="false">
      <c r="A14" s="4"/>
    </row>
    <row r="15" customFormat="false" ht="15" hidden="false" customHeight="true" outlineLevel="0" collapsed="false">
      <c r="A15" s="93" t="s">
        <v>956</v>
      </c>
    </row>
    <row r="16" customFormat="false" ht="15" hidden="false" customHeight="true" outlineLevel="0" collapsed="false">
      <c r="A16" s="4" t="s">
        <v>957</v>
      </c>
    </row>
    <row r="17" customFormat="false" ht="15" hidden="false" customHeight="true" outlineLevel="0" collapsed="false">
      <c r="A17" s="4" t="s">
        <v>958</v>
      </c>
    </row>
    <row r="18" customFormat="false" ht="15" hidden="false" customHeight="true" outlineLevel="0" collapsed="false">
      <c r="A18" s="4"/>
    </row>
    <row r="19" customFormat="false" ht="15" hidden="false" customHeight="true" outlineLevel="0" collapsed="false">
      <c r="A19" s="93" t="s">
        <v>959</v>
      </c>
    </row>
    <row r="20" customFormat="false" ht="15" hidden="false" customHeight="true" outlineLevel="0" collapsed="false">
      <c r="A20" s="4" t="s">
        <v>960</v>
      </c>
    </row>
    <row r="21" customFormat="false" ht="15" hidden="false" customHeight="true" outlineLevel="0" collapsed="false">
      <c r="A21" s="4" t="s">
        <v>961</v>
      </c>
    </row>
    <row r="22" customFormat="false" ht="15" hidden="false" customHeight="true" outlineLevel="0" collapsed="false">
      <c r="A22" s="4"/>
    </row>
    <row r="23" customFormat="false" ht="15" hidden="false" customHeight="true" outlineLevel="0" collapsed="false">
      <c r="A23" s="93" t="s">
        <v>962</v>
      </c>
    </row>
    <row r="24" customFormat="false" ht="15" hidden="false" customHeight="true" outlineLevel="0" collapsed="false">
      <c r="A24" s="4" t="s">
        <v>963</v>
      </c>
    </row>
    <row r="25" customFormat="false" ht="15" hidden="false" customHeight="true" outlineLevel="0" collapsed="false">
      <c r="A25" s="4" t="s">
        <v>964</v>
      </c>
    </row>
    <row r="26" customFormat="false" ht="15" hidden="false" customHeight="true" outlineLevel="0" collapsed="false">
      <c r="A26" s="4"/>
    </row>
    <row r="27" customFormat="false" ht="15" hidden="false" customHeight="true" outlineLevel="0" collapsed="false">
      <c r="A27" s="93" t="s">
        <v>965</v>
      </c>
    </row>
    <row r="28" customFormat="false" ht="15" hidden="false" customHeight="true" outlineLevel="0" collapsed="false">
      <c r="A28" s="4" t="s">
        <v>966</v>
      </c>
    </row>
    <row r="29" customFormat="false" ht="15" hidden="false" customHeight="true" outlineLevel="0" collapsed="false">
      <c r="A29" s="4" t="s">
        <v>967</v>
      </c>
    </row>
    <row r="30" customFormat="false" ht="15" hidden="false" customHeight="true" outlineLevel="0" collapsed="false">
      <c r="A30" s="4"/>
    </row>
    <row r="31" customFormat="false" ht="15" hidden="false" customHeight="true" outlineLevel="0" collapsed="false">
      <c r="A31" s="93" t="s">
        <v>968</v>
      </c>
    </row>
    <row r="32" customFormat="false" ht="15" hidden="false" customHeight="true" outlineLevel="0" collapsed="false">
      <c r="A32" s="4" t="s">
        <v>969</v>
      </c>
    </row>
    <row r="33" customFormat="false" ht="15" hidden="false" customHeight="true" outlineLevel="0" collapsed="false">
      <c r="A33" s="4" t="s">
        <v>970</v>
      </c>
    </row>
    <row r="34" customFormat="false" ht="15" hidden="false" customHeight="true" outlineLevel="0" collapsed="false">
      <c r="A34" s="4"/>
    </row>
    <row r="35" customFormat="false" ht="15" hidden="false" customHeight="true" outlineLevel="0" collapsed="false">
      <c r="A35" s="93" t="s">
        <v>971</v>
      </c>
    </row>
    <row r="36" customFormat="false" ht="15" hidden="false" customHeight="true" outlineLevel="0" collapsed="false">
      <c r="A36" s="4" t="s">
        <v>972</v>
      </c>
    </row>
    <row r="37" customFormat="false" ht="15" hidden="false" customHeight="true" outlineLevel="0" collapsed="false">
      <c r="A37" s="4" t="s">
        <v>973</v>
      </c>
    </row>
    <row r="38" customFormat="false" ht="15" hidden="false" customHeight="true" outlineLevel="0" collapsed="false">
      <c r="A38" s="4" t="s">
        <v>974</v>
      </c>
    </row>
    <row r="39" customFormat="false" ht="15" hidden="false" customHeight="true" outlineLevel="0" collapsed="false">
      <c r="A39" s="4" t="s">
        <v>975</v>
      </c>
    </row>
    <row r="40" customFormat="false" ht="15" hidden="false" customHeight="true" outlineLevel="0" collapsed="false">
      <c r="A40" s="4"/>
    </row>
    <row r="41" customFormat="false" ht="15" hidden="false" customHeight="true" outlineLevel="0" collapsed="false">
      <c r="A41" s="93" t="s">
        <v>976</v>
      </c>
    </row>
    <row r="42" customFormat="false" ht="15" hidden="false" customHeight="true" outlineLevel="0" collapsed="false">
      <c r="A42" s="4" t="s">
        <v>977</v>
      </c>
    </row>
    <row r="43" customFormat="false" ht="15" hidden="false" customHeight="true" outlineLevel="0" collapsed="false">
      <c r="A43" s="4" t="s">
        <v>978</v>
      </c>
    </row>
    <row r="44" customFormat="false" ht="15" hidden="false" customHeight="true" outlineLevel="0" collapsed="false">
      <c r="A44" s="4"/>
    </row>
    <row r="45" customFormat="false" ht="15" hidden="false" customHeight="true" outlineLevel="0" collapsed="false">
      <c r="A45" s="93" t="s">
        <v>979</v>
      </c>
    </row>
    <row r="46" customFormat="false" ht="15" hidden="false" customHeight="true" outlineLevel="0" collapsed="false">
      <c r="A46" s="4" t="s">
        <v>980</v>
      </c>
    </row>
    <row r="47" customFormat="false" ht="15" hidden="false" customHeight="true" outlineLevel="0" collapsed="false">
      <c r="A47" s="4" t="s">
        <v>981</v>
      </c>
    </row>
    <row r="48" customFormat="false" ht="15" hidden="false" customHeight="true" outlineLevel="0" collapsed="false">
      <c r="A48" s="4"/>
    </row>
    <row r="49" customFormat="false" ht="15" hidden="false" customHeight="true" outlineLevel="0" collapsed="false">
      <c r="A49" s="93" t="s">
        <v>982</v>
      </c>
    </row>
    <row r="50" customFormat="false" ht="15" hidden="false" customHeight="true" outlineLevel="0" collapsed="false">
      <c r="A50" s="4" t="s">
        <v>983</v>
      </c>
    </row>
    <row r="51" customFormat="false" ht="15" hidden="false" customHeight="true" outlineLevel="0" collapsed="false">
      <c r="A51" s="4" t="s">
        <v>984</v>
      </c>
    </row>
    <row r="52" customFormat="false" ht="15" hidden="false" customHeight="true" outlineLevel="0" collapsed="false">
      <c r="A52" s="4" t="s">
        <v>985</v>
      </c>
    </row>
    <row r="53" customFormat="false" ht="15" hidden="false" customHeight="true" outlineLevel="0" collapsed="false">
      <c r="A53" s="4" t="s">
        <v>986</v>
      </c>
    </row>
    <row r="54" customFormat="false" ht="15" hidden="false" customHeight="true" outlineLevel="0" collapsed="false">
      <c r="A54" s="4" t="s">
        <v>987</v>
      </c>
    </row>
    <row r="55" customFormat="false" ht="15" hidden="false" customHeight="true" outlineLevel="0" collapsed="false">
      <c r="A55" s="4"/>
    </row>
    <row r="56" customFormat="false" ht="15" hidden="false" customHeight="true" outlineLevel="0" collapsed="false">
      <c r="A56" s="93" t="s">
        <v>988</v>
      </c>
    </row>
    <row r="57" customFormat="false" ht="15" hidden="false" customHeight="true" outlineLevel="0" collapsed="false">
      <c r="A57" s="4" t="s">
        <v>989</v>
      </c>
    </row>
    <row r="58" customFormat="false" ht="15" hidden="false" customHeight="true" outlineLevel="0" collapsed="false">
      <c r="A58" s="4" t="s">
        <v>990</v>
      </c>
    </row>
    <row r="59" customFormat="false" ht="15" hidden="false" customHeight="true" outlineLevel="0" collapsed="false">
      <c r="A59" s="4" t="s">
        <v>991</v>
      </c>
    </row>
    <row r="60" customFormat="false" ht="15" hidden="false" customHeight="true" outlineLevel="0" collapsed="false">
      <c r="A60" s="4" t="s">
        <v>992</v>
      </c>
    </row>
    <row r="61" customFormat="false" ht="15" hidden="false" customHeight="true" outlineLevel="0" collapsed="false">
      <c r="A61" s="4" t="s">
        <v>993</v>
      </c>
    </row>
    <row r="62" customFormat="false" ht="15" hidden="false" customHeight="true" outlineLevel="0" collapsed="false">
      <c r="A62" s="4" t="s">
        <v>994</v>
      </c>
    </row>
    <row r="63" customFormat="false" ht="15" hidden="false" customHeight="true" outlineLevel="0" collapsed="false">
      <c r="A63" s="4" t="s">
        <v>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2026-05-11T17:57:28Z</dcterms:created>
  <dc:creator>openpyxl</dc:creator>
  <dc:description/>
  <dc:language>en-US</dc:language>
  <cp:lastModifiedBy/>
  <dcterms:modified xsi:type="dcterms:W3CDTF">2026-05-17T19:59:04Z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