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tSeer Import" sheetId="2" state="visible" r:id="rId4"/>
    <sheet name="Configuration" sheetId="3" state="visible" r:id="rId5"/>
    <sheet name="Portfolio Context Guide" sheetId="4" state="visible" r:id="rId6"/>
    <sheet name="Presets" sheetId="5" state="visible" r:id="rId7"/>
    <sheet name="Attribute Dictionary" sheetId="6" state="visible" r:id="rId8"/>
    <sheet name="Attribute Procedure" sheetId="7" state="visible" r:id="rId9"/>
    <sheet name="Patent Portfolio" sheetId="8" state="visible" r:id="rId10"/>
    <sheet name="Bundle Rules" sheetId="9" state="visible" r:id="rId11"/>
    <sheet name="Bundle Assignment" sheetId="10" state="visible" r:id="rId12"/>
    <sheet name="Bundle Quality Scorecard" sheetId="11" state="visible" r:id="rId13"/>
    <sheet name="Sample Bundles" sheetId="12" state="visible" r:id="rId14"/>
    <sheet name="Bundle Composition Strateg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<sst xmlns="http://schemas.openxmlformats.org/spreadsheetml/2006/main" count="3263" uniqueCount="1519">
  <si>
    <t xml:space="preserve">PATENT PORTFOLIO BUNDLING TEMPLATE</t>
  </si>
  <si>
    <t xml:space="preserve">A technical-attribute-based framework for grouping patents into sellable bundles</t>
  </si>
  <si>
    <t xml:space="preserve">PURPOSE</t>
  </si>
  <si>
    <t xml:space="preserve">Score each patent across technical attributes, then auto-route patents into one or more sellable bundle types based on logical rules. The framework is purely technical — no valuation, no pricing.</t>
  </si>
  <si>
    <t xml:space="preserve">SHEETS IN THIS WORKBOOK</t>
  </si>
  <si>
    <t xml:space="preserve">1. README — This page. Overview and instructions.</t>
  </si>
  <si>
    <t xml:space="preserve">2. Attribute Dictionary — Definitions and scoring scales for every attribute.</t>
  </si>
  <si>
    <t xml:space="preserve">3. Patent Portfolio — Master data sheet. One row per patent. Fill this in.</t>
  </si>
  <si>
    <t xml:space="preserve">4. Bundle Rules — The 21 bundle types and the routing rule that qualifies a patent for each.</t>
  </si>
  <si>
    <t xml:space="preserve">5. Bundle Assignment — Auto-computed: which bundles each patent qualifies for.</t>
  </si>
  <si>
    <t xml:space="preserve">6. Bundle Quality Scorecard — Auto-computed: quality indicators per bundle.</t>
  </si>
  <si>
    <t xml:space="preserve">7. Sample Bundles — Worked examples showing how three bundles look in practice.</t>
  </si>
  <si>
    <t xml:space="preserve">HOW TO USE</t>
  </si>
  <si>
    <t xml:space="preserve">Step 1: Read the Attribute Dictionary to understand the scoring scales.</t>
  </si>
  <si>
    <t xml:space="preserve">Step 2: Open Patent Portfolio. Replace the 12 sample rows with your own patents. Use the dropdowns where provided.</t>
  </si>
  <si>
    <t xml:space="preserve">Step 3: Review Bundle Assignment — each patent shows which of the 21 bundles it qualifies for, with TRUE/FALSE flags.</t>
  </si>
  <si>
    <t xml:space="preserve">Step 4: Review Bundle Quality Scorecard — aggregate metrics tell you which bundles are strong, weak, or too small.</t>
  </si>
  <si>
    <t xml:space="preserve">Step 5: Iterate. Merge small bundles, split large ones, refine attribute scores.</t>
  </si>
  <si>
    <t xml:space="preserve">COLOR LEGEND (Patent Portfolio sheet)</t>
  </si>
  <si>
    <t xml:space="preserve">Group A (dark blue) — Technology classification attributes</t>
  </si>
  <si>
    <t xml:space="preserve">Group B (medium blue) — Standards &amp; ecosystem attributes</t>
  </si>
  <si>
    <t xml:space="preserve">Group C (light blue) — Claim &amp; scope attributes</t>
  </si>
  <si>
    <t xml:space="preserve">Group D (pale blue) — Detectability &amp; enforcement attributes</t>
  </si>
  <si>
    <t xml:space="preserve">Group E (dark green) — Family &amp; lifecycle attributes</t>
  </si>
  <si>
    <t xml:space="preserve">Group F (medium green) — Geographic attributes</t>
  </si>
  <si>
    <t xml:space="preserve">Group G (light green) — Strategic &amp; thematic attributes</t>
  </si>
  <si>
    <t xml:space="preserve">NOTES</t>
  </si>
  <si>
    <t xml:space="preserve">• The 12 sample patents are illustrative only. They span wireless, battery, computer vision, and materials to demonstrate how diverse portfolios map to bundles.</t>
  </si>
  <si>
    <t xml:space="preserve">• All cells with formulas are black text. All input cells use blue text. Lookup/cross-sheet links use green text where applicable.</t>
  </si>
  <si>
    <t xml:space="preserve">• A patent typically qualifies for multiple bundles. Use the Bundle Assignment sheet to decide final placement (multi-list, anchor-assign, or tiered).</t>
  </si>
  <si>
    <t xml:space="preserve">v2 ADDITIONS</t>
  </si>
  <si>
    <t xml:space="preserve">Group H attributes — Patent Quality &amp; Vulnerability (claim strength, prior-art exposure, prosecution history, divided-infringement risk, citation counts, litigation history, chain of title, EoU availability, encumbrance).</t>
  </si>
  <si>
    <t xml:space="preserve">Group I attributes — Market/Buyer Signals (product-mapping confidence, implementation maturity, adjacent-market re-read, workaround complexity).</t>
  </si>
  <si>
    <t xml:space="preserve">Bundle types 22-33 — Anchor-and-Halo, Picket-Fence, Strong-Core+Tail, Continuation-Live, EoU-Backed, Battle-Tested, Clean-Title, High-Citation, Adjacent Re-Read, Salvage Volume, Pre-Expiry, Provenance-Coherent.</t>
  </si>
  <si>
    <t xml:space="preserve">Scorecard gates — Weakest H1, Invalidity exposure %, EoU-ready %, Survived %, Continuation-optionality %.</t>
  </si>
  <si>
    <t xml:space="preserve">New "Bundle Composition Strategy" sheet — tiered structure, anchor-first, storyline, complementary-weakness, modular, carve-in/out, reserve, buyer-profile, continuation-optionality overlays.</t>
  </si>
  <si>
    <t xml:space="preserve">v3 ADDITIONS — Pattern A Configurability</t>
  </si>
  <si>
    <t xml:space="preserve">Configuration sheet — dropdown at the top picks a preset (Active Preset cell); Edit Mode toggle lets you override individual values from the Manual Override column. All routing rules and Scorecard formulas read from this sheet.</t>
  </si>
  <si>
    <t xml:space="preserve">Presets sheet — 6 starter presets (All ON, NPE / Counter-Assertion, Operating Company / FTO, Defensive Aggregator, Standards Licensee, EV Powertrain Sale) plus 4 empty "Custom Preset" slots you can fill in and rename.</t>
  </si>
  <si>
    <t xml:space="preserve">Disabled bundles — Bundle Assignment columns and Scorecard rows show "[DISABLED]" in the header/name and are visibly grayed out. Cells return blanks instead of TRUE/FALSE so they don't inflate the per-patent Total. Re-enable by setting the toggle back to Yes.</t>
  </si>
  <si>
    <t xml:space="preserve">Disabled gates — Scorecard gate columns work the same way: header gets [DISABLED] marker, cells go blank, column is grayed.</t>
  </si>
  <si>
    <t xml:space="preserve">Configurable thresholds — SEP cutoff, detectability cutoffs, family size minimum, citation threshold, pre-expiry window, salvage cutoffs, and STRONG-flag thresholds are all on the Configuration sheet and can be tuned per analysis.</t>
  </si>
  <si>
    <t xml:space="preserve">HOW TO USE THE CONFIGURATION</t>
  </si>
  <si>
    <t xml:space="preserve">1. Go to the Configuration sheet.</t>
  </si>
  <si>
    <t xml:space="preserve">2. Pick a preset from the "Active Preset" dropdown at the top (cell B4). Everything recomputes immediately.</t>
  </si>
  <si>
    <t xml:space="preserve">3. To tweak individual values: set "Edit Mode" (B5) to Yes. Now the Active Value column reads from the Manual Override column. Edit the override cells as needed.</t>
  </si>
  <si>
    <t xml:space="preserve">4. To save your custom configuration as a preset: with the values you want set on the Configuration sheet, go to the Presets sheet and paste them into a "Custom Preset" column. Rename the column header. Done.</t>
  </si>
  <si>
    <t xml:space="preserve">5. Set Edit Mode back to No and pick your new preset from the dropdown.</t>
  </si>
  <si>
    <t xml:space="preserve">v4 ADDITION — Attribute Derivation Procedure</t>
  </si>
  <si>
    <t xml:space="preserve">New "Attribute Procedure" sheet sits between Attribute Dictionary and Patent Portfolio. It contains the field-by-field procedure for populating the 40 attributes from raw patent data — what to look up, where to look it up, and how to score the rubric-based fields.</t>
  </si>
  <si>
    <t xml:space="preserve">The sheet has four sections: (1) Type legend, (2) Recommended 10-step workflow, (3) Master per-attribute procedure table (one row per attribute with where to find / how to derive / data source), (4) Free vs Paid data source reference, (5) Practical notes on calibration and effort allocation.</t>
  </si>
  <si>
    <t xml:space="preserve">Use this sheet as the long-form reference. Keep using the Attribute Dictionary for quick scale/values lookups while entering data on the Patent Portfolio sheet.</t>
  </si>
  <si>
    <t xml:space="preserve">v5 ADDITION — Short-Lifecycle Portfolio Context
• Three new presets in Presets sheet (cols 13-15): "Short Lifecycle — Critical (1-2yr)", "Short Lifecycle — Monetization (3-5yr)", "Short Lifecycle — Strategic (6-8yr)".
• 30 new sample patents (SL-001 to SL-030) in Patent Portfolio, 10 per term band, spanning wireless, battery, AI, semiconductors, sensors.
• New "Portfolio Context Guide" sheet: term band overview, buyer fit per band, critical signals, deal killers, IAM Market language register, 3-tier composition strategy, and sample patent index.
• PreExpiry thresholds in each new preset are set to match the band window; Strength_term_min is adjusted per band; Anchor_H1_cutoff raised to 3 for Critical band.
• Bundle Assignment extended for all 30 new patents with formulas matching the existing pattern.</t>
  </si>
  <si>
    <t xml:space="preserve">v6 ADDITION — PatSeer Import Sheet
• New sheet "PatSeer Import" (second sheet, after README).
• Zone 1: Column Mapping Table (rows 7-33): maps 25 PatSeer export column headers to v5 attribute codes with transform rules. Edit col A to match your actual PatSeer headers.
• Zone 2: Paste Area (cols F-AE, rows 40+): paste your PatSeer Excel export here directly. Supports up to 200 patents. Cols A-E reserved for manual input helpers (row number, notes, E3 Continuation override, E2 override, E5 override).
• Zone 3: Mapped Output + Bundle Results (cols AF onwards): auto-populates 42 v5 attributes via transform formulas. Amber cells = manual/AI scoring required. Completeness % column shows how complete each patent record is (0-42 attributes filled). 33 Bundle columns show TRUE/FALSE qualification respecting the active Configuration preset. Total column counts qualifying bundles per patent.
• Conditional formatting: TRUE=green, FALSE=light-red in bundle cols; completeness traffic-light (green ≥60%, amber 30-60%, red &lt;30%).
• Workflow: paste PatSeer export → review amber cells → score manually or use AI prompts → copy completed rows to Patent Portfolio sheet for full Scorecard analysis.</t>
  </si>
  <si>
    <t xml:space="preserve">PATSEER IMPORT  —  Paste your PatSeer export, get bundle results instantly</t>
  </si>
  <si>
    <t xml:space="preserve">v6 Addition  ·  Companion to PatSeer Standard/Premier/Pro X export  ·  Outright sale context — short lifecycle portfolios</t>
  </si>
  <si>
    <t xml:space="preserve">Step 1</t>
  </si>
  <si>
    <t xml:space="preserve">In PatSeer, export your portfolio as Excel/CSV. Select these field groups: Bibliographic + Parties + Classifications + Family + Citations + Other/Scores.</t>
  </si>
  <si>
    <t xml:space="preserve">Step 2</t>
  </si>
  <si>
    <t xml:space="preserve">In the Paste Area (rows 40+), paste your PatSeer export starting at the correct column headers (row 39). Column order must match row 39.</t>
  </si>
  <si>
    <t xml:space="preserve">Step 3</t>
  </si>
  <si>
    <t xml:space="preserve">The Mapped Output (right of paste area) auto-populates attributes derived from PatSeer. Amber-highlighted cells = manual scoring required.</t>
  </si>
  <si>
    <t xml:space="preserve">Step 4</t>
  </si>
  <si>
    <t xml:space="preserve">Bundle Results columns show TRUE/FALSE qualification per bundle, respecting the active Configuration preset. Review and copy useful patents to Patent Portfolio.</t>
  </si>
  <si>
    <t xml:space="preserve">Step 5</t>
  </si>
  <si>
    <t xml:space="preserve">The Column Mapping Table (rows 7-36 below) maps each PatSeer field to its v5 attribute. Edit col A if your PatSeer headers differ — all formulas update automatically.</t>
  </si>
  <si>
    <t xml:space="preserve">COLUMN MAPPING TABLE  —  Edit Col A if your PatSeer headers differ. All formulas update automatically.</t>
  </si>
  <si>
    <t xml:space="preserve">PatSeer Export Column Header</t>
  </si>
  <si>
    <t xml:space="preserve">Maps to v5 Attribute</t>
  </si>
  <si>
    <t xml:space="preserve">Transform Rule</t>
  </si>
  <si>
    <t xml:space="preserve">Notes / Instructions</t>
  </si>
  <si>
    <t xml:space="preserve">Publication Number</t>
  </si>
  <si>
    <t xml:space="preserve">Patent ID</t>
  </si>
  <si>
    <t xml:space="preserve">direct</t>
  </si>
  <si>
    <t xml:space="preserve">Use as Patent ID; or create your own ID in col A</t>
  </si>
  <si>
    <t xml:space="preserve">Title</t>
  </si>
  <si>
    <t xml:space="preserve">A1 (derived)</t>
  </si>
  <si>
    <t xml:space="preserve">Patent title — used as Title in Patent Portfolio</t>
  </si>
  <si>
    <t xml:space="preserve">Assignee (Current)</t>
  </si>
  <si>
    <t xml:space="preserve">—</t>
  </si>
  <si>
    <t xml:space="preserve">Current owner — stored in paste area; not a v5 attribute</t>
  </si>
  <si>
    <t xml:space="preserve">Inventor Names</t>
  </si>
  <si>
    <t xml:space="preserve">Inventors — stored in paste area; not a v5 attribute</t>
  </si>
  <si>
    <t xml:space="preserve">Filing Date</t>
  </si>
  <si>
    <t xml:space="preserve">year_from_date</t>
  </si>
  <si>
    <t xml:space="preserve">Filing year — informational only</t>
  </si>
  <si>
    <t xml:space="preserve">Publication Date</t>
  </si>
  <si>
    <t xml:space="preserve">Publication year — informational only</t>
  </si>
  <si>
    <t xml:space="preserve">Estimated Expiry Date</t>
  </si>
  <si>
    <t xml:space="preserve">E4 (derived)</t>
  </si>
  <si>
    <t xml:space="preserve">expiry_to_yrs</t>
  </si>
  <si>
    <t xml:space="preserve">Converted to remaining term in years from today</t>
  </si>
  <si>
    <t xml:space="preserve">Remaining Life (Years)</t>
  </si>
  <si>
    <t xml:space="preserve">E4</t>
  </si>
  <si>
    <t xml:space="preserve">numeric</t>
  </si>
  <si>
    <t xml:space="preserve">Direct remaining term — preferred over Expiry Date if available</t>
  </si>
  <si>
    <t xml:space="preserve">Legal Status</t>
  </si>
  <si>
    <t xml:space="preserve">E2</t>
  </si>
  <si>
    <t xml:space="preserve">legal_status_map</t>
  </si>
  <si>
    <t xml:space="preserve">Granted / Pending / Expired → maps to E2 Prosecution field</t>
  </si>
  <si>
    <t xml:space="preserve">Maintenance Status</t>
  </si>
  <si>
    <t xml:space="preserve">E5</t>
  </si>
  <si>
    <t xml:space="preserve">Active / Lapsed / Abandoned → E5 Maint. status</t>
  </si>
  <si>
    <t xml:space="preserve">IPC (Main)</t>
  </si>
  <si>
    <t xml:space="preserve">Main IPC → used to derive A1 Primary domain via CPC→domain lookup</t>
  </si>
  <si>
    <t xml:space="preserve">IPC (All)</t>
  </si>
  <si>
    <t xml:space="preserve">A2</t>
  </si>
  <si>
    <t xml:space="preserve">All IPC codes → A2 Secondary domains (raw; clean manually)</t>
  </si>
  <si>
    <t xml:space="preserve">CPC (Main)</t>
  </si>
  <si>
    <t xml:space="preserve">Main CPC → preferred for A1 domain derivation</t>
  </si>
  <si>
    <t xml:space="preserve">CPC (All)</t>
  </si>
  <si>
    <t xml:space="preserve">All CPC codes → enriches A2 Secondary domains</t>
  </si>
  <si>
    <t xml:space="preserve">Simple Family Size</t>
  </si>
  <si>
    <t xml:space="preserve">E1</t>
  </si>
  <si>
    <t xml:space="preserve">Direct: E1 Family size</t>
  </si>
  <si>
    <t xml:space="preserve">Simple Family Members</t>
  </si>
  <si>
    <t xml:space="preserve">F1</t>
  </si>
  <si>
    <t xml:space="preserve">Country codes extracted → F1 Jurisdictions (comma-separated)</t>
  </si>
  <si>
    <t xml:space="preserve">Extended Family Size</t>
  </si>
  <si>
    <t xml:space="preserve">Informational; use Simple Family Size for E1</t>
  </si>
  <si>
    <t xml:space="preserve">Forward Citation Count</t>
  </si>
  <si>
    <t xml:space="preserve">H5</t>
  </si>
  <si>
    <t xml:space="preserve">Direct: H5 Fwd citations</t>
  </si>
  <si>
    <t xml:space="preserve">Backward Citation Count</t>
  </si>
  <si>
    <t xml:space="preserve">H6</t>
  </si>
  <si>
    <t xml:space="preserve">Direct: H6 Bwd citations</t>
  </si>
  <si>
    <t xml:space="preserve">Independent Claim Count</t>
  </si>
  <si>
    <t xml:space="preserve">C3</t>
  </si>
  <si>
    <t xml:space="preserve">Direct: C3 Independent claim count</t>
  </si>
  <si>
    <t xml:space="preserve">Abstract</t>
  </si>
  <si>
    <t xml:space="preserve">Abstract text — stored for reference; not a v5 attribute</t>
  </si>
  <si>
    <t xml:space="preserve">Technology Domain</t>
  </si>
  <si>
    <t xml:space="preserve">A1</t>
  </si>
  <si>
    <t xml:space="preserve">PatSeer technology domain tag → A1 Primary domain</t>
  </si>
  <si>
    <t xml:space="preserve">Technology Sub-Domain</t>
  </si>
  <si>
    <t xml:space="preserve">PatSeer sub-domain → A2 Secondary domains</t>
  </si>
  <si>
    <t xml:space="preserve">Kind Code</t>
  </si>
  <si>
    <t xml:space="preserve">E3 (derived)</t>
  </si>
  <si>
    <t xml:space="preserve">Kind code (B2 / C2 = granted; A1/A2 = application) → E3 hint</t>
  </si>
  <si>
    <t xml:space="preserve">PASTE AREA  —  Paste your PatSeer Excel export here (row 40 onwards). Header row 39 must match your export column names exactly.</t>
  </si>
  <si>
    <t xml:space="preserve">MAPPED OUTPUT  —  Auto-populated from Paste Area via Column Mapping.  Amber = manual scoring required.  Bundle columns respect active Configuration preset.</t>
  </si>
  <si>
    <t xml:space="preserve">→  How to paste: In PatSeer export Excel, select ALL data including header row 1. Copy. Click cell F40 in this sheet. Paste. Then clear row 40 if it duplicated the header.</t>
  </si>
  <si>
    <t xml:space="preserve">42 Attributes  —  PatSeer-derived fields auto-fill; AMBER cells need manual / AI scoring (see AI_Prompts_for_Attribute_Scoring.md)</t>
  </si>
  <si>
    <t xml:space="preserve">Complete-ness</t>
  </si>
  <si>
    <t xml:space="preserve">33 Bundle Qualifications  —  TRUE = patent qualifies (respects Configuration sheet preset)</t>
  </si>
  <si>
    <t xml:space="preserve">→  Paste area supports up to 200 patents (rows 40–239). For more, add rows and extend formulas in the Mapped Output zone.</t>
  </si>
  <si>
    <t xml:space="preserve">ID / Title</t>
  </si>
  <si>
    <t xml:space="preserve">A. Technology</t>
  </si>
  <si>
    <t xml:space="preserve">B. Standards</t>
  </si>
  <si>
    <t xml:space="preserve">C. Claims</t>
  </si>
  <si>
    <t xml:space="preserve">D. Detectability</t>
  </si>
  <si>
    <t xml:space="preserve">E. Family/Life</t>
  </si>
  <si>
    <t xml:space="preserve">F. Geography</t>
  </si>
  <si>
    <t xml:space="preserve">G. Strategic</t>
  </si>
  <si>
    <t xml:space="preserve">H. Quality</t>
  </si>
  <si>
    <t xml:space="preserve">I. Market</t>
  </si>
  <si>
    <t xml:space="preserve">#</t>
  </si>
  <si>
    <t xml:space="preserve">Your Notes</t>
  </si>
  <si>
    <t xml:space="preserve">E3 Continuation
(Yes/No)</t>
  </si>
  <si>
    <t xml:space="preserve">E2 Prosecution
Override</t>
  </si>
  <si>
    <t xml:space="preserve">E5 Maint. Status
Override</t>
  </si>
  <si>
    <t xml:space="preserve">Litigation / PTAB Flag</t>
  </si>
  <si>
    <t xml:space="preserve">A3</t>
  </si>
  <si>
    <t xml:space="preserve">A4</t>
  </si>
  <si>
    <t xml:space="preserve">A5</t>
  </si>
  <si>
    <t xml:space="preserve">B1</t>
  </si>
  <si>
    <t xml:space="preserve">B2</t>
  </si>
  <si>
    <t xml:space="preserve">B3</t>
  </si>
  <si>
    <t xml:space="preserve">C1</t>
  </si>
  <si>
    <t xml:space="preserve">C2</t>
  </si>
  <si>
    <t xml:space="preserve">C4</t>
  </si>
  <si>
    <t xml:space="preserve">D1</t>
  </si>
  <si>
    <t xml:space="preserve">D2</t>
  </si>
  <si>
    <t xml:space="preserve">D3</t>
  </si>
  <si>
    <t xml:space="preserve">E3</t>
  </si>
  <si>
    <t xml:space="preserve">F2</t>
  </si>
  <si>
    <t xml:space="preserve">F3</t>
  </si>
  <si>
    <t xml:space="preserve">G1</t>
  </si>
  <si>
    <t xml:space="preserve">G2</t>
  </si>
  <si>
    <t xml:space="preserve">G3</t>
  </si>
  <si>
    <t xml:space="preserve">H1</t>
  </si>
  <si>
    <t xml:space="preserve">H2</t>
  </si>
  <si>
    <t xml:space="preserve">H3</t>
  </si>
  <si>
    <t xml:space="preserve">H4</t>
  </si>
  <si>
    <t xml:space="preserve">H7</t>
  </si>
  <si>
    <t xml:space="preserve">H8</t>
  </si>
  <si>
    <t xml:space="preserve">H9</t>
  </si>
  <si>
    <t xml:space="preserve">H10</t>
  </si>
  <si>
    <t xml:space="preserve">I1</t>
  </si>
  <si>
    <t xml:space="preserve">I2</t>
  </si>
  <si>
    <t xml:space="preserve">I3</t>
  </si>
  <si>
    <t xml:space="preserve">I4</t>
  </si>
  <si>
    <t xml:space="preserve">Completeness
%</t>
  </si>
  <si>
    <t xml:space="preserve">B1
Tech Domain</t>
  </si>
  <si>
    <t xml:space="preserve">B2
SEP</t>
  </si>
  <si>
    <t xml:space="preserve">B3
Product Arch</t>
  </si>
  <si>
    <t xml:space="preserve">B4
Stack Layer</t>
  </si>
  <si>
    <t xml:space="preserve">B5
Use-Case</t>
  </si>
  <si>
    <t xml:space="preserve">B6
Mfg/Process</t>
  </si>
  <si>
    <t xml:space="preserve">B7
Materials</t>
  </si>
  <si>
    <t xml:space="preserve">B8
Algorithm</t>
  </si>
  <si>
    <t xml:space="preserve">B9
Interop</t>
  </si>
  <si>
    <t xml:space="preserve">B10
Generational</t>
  </si>
  <si>
    <t xml:space="preserve">B11
Claim-Type</t>
  </si>
  <si>
    <t xml:space="preserve">B12
Detectable</t>
  </si>
  <si>
    <t xml:space="preserve">B13
Geographic</t>
  </si>
  <si>
    <t xml:space="preserve">B14
Family</t>
  </si>
  <si>
    <t xml:space="preserve">B15
Lifecycle</t>
  </si>
  <si>
    <t xml:space="preserve">B16
Foundational+Impr</t>
  </si>
  <si>
    <t xml:space="preserve">B17
Cross-Industry</t>
  </si>
  <si>
    <t xml:space="preserve">B18
Convergent Theme</t>
  </si>
  <si>
    <t xml:space="preserve">B19
Defensive</t>
  </si>
  <si>
    <t xml:space="preserve">B20
Whitespace</t>
  </si>
  <si>
    <t xml:space="preserve">B21
Prosecution-Status</t>
  </si>
  <si>
    <t xml:space="preserve">B22
Anchor+Halo</t>
  </si>
  <si>
    <t xml:space="preserve">B23
Picket-Fence</t>
  </si>
  <si>
    <t xml:space="preserve">B24
Strong+Tail</t>
  </si>
  <si>
    <t xml:space="preserve">B25
Continuation-Live</t>
  </si>
  <si>
    <t xml:space="preserve">B26
EoU-Backed</t>
  </si>
  <si>
    <t xml:space="preserve">B27
Battle-Tested</t>
  </si>
  <si>
    <t xml:space="preserve">B28
Clean-Title</t>
  </si>
  <si>
    <t xml:space="preserve">B29
High-Citation</t>
  </si>
  <si>
    <t xml:space="preserve">B30
Adjacent Re-Read</t>
  </si>
  <si>
    <t xml:space="preserve">B31
Salvage-Volume</t>
  </si>
  <si>
    <t xml:space="preserve">B32
Pre-Expiry</t>
  </si>
  <si>
    <t xml:space="preserve">B33
Provenance</t>
  </si>
  <si>
    <t xml:space="preserve"># Bundles</t>
  </si>
  <si>
    <t xml:space="preserve">CONFIGURATION</t>
  </si>
  <si>
    <t xml:space="preserve">Pick a preset, or switch to Edit Mode to override individual values. All Bundle Assignment and Scorecard formulas read from this sheet.</t>
  </si>
  <si>
    <t xml:space="preserve">Active Preset:</t>
  </si>
  <si>
    <t xml:space="preserve">All ON (default)</t>
  </si>
  <si>
    <t xml:space="preserve">← Pick from Presets sheet. Changing this updates all Active Values below.</t>
  </si>
  <si>
    <t xml:space="preserve">Edit Mode:</t>
  </si>
  <si>
    <t xml:space="preserve">No</t>
  </si>
  <si>
    <t xml:space="preserve">← Yes = use Manual Override column. No = use selected preset.</t>
  </si>
  <si>
    <t xml:space="preserve">Summary:</t>
  </si>
  <si>
    <t xml:space="preserve">Parameter</t>
  </si>
  <si>
    <t xml:space="preserve">Description</t>
  </si>
  <si>
    <t xml:space="preserve">Active Value (use this in formulas)</t>
  </si>
  <si>
    <t xml:space="preserve">From Preset</t>
  </si>
  <si>
    <t xml:space="preserve">Manual Override</t>
  </si>
  <si>
    <t xml:space="preserve">BUNDLE TOGGLES (Yes = bundle is active in this analysis)</t>
  </si>
  <si>
    <t xml:space="preserve">B1_enabled</t>
  </si>
  <si>
    <t xml:space="preserve">Bundle 1 — Tech Domain</t>
  </si>
  <si>
    <t xml:space="preserve">Yes</t>
  </si>
  <si>
    <t xml:space="preserve">B2_enabled</t>
  </si>
  <si>
    <t xml:space="preserve">Bundle 2 — SEP</t>
  </si>
  <si>
    <t xml:space="preserve">B3_enabled</t>
  </si>
  <si>
    <t xml:space="preserve">Bundle 3 — Product Architecture</t>
  </si>
  <si>
    <t xml:space="preserve">B4_enabled</t>
  </si>
  <si>
    <t xml:space="preserve">Bundle 4 — Stack Layer</t>
  </si>
  <si>
    <t xml:space="preserve">B5_enabled</t>
  </si>
  <si>
    <t xml:space="preserve">Bundle 5 — Use-Case</t>
  </si>
  <si>
    <t xml:space="preserve">B6_enabled</t>
  </si>
  <si>
    <t xml:space="preserve">Bundle 6 — Manufacturing / Process</t>
  </si>
  <si>
    <t xml:space="preserve">B7_enabled</t>
  </si>
  <si>
    <t xml:space="preserve">Bundle 7 — Materials &amp; Chemistry</t>
  </si>
  <si>
    <t xml:space="preserve">B8_enabled</t>
  </si>
  <si>
    <t xml:space="preserve">Bundle 8 — Algorithm / Software</t>
  </si>
  <si>
    <t xml:space="preserve">B9_enabled</t>
  </si>
  <si>
    <t xml:space="preserve">Bundle 9 — Interoperability</t>
  </si>
  <si>
    <t xml:space="preserve">B10_enabled</t>
  </si>
  <si>
    <t xml:space="preserve">Bundle 10 — Generational Roadmap</t>
  </si>
  <si>
    <t xml:space="preserve">B11_enabled</t>
  </si>
  <si>
    <t xml:space="preserve">Bundle 11 — Claim-Type</t>
  </si>
  <si>
    <t xml:space="preserve">B12_enabled</t>
  </si>
  <si>
    <t xml:space="preserve">Bundle 12 — Detectability</t>
  </si>
  <si>
    <t xml:space="preserve">B13_enabled</t>
  </si>
  <si>
    <t xml:space="preserve">Bundle 13 — Geographic</t>
  </si>
  <si>
    <t xml:space="preserve">B14_enabled</t>
  </si>
  <si>
    <t xml:space="preserve">Bundle 14 — Family-Tree</t>
  </si>
  <si>
    <t xml:space="preserve">B15_enabled</t>
  </si>
  <si>
    <t xml:space="preserve">Bundle 15 — Lifecycle / Term</t>
  </si>
  <si>
    <t xml:space="preserve">B16_enabled</t>
  </si>
  <si>
    <t xml:space="preserve">Bundle 16 — Foundational + Improvement</t>
  </si>
  <si>
    <t xml:space="preserve">B17_enabled</t>
  </si>
  <si>
    <t xml:space="preserve">Bundle 17 — Cross-Industry</t>
  </si>
  <si>
    <t xml:space="preserve">B18_enabled</t>
  </si>
  <si>
    <t xml:space="preserve">Bundle 18 — Convergent Theme</t>
  </si>
  <si>
    <t xml:space="preserve">B19_enabled</t>
  </si>
  <si>
    <t xml:space="preserve">Bundle 19 — Defensive / Counter-Assert.</t>
  </si>
  <si>
    <t xml:space="preserve">B20_enabled</t>
  </si>
  <si>
    <t xml:space="preserve">Bundle 20 — Whitespace / Design-Around</t>
  </si>
  <si>
    <t xml:space="preserve">B21_enabled</t>
  </si>
  <si>
    <t xml:space="preserve">Bundle 21 — Prosecution-Status</t>
  </si>
  <si>
    <t xml:space="preserve">B22_enabled</t>
  </si>
  <si>
    <t xml:space="preserve">Bundle 22 — Anchor-and-Halo</t>
  </si>
  <si>
    <t xml:space="preserve">B23_enabled</t>
  </si>
  <si>
    <t xml:space="preserve">Bundle 23 — Picket-Fence</t>
  </si>
  <si>
    <t xml:space="preserve">B24_enabled</t>
  </si>
  <si>
    <t xml:space="preserve">Bundle 24 — Strong-Core + Tail</t>
  </si>
  <si>
    <t xml:space="preserve">B25_enabled</t>
  </si>
  <si>
    <t xml:space="preserve">Bundle 25 — Continuation-Live</t>
  </si>
  <si>
    <t xml:space="preserve">B26_enabled</t>
  </si>
  <si>
    <t xml:space="preserve">Bundle 26 — EoU-Backed</t>
  </si>
  <si>
    <t xml:space="preserve">B27_enabled</t>
  </si>
  <si>
    <t xml:space="preserve">Bundle 27 — Battle-Tested</t>
  </si>
  <si>
    <t xml:space="preserve">B28_enabled</t>
  </si>
  <si>
    <t xml:space="preserve">Bundle 28 — Clean-Title</t>
  </si>
  <si>
    <t xml:space="preserve">B29_enabled</t>
  </si>
  <si>
    <t xml:space="preserve">Bundle 29 — High-Citation</t>
  </si>
  <si>
    <t xml:space="preserve">B30_enabled</t>
  </si>
  <si>
    <t xml:space="preserve">Bundle 30 — Adjacent Re-Read</t>
  </si>
  <si>
    <t xml:space="preserve">B31_enabled</t>
  </si>
  <si>
    <t xml:space="preserve">Bundle 31 — Salvage / Volume Lot</t>
  </si>
  <si>
    <t xml:space="preserve">B32_enabled</t>
  </si>
  <si>
    <t xml:space="preserve">Bundle 32 — Pre-Expiry</t>
  </si>
  <si>
    <t xml:space="preserve">B33_enabled</t>
  </si>
  <si>
    <t xml:space="preserve">Bundle 33 — Provenance-Coherent</t>
  </si>
  <si>
    <t xml:space="preserve">THRESHOLDS (numeric values referenced in routing rules)</t>
  </si>
  <si>
    <t xml:space="preserve">SEP_B1_cutoff</t>
  </si>
  <si>
    <t xml:space="preserve">B2 SEP bundle: minimum B1 SEP potential (default 2)</t>
  </si>
  <si>
    <t xml:space="preserve">Interface_B3_cutoff</t>
  </si>
  <si>
    <t xml:space="preserve">B9 Interop bundle: minimum B3 interface role (default 2)</t>
  </si>
  <si>
    <t xml:space="preserve">Detect_D1_cutoff</t>
  </si>
  <si>
    <t xml:space="preserve">B12 Detectability: D1 external-detect cutoff (default 2)</t>
  </si>
  <si>
    <t xml:space="preserve">Detect_D2_cutoff</t>
  </si>
  <si>
    <t xml:space="preserve">B12 Detectability: D2 teardown cutoff (default 2)</t>
  </si>
  <si>
    <t xml:space="preserve">Family_E1_min</t>
  </si>
  <si>
    <t xml:space="preserve">B14 Family bundle: minimum E1 family size (default 2)</t>
  </si>
  <si>
    <t xml:space="preserve">CrossIndustry_G3_cutoff</t>
  </si>
  <si>
    <t xml:space="preserve">B17 Cross-Industry: minimum G3 cross-industry score (default 2)</t>
  </si>
  <si>
    <t xml:space="preserve">Defensive_D3_cutoff</t>
  </si>
  <si>
    <t xml:space="preserve">B19 Defensive: minimum D3 reads-on-products (default 2)</t>
  </si>
  <si>
    <t xml:space="preserve">Whitespace_C4_cutoff</t>
  </si>
  <si>
    <t xml:space="preserve">B20 Whitespace: minimum C4 design-around difficulty (default 2)</t>
  </si>
  <si>
    <t xml:space="preserve">Anchor_H1_cutoff</t>
  </si>
  <si>
    <t xml:space="preserve">B22 Anchor+Halo: minimum H1 claim strength for anchor (default 2)</t>
  </si>
  <si>
    <t xml:space="preserve">HighCitation_H5_min</t>
  </si>
  <si>
    <t xml:space="preserve">B29 High-Citation: minimum H5 forward citations (default 15)</t>
  </si>
  <si>
    <t xml:space="preserve">PreExpiry_min_years</t>
  </si>
  <si>
    <t xml:space="preserve">B32 Pre-Expiry: minimum remaining term in years (default 1)</t>
  </si>
  <si>
    <t xml:space="preserve">PreExpiry_max_years</t>
  </si>
  <si>
    <t xml:space="preserve">B32 Pre-Expiry: maximum remaining term in years (default 4)</t>
  </si>
  <si>
    <t xml:space="preserve">Salvage_H1_max</t>
  </si>
  <si>
    <t xml:space="preserve">B31 Salvage: maximum H1 (default 1)</t>
  </si>
  <si>
    <t xml:space="preserve">Salvage_E4_max</t>
  </si>
  <si>
    <t xml:space="preserve">B31 Salvage: maximum remaining term in years (default 5)</t>
  </si>
  <si>
    <t xml:space="preserve">Salvage_H2_max</t>
  </si>
  <si>
    <t xml:space="preserve">B31 Salvage: maximum H2 prior-art exposure (default 1)</t>
  </si>
  <si>
    <t xml:space="preserve">Strength_depth_min</t>
  </si>
  <si>
    <t xml:space="preserve">Scorecard STRONG flag: minimum coverage depth (default 4)</t>
  </si>
  <si>
    <t xml:space="preserve">Strength_detect_min</t>
  </si>
  <si>
    <t xml:space="preserve">Scorecard STRONG flag: minimum avg detectability (default 2)</t>
  </si>
  <si>
    <t xml:space="preserve">Strength_term_min</t>
  </si>
  <si>
    <t xml:space="preserve">Scorecard STRONG flag: minimum avg remaining term (default 10)</t>
  </si>
  <si>
    <t xml:space="preserve">QUALITY GATES (Yes = gate column shown on Scorecard)</t>
  </si>
  <si>
    <t xml:space="preserve">Gate_WeakestH1</t>
  </si>
  <si>
    <t xml:space="preserve">Show "Weakest H1 in bundle" column</t>
  </si>
  <si>
    <t xml:space="preserve">Gate_InvalidityExposure</t>
  </si>
  <si>
    <t xml:space="preserve">Show "Invalidity exposure %" column</t>
  </si>
  <si>
    <t xml:space="preserve">Gate_EoUReady</t>
  </si>
  <si>
    <t xml:space="preserve">Show "EoU-ready %" column</t>
  </si>
  <si>
    <t xml:space="preserve">Gate_Survived</t>
  </si>
  <si>
    <t xml:space="preserve">Show "Survived %" column</t>
  </si>
  <si>
    <t xml:space="preserve">Gate_ContOptionality</t>
  </si>
  <si>
    <t xml:space="preserve">Show "Continuation-optionality %" column</t>
  </si>
  <si>
    <t xml:space="preserve">PORTFOLIO CONTEXT GUIDE  —  Short-Lifecycle Assets (≤8 Years Remaining Term)</t>
  </si>
  <si>
    <t xml:space="preserve">v5 Addition  ·  Companion to Presets: Short Lifecycle — Critical (1-2yr) / Monetization (3-5yr) / Strategic (6-8yr)  ·  For outright patent sales</t>
  </si>
  <si>
    <t xml:space="preserve">1.  TERM BAND OVERVIEW</t>
  </si>
  <si>
    <t xml:space="preserve">Dimension</t>
  </si>
  <si>
    <t xml:space="preserve">Critical Window</t>
  </si>
  <si>
    <t xml:space="preserve">Monetization Window</t>
  </si>
  <si>
    <t xml:space="preserve">Strategic Window</t>
  </si>
  <si>
    <t xml:space="preserve">Remaining term</t>
  </si>
  <si>
    <t xml:space="preserve">1 – 2 years</t>
  </si>
  <si>
    <t xml:space="preserve">3 – 5 years</t>
  </si>
  <si>
    <t xml:space="preserve">6 – 8 years</t>
  </si>
  <si>
    <t xml:space="preserve">Preset to use</t>
  </si>
  <si>
    <t xml:space="preserve">Short Lifecycle — Critical</t>
  </si>
  <si>
    <t xml:space="preserve">Short Lifecycle — Monetization</t>
  </si>
  <si>
    <t xml:space="preserve">Short Lifecycle — Strategic</t>
  </si>
  <si>
    <t xml:space="preserve">Primary buyers</t>
  </si>
  <si>
    <t xml:space="preserve">NPE-LIT, LIT-FIN</t>
  </si>
  <si>
    <t xml:space="preserve">NPE-LIT, LIT-FIN, NPE-LIC</t>
  </si>
  <si>
    <t xml:space="preserve">OC-DEF, NPE-LIC, IP-FUND</t>
  </si>
  <si>
    <t xml:space="preserve">Secondary buyers</t>
  </si>
  <si>
    <t xml:space="preserve">DEF-AGG (weak assets)</t>
  </si>
  <si>
    <t xml:space="preserve">DEF-AGG, OC-DEF (borderline)</t>
  </si>
  <si>
    <t xml:space="preserve">DEF-AGG, STD-LIC</t>
  </si>
  <si>
    <t xml:space="preserve">Core value driver</t>
  </si>
  <si>
    <t xml:space="preserve">EoU chart + named defendant</t>
  </si>
  <si>
    <t xml:space="preserve">Enforcement window + broad claims</t>
  </si>
  <si>
    <t xml:space="preserve">Coverage depth + product mapping</t>
  </si>
  <si>
    <t xml:space="preserve">Urgency framing</t>
  </si>
  <si>
    <t xml:space="preserve">"Last enforcement window"</t>
  </si>
  <si>
    <t xml:space="preserve">"Campaign horizon: 3–5yr"</t>
  </si>
  <si>
    <t xml:space="preserve">"Full product-gen coverage"</t>
  </si>
  <si>
    <t xml:space="preserve">Sample portfolios</t>
  </si>
  <si>
    <t xml:space="preserve">SL-001 to SL-010</t>
  </si>
  <si>
    <t xml:space="preserve">SL-011 to SL-020</t>
  </si>
  <si>
    <t xml:space="preserve">SL-021 to SL-030</t>
  </si>
  <si>
    <t xml:space="preserve">2.  HOW TO USE THESE PRESETS WITH THE WORKBOOK</t>
  </si>
  <si>
    <t xml:space="preserve">Go to the Configuration sheet. In cell B4 (Active Preset dropdown), select the preset that matches your portfolio term band.</t>
  </si>
  <si>
    <t xml:space="preserve">The Bundle Assignment and Bundle Quality Scorecard sheets recompute automatically. Disabled bundle columns show [DISABLED] and are grayed out.</t>
  </si>
  <si>
    <t xml:space="preserve">Review the Scorecard. For Critical and Monetization bands, look for bundles with EoU-ready % &gt; 50% and Survived % &gt; 0. For Strategic, focus on coverage depth and Weakest H1.</t>
  </si>
  <si>
    <t xml:space="preserve">To fine-tune: set Edit Mode (B5) to Yes. You can then override individual thresholds in the Manual Override column without affecting the preset.</t>
  </si>
  <si>
    <t xml:space="preserve">The 30 sample patents (SL-001 to SL-030) in the Patent Portfolio sheet are pre-scored for this scenario. Review them to understand how the routing logic differs across bands.</t>
  </si>
  <si>
    <t xml:space="preserve">Step 6</t>
  </si>
  <si>
    <t xml:space="preserve">When pitching to buyers, match the IAM Market language register to the term band. Use the "Buyer Fit" and "Positioning Strategy" columns on this sheet as a reference.</t>
  </si>
  <si>
    <t xml:space="preserve">3.  CRITICAL SIGNALS BY TERM BAND  (Attributes driving sale success)</t>
  </si>
  <si>
    <t xml:space="preserve">Signal / Attribute</t>
  </si>
  <si>
    <t xml:space="preserve">Critical (1-2yr)</t>
  </si>
  <si>
    <t xml:space="preserve">Monetization (3-5yr)</t>
  </si>
  <si>
    <t xml:space="preserve">Strategic (6-8yr)</t>
  </si>
  <si>
    <t xml:space="preserve">Notes</t>
  </si>
  <si>
    <t xml:space="preserve">H9 EoU available</t>
  </si>
  <si>
    <t xml:space="preserve">MUST HAVE — Full chart required</t>
  </si>
  <si>
    <t xml:space="preserve">Must-have for NPE-LIT, nice-to-have for NPE-LIC</t>
  </si>
  <si>
    <t xml:space="preserve">Nice-to-have; OC-DEF doesn't require it</t>
  </si>
  <si>
    <t xml:space="preserve">Full chart = ready to file; Partial = 60-90d prep needed</t>
  </si>
  <si>
    <t xml:space="preserve">H7 Survived challenge</t>
  </si>
  <si>
    <t xml:space="preserve">MUST HAVE — IPR filed day 1</t>
  </si>
  <si>
    <t xml:space="preserve">Strong premium; validates claim integrity</t>
  </si>
  <si>
    <t xml:space="preserve">Important for OC-OFF and IP-FUND</t>
  </si>
  <si>
    <t xml:space="preserve">Reduces invalidity risk for all buyers</t>
  </si>
  <si>
    <t xml:space="preserve">D1 External detectability</t>
  </si>
  <si>
    <t xml:space="preserve">MUST HAVE — no discovery time</t>
  </si>
  <si>
    <t xml:space="preserve">Must-have; no time for forensic analysis</t>
  </si>
  <si>
    <t xml:space="preserve">Required for OC-DEF product mapping</t>
  </si>
  <si>
    <t xml:space="preserve">H1+D1 is the enforcement readiness pair</t>
  </si>
  <si>
    <t xml:space="preserve">H1 Claim strength</t>
  </si>
  <si>
    <t xml:space="preserve">Min 3 — must survive IPR</t>
  </si>
  <si>
    <t xml:space="preserve">Min 2 — IPR risk manageable</t>
  </si>
  <si>
    <t xml:space="preserve">Min 2 — OC buyers vet every claim</t>
  </si>
  <si>
    <t xml:space="preserve">Weakest H1 gate on Scorecard shows bundle floor</t>
  </si>
  <si>
    <t xml:space="preserve">H4 Divided infringement</t>
  </si>
  <si>
    <t xml:space="preserve">3 = single-actor (essential)</t>
  </si>
  <si>
    <t xml:space="preserve">3 preferred; 2 acceptable with careful drafting</t>
  </si>
  <si>
    <t xml:space="preserve">2+ acceptable; OC-DEF less sensitive</t>
  </si>
  <si>
    <t xml:space="preserve">H4≤1 kills litigation route entirely</t>
  </si>
  <si>
    <t xml:space="preserve">E4 Remaining term</t>
  </si>
  <si>
    <t xml:space="preserve">1-2yr: urgency is the asset</t>
  </si>
  <si>
    <t xml:space="preserve">3-5yr: full campaign window</t>
  </si>
  <si>
    <t xml:space="preserve">6-8yr: product lifecycle coverage</t>
  </si>
  <si>
    <t xml:space="preserve">Pre-Expiry bundle threshold is set per band</t>
  </si>
  <si>
    <t xml:space="preserve">C2 Claim breadth</t>
  </si>
  <si>
    <t xml:space="preserve">2+ helpful for damages scope</t>
  </si>
  <si>
    <t xml:space="preserve">2+ for multi-target licensing pool</t>
  </si>
  <si>
    <t xml:space="preserve">2+ for OC blocking and NPE-LIC programs</t>
  </si>
  <si>
    <t xml:space="preserve">C2=3 (pioneer) is highest premium signal</t>
  </si>
  <si>
    <t xml:space="preserve">H8 Chain of title</t>
  </si>
  <si>
    <t xml:space="preserve">Clean: fast close essential</t>
  </si>
  <si>
    <t xml:space="preserve">Clean: standard requirement</t>
  </si>
  <si>
    <t xml:space="preserve">Clean: OC buyers are strictest on title</t>
  </si>
  <si>
    <t xml:space="preserve">Any gap doubles due diligence timeline</t>
  </si>
  <si>
    <t xml:space="preserve">G3 Cross-industry</t>
  </si>
  <si>
    <t xml:space="preserve">Marginal — no time for program</t>
  </si>
  <si>
    <t xml:space="preserve">2+ opens NPE-LIC secondary market</t>
  </si>
  <si>
    <t xml:space="preserve">2+ opens IP-FUND and DEF-AGG buyers</t>
  </si>
  <si>
    <t xml:space="preserve">B30 Adjacent Re-Read bundle leverages this</t>
  </si>
  <si>
    <t xml:space="preserve">H5 Forward citations</t>
  </si>
  <si>
    <t xml:space="preserve">Low weight at this term</t>
  </si>
  <si>
    <t xml:space="preserve">Moderate: helps IP-FUND if ≥10</t>
  </si>
  <si>
    <t xml:space="preserve">High weight: IP-FUND and CORP-VC key signal</t>
  </si>
  <si>
    <t xml:space="preserve">B29 High-Citation bundle threshold = 10 (lowered from 15 in short-lifecycle presets)</t>
  </si>
  <si>
    <t xml:space="preserve">4.  DEAL KILLERS — ROUTE TO SALVAGE OR REMOVE FROM SALE PACKAGE</t>
  </si>
  <si>
    <t xml:space="preserve">Deal Killer (Attribute value)</t>
  </si>
  <si>
    <t xml:space="preserve">Impact &amp; recommended action</t>
  </si>
  <si>
    <t xml:space="preserve">Applies to</t>
  </si>
  <si>
    <t xml:space="preserve">E4 &lt; 1yr at close</t>
  </si>
  <si>
    <t xml:space="preserve">Unsellable — case cannot be filed and resolved before expiry. Remove from package.</t>
  </si>
  <si>
    <t xml:space="preserve">All bands</t>
  </si>
  <si>
    <t xml:space="preserve">H4 ≤ 1 (divided infringement)</t>
  </si>
  <si>
    <t xml:space="preserve">Kills litigation route. OC-DEF still possible but at heavy discount. Salvage lot or remove.</t>
  </si>
  <si>
    <t xml:space="preserve">H10 ≠ None (FRAND/encumbrance)</t>
  </si>
  <si>
    <t xml:space="preserve">Restricts who can be targeted and caps royalty rates. Must disclose; kills many deals outright.</t>
  </si>
  <si>
    <t xml:space="preserve">H2 = 0 (very high invalidity)</t>
  </si>
  <si>
    <t xml:space="preserve">Critical and Monetization bands: IPR filed immediately, terminates campaign. Strategic: OC-DEF will pass.</t>
  </si>
  <si>
    <t xml:space="preserve">Critical, Monetization</t>
  </si>
  <si>
    <t xml:space="preserve">H9 = None (no EoU)</t>
  </si>
  <si>
    <t xml:space="preserve">Critical band: removes from primary sale tier, route to Salvage. Monetization: reduces price significantly.</t>
  </si>
  <si>
    <t xml:space="preserve">H8 = Clouded title</t>
  </si>
  <si>
    <t xml:space="preserve">Doubles due diligence timeline. OC buyers will walk. Must resolve pre-sale or heavily discount.</t>
  </si>
  <si>
    <t xml:space="preserve">H7 = Pending (IPR active)</t>
  </si>
  <si>
    <t xml:space="preserve">Outcome uncertainty is a deal-stopper for NPE-LIT and LIT-FIN. Wait for resolution or route to Salvage.</t>
  </si>
  <si>
    <t xml:space="preserve">E3 = No AND H1 ≤ 1</t>
  </si>
  <si>
    <t xml:space="preserve">No continuation option + weak claims = no future value. IP-FUND and OC-OFF will pass. Salvage or lot pricing only.</t>
  </si>
  <si>
    <t xml:space="preserve">Strategic</t>
  </si>
  <si>
    <t xml:space="preserve">5.  IAM MARKET LANGUAGE REGISTER BY TERM BAND</t>
  </si>
  <si>
    <t xml:space="preserve">Language element</t>
  </si>
  <si>
    <t xml:space="preserve">Term framing</t>
  </si>
  <si>
    <t xml:space="preserve">"Enforcement window open through [date]"</t>
  </si>
  <si>
    <t xml:space="preserve">"3–5yr campaign horizon; two full licensing rounds"</t>
  </si>
  <si>
    <t xml:space="preserve">"Seven years of enforceable coverage; full product gen"</t>
  </si>
  <si>
    <t xml:space="preserve">Value hook</t>
  </si>
  <si>
    <t xml:space="preserve">"Case economics: damages exposure &gt;&gt; acquisition cost"</t>
  </si>
  <si>
    <t xml:space="preserve">"Assertion-ready; EoU charts prepared for [category]"</t>
  </si>
  <si>
    <t xml:space="preserve">"FTO depth across [tech domain]; clean title, immediate transfer"</t>
  </si>
  <si>
    <t xml:space="preserve">Urgency language</t>
  </si>
  <si>
    <t xml:space="preserve">Use urgency explicitly — window is the asset</t>
  </si>
  <si>
    <t xml:space="preserve">Frame as: "act before the window closes"</t>
  </si>
  <si>
    <t xml:space="preserve">Avoid urgency; use coverage and blocking language</t>
  </si>
  <si>
    <t xml:space="preserve">Buyer language</t>
  </si>
  <si>
    <t xml:space="preserve">"Assertion vehicle", "defendant-mapped", "case file"</t>
  </si>
  <si>
    <t xml:space="preserve">"Licensing program", "royalty base", "detectable infringement"</t>
  </si>
  <si>
    <t xml:space="preserve">"FTO coverage", "design-around blocking", "portfolio depth"</t>
  </si>
  <si>
    <t xml:space="preserve">Avoid</t>
  </si>
  <si>
    <t xml:space="preserve">"Long-term strategic value" — overclaims</t>
  </si>
  <si>
    <t xml:space="preserve">"Expiring soon" — sounds apologetic; flip to "last window"</t>
  </si>
  <si>
    <t xml:space="preserve">"Enforcement ready" without EoU support — needs evidence</t>
  </si>
  <si>
    <t xml:space="preserve">6.  3-TIER COMPOSITION WITHIN ANY TERM BAND</t>
  </si>
  <si>
    <t xml:space="preserve">Tier</t>
  </si>
  <si>
    <t xml:space="preserve">Qualifying criteria</t>
  </si>
  <si>
    <t xml:space="preserve">Positioning &amp; recommended bundles</t>
  </si>
  <si>
    <t xml:space="preserve">Tier A  (Premium)</t>
  </si>
  <si>
    <t xml:space="preserve">EoU-Backed + Survived-Challenge anchors</t>
  </si>
  <si>
    <t xml:space="preserve">Lead with these. Price to reflect assertion readiness. NPE-LIT and LIT-FIN buyers will pay a premium. Bundle using B26 + B27 + B22.</t>
  </si>
  <si>
    <t xml:space="preserve">Tier B  (Standard)</t>
  </si>
  <si>
    <t xml:space="preserve">Detectability ≥ 2, no full EoU chart yet</t>
  </si>
  <si>
    <t xml:space="preserve">Position as "program-starter" lots: 60-90 days of claim charting needed before campaign launch. Discount from Tier A. Bundle using B12 + B22 + B28.</t>
  </si>
  <si>
    <t xml:space="preserve">Tier C  (Volume / Salvage)</t>
  </si>
  <si>
    <t xml:space="preserve">Weak H1 or high invalidity exposure</t>
  </si>
  <si>
    <t xml:space="preserve">Route to Salvage/Volume Lot bundle (B31). Price to clear. Target DEF-AGG buyers only. Never mix with Tier A or B in the same IAM listing.</t>
  </si>
  <si>
    <t xml:space="preserve">7.  SAMPLE PATENT INDEX  (SL-001 to SL-030 on Patent Portfolio sheet)</t>
  </si>
  <si>
    <t xml:space="preserve">Term Band</t>
  </si>
  <si>
    <t xml:space="preserve">Key buyer signal(s)</t>
  </si>
  <si>
    <t xml:space="preserve">SL-001</t>
  </si>
  <si>
    <t xml:space="preserve">LTE handover parameter optimization</t>
  </si>
  <si>
    <t xml:space="preserve">Full EoU + Survived IPR + H4=3</t>
  </si>
  <si>
    <t xml:space="preserve">Tier A</t>
  </si>
  <si>
    <t xml:space="preserve">SL-002</t>
  </si>
  <si>
    <t xml:space="preserve">Touch haptic feedback encoding</t>
  </si>
  <si>
    <t xml:space="preserve">Full EoU + Survived + H4=3</t>
  </si>
  <si>
    <t xml:space="preserve">SL-003</t>
  </si>
  <si>
    <t xml:space="preserve">Low-power wake-word detection MCU</t>
  </si>
  <si>
    <t xml:space="preserve">Full EoU; H1=2 — tight case</t>
  </si>
  <si>
    <t xml:space="preserve">SL-004</t>
  </si>
  <si>
    <t xml:space="preserve">Fingerprint anti-spoofing impedance</t>
  </si>
  <si>
    <t xml:space="preserve">Full EoU + Survived + Broad claims</t>
  </si>
  <si>
    <t xml:space="preserve">SL-005</t>
  </si>
  <si>
    <t xml:space="preserve">DRAM refresh power optimization</t>
  </si>
  <si>
    <t xml:space="preserve">Partial EoU + Survived + H4=3</t>
  </si>
  <si>
    <t xml:space="preserve">SL-006</t>
  </si>
  <si>
    <t xml:space="preserve">Packet classification TCAM</t>
  </si>
  <si>
    <t xml:space="preserve">Full EoU + D1=3; no survived</t>
  </si>
  <si>
    <t xml:space="preserve">Tier B</t>
  </si>
  <si>
    <t xml:space="preserve">SL-007</t>
  </si>
  <si>
    <t xml:space="preserve">EV charging session auth PLC</t>
  </si>
  <si>
    <t xml:space="preserve">Full EoU; H2=3 low invalidity risk</t>
  </si>
  <si>
    <t xml:space="preserve">SL-008</t>
  </si>
  <si>
    <t xml:space="preserve">Predictive BMS cell balancing ML</t>
  </si>
  <si>
    <t xml:space="preserve">Full EoU + Survived; narrow term</t>
  </si>
  <si>
    <t xml:space="preserve">SL-009</t>
  </si>
  <si>
    <t xml:space="preserve">UWB indoor localization ranging</t>
  </si>
  <si>
    <t xml:space="preserve">Full EoU + D1=3 + H1=3</t>
  </si>
  <si>
    <t xml:space="preserve">SL-010</t>
  </si>
  <si>
    <t xml:space="preserve">Adaptive video codec rate control</t>
  </si>
  <si>
    <t xml:space="preserve">Full EoU + broad claims; minor title gap → B</t>
  </si>
  <si>
    <t xml:space="preserve">SL-011</t>
  </si>
  <si>
    <t xml:space="preserve">5G NR HARQ-ACK timing control</t>
  </si>
  <si>
    <t xml:space="preserve">Partial EoU + 5G NR SEP potential</t>
  </si>
  <si>
    <t xml:space="preserve">SL-012</t>
  </si>
  <si>
    <t xml:space="preserve">OLED pixel compensation circuit</t>
  </si>
  <si>
    <t xml:space="preserve">Partial EoU + Survived + high D3</t>
  </si>
  <si>
    <t xml:space="preserve">SL-013</t>
  </si>
  <si>
    <t xml:space="preserve">Sparse convolution object detection</t>
  </si>
  <si>
    <t xml:space="preserve">Partial EoU + cross-industry; no survived</t>
  </si>
  <si>
    <t xml:space="preserve">SL-014</t>
  </si>
  <si>
    <t xml:space="preserve">Li-S battery electrolyte stabilization</t>
  </si>
  <si>
    <t xml:space="preserve">Pioneer claims (C2=3) + broad + no EoU</t>
  </si>
  <si>
    <t xml:space="preserve">SL-015</t>
  </si>
  <si>
    <t xml:space="preserve">Private 5G network slice orchestration</t>
  </si>
  <si>
    <t xml:space="preserve">Partial EoU + SEP-adjacent + D1=2</t>
  </si>
  <si>
    <t xml:space="preserve">SL-016</t>
  </si>
  <si>
    <t xml:space="preserve">Secure enclave key derivation IoT</t>
  </si>
  <si>
    <t xml:space="preserve">Full EoU + Survived + clean title</t>
  </si>
  <si>
    <t xml:space="preserve">SL-017</t>
  </si>
  <si>
    <t xml:space="preserve">MLCC dielectric formulation</t>
  </si>
  <si>
    <t xml:space="preserve">Pioneer claims + trilateral + D2=3</t>
  </si>
  <si>
    <t xml:space="preserve">SL-018</t>
  </si>
  <si>
    <t xml:space="preserve">Cooperative MIMO C-RAN precoding</t>
  </si>
  <si>
    <t xml:space="preserve">Partial EoU + D1=3; no survived — urgent</t>
  </si>
  <si>
    <t xml:space="preserve">SL-019</t>
  </si>
  <si>
    <t xml:space="preserve">LiDAR point cloud compression AD</t>
  </si>
  <si>
    <t xml:space="preserve">Partial EoU + cross-industry (auto+robotics)</t>
  </si>
  <si>
    <t xml:space="preserve">SL-020</t>
  </si>
  <si>
    <t xml:space="preserve">Anisotropic thermal interface material</t>
  </si>
  <si>
    <t xml:space="preserve">Pioneer claims + wide geo coverage</t>
  </si>
  <si>
    <t xml:space="preserve">SL-021</t>
  </si>
  <si>
    <t xml:space="preserve">Wi-Fi 6E OFDMA scheduling</t>
  </si>
  <si>
    <t xml:space="preserve">Survived IPR + SEP + trilateral</t>
  </si>
  <si>
    <t xml:space="preserve">SL-022</t>
  </si>
  <si>
    <t xml:space="preserve">Solid-state LiDAR MEMS mirror control</t>
  </si>
  <si>
    <t xml:space="preserve">Pioneer claims + D3=3 + OC-DEF viable</t>
  </si>
  <si>
    <t xml:space="preserve">SL-023</t>
  </si>
  <si>
    <t xml:space="preserve">In-memory computing DNN inference</t>
  </si>
  <si>
    <t xml:space="preserve">Pioneer claims + 33 fwd citations + H4=3</t>
  </si>
  <si>
    <t xml:space="preserve">SL-024</t>
  </si>
  <si>
    <t xml:space="preserve">Perovskite solar stability enhancement</t>
  </si>
  <si>
    <t xml:space="preserve">Pioneer claims + wide geo; early stage</t>
  </si>
  <si>
    <t xml:space="preserve">SL-025</t>
  </si>
  <si>
    <t xml:space="preserve">Federated learning traffic anomaly</t>
  </si>
  <si>
    <t xml:space="preserve">Cross-industry (security+telecom+IoT)</t>
  </si>
  <si>
    <t xml:space="preserve">SL-026</t>
  </si>
  <si>
    <t xml:space="preserve">CNT FET fabrication process</t>
  </si>
  <si>
    <t xml:space="preserve">Pioneer + 22 fwd cit + next-gen; no EoU</t>
  </si>
  <si>
    <t xml:space="preserve">SL-027</t>
  </si>
  <si>
    <t xml:space="preserve">5G NR / LTE dynamic spectrum sharing</t>
  </si>
  <si>
    <t xml:space="preserve">SEP potential + D1=3 + detectable</t>
  </si>
  <si>
    <t xml:space="preserve">SL-028</t>
  </si>
  <si>
    <t xml:space="preserve">Adaptive ANC for headphones</t>
  </si>
  <si>
    <t xml:space="preserve">Full EoU + Survived + D1=3 + OC-DEF prime</t>
  </si>
  <si>
    <t xml:space="preserve">SL-029</t>
  </si>
  <si>
    <t xml:space="preserve">Blockchain supply chain provenance</t>
  </si>
  <si>
    <t xml:space="preserve">H1=1; Salvage — route to B31</t>
  </si>
  <si>
    <t xml:space="preserve">Tier C</t>
  </si>
  <si>
    <t xml:space="preserve">SL-030</t>
  </si>
  <si>
    <t xml:space="preserve">GaN power amplifier 5G base stations</t>
  </si>
  <si>
    <t xml:space="preserve">Partial EoU + trilateral + OC-DEF viable</t>
  </si>
  <si>
    <t xml:space="preserve">Patent Portfolio Bundling Template v5  ·  Portfolio Context Guide  ·  Companion: Patent_Buyer_Profiles_v1.docx &amp; Value_Proposition_Framework_v3.md</t>
  </si>
  <si>
    <t xml:space="preserve">NPE / Counter-Assertion</t>
  </si>
  <si>
    <t xml:space="preserve">Operating Company / FTO</t>
  </si>
  <si>
    <t xml:space="preserve">Defensive Aggregator</t>
  </si>
  <si>
    <t xml:space="preserve">Standards Licensee</t>
  </si>
  <si>
    <t xml:space="preserve">EV Powertrain Sale</t>
  </si>
  <si>
    <t xml:space="preserve">Custom Preset 1</t>
  </si>
  <si>
    <t xml:space="preserve">Custom Preset 2</t>
  </si>
  <si>
    <t xml:space="preserve">Custom Preset 3</t>
  </si>
  <si>
    <t xml:space="preserve">Custom Preset 4</t>
  </si>
  <si>
    <t xml:space="preserve">Short Lifecycle — Critical (1-2yr)</t>
  </si>
  <si>
    <t xml:space="preserve">Short Lifecycle — Monetization (3-5yr)</t>
  </si>
  <si>
    <t xml:space="preserve">Short Lifecycle — Strategic (6-8yr)</t>
  </si>
  <si>
    <t xml:space="preserve">_description</t>
  </si>
  <si>
    <t xml:space="preserve">Short description of the preset</t>
  </si>
  <si>
    <t xml:space="preserve">Every bundle and gate enabled, all thresholds at default. Baseline view.</t>
  </si>
  <si>
    <t xml:space="preserve">Focus on assertion-ready assets: detectability, EoU, survived challenges, defensive reads, salvage lots.</t>
  </si>
  <si>
    <t xml:space="preserve">Focus on subsystem coverage, interfaces, claim breadth, continuation optionality. Skips litigation-focused bundles.</t>
  </si>
  <si>
    <t xml:space="preserve">Volume-driven: salvage, geographic breadth, claim-type variety, prosecution mix.</t>
  </si>
  <si>
    <t xml:space="preserve">Tight focus on standards-essential, interoperability, generational, geographic, battle-tested assets.</t>
  </si>
  <si>
    <t xml:space="preserve">EV-focused: subsystems, materials, manufacturing, thermal, generational. Skips wireless/SEP/AI bundles.</t>
  </si>
  <si>
    <t xml:space="preserve">(empty — overwrite this column with your own configuration)</t>
  </si>
  <si>
    <t xml:space="preserve">Last-window enforcement: EoU-backed, battle-tested, detectable. Pre-Expiry window set 1-2yr. Disables continuation, prosecution-status, and long-horizon bundles.</t>
  </si>
  <si>
    <t xml:space="preserve">Primary enforcement &amp; licensing window. EoU-backed, detectable, anchor+halo core. Pre-Expiry 3-5yr. Adds claim-type and use-case bundles. Defensive aggregator secondary.</t>
  </si>
  <si>
    <t xml:space="preserve">Broadest buyer pool for short-lifecycle portfolios. OC-DEF viable. Adds tech-domain, defensive, cross-industry, provenance bundles. Pre-Expiry 6-8yr. Strength_term_min reduced to 6.</t>
  </si>
  <si>
    <t xml:space="preserve">BUNDLE TOGGLES (Yes = enabled, No = disabled)</t>
  </si>
  <si>
    <t xml:space="preserve">THRESHOLDS (numeric values used in routing rules)</t>
  </si>
  <si>
    <t xml:space="preserve">QUALITY GATES (Yes = column shown on Scorecard, No = column blanked)</t>
  </si>
  <si>
    <t xml:space="preserve">HOW TO USE THE PRESETS SHEET</t>
  </si>
  <si>
    <t xml:space="preserve">• The "Active Preset" dropdown on the Configuration sheet picks one column from this sheet.</t>
  </si>
  <si>
    <t xml:space="preserve">• Columns C-H are starter presets — useful as-is or as templates.</t>
  </si>
  <si>
    <t xml:space="preserve">• Columns I-L are empty "Custom Preset" slots — overwrite their values to define your own.</t>
  </si>
  <si>
    <t xml:space="preserve">• To rename a preset: edit row 1 of its column. The dropdown on the Configuration sheet updates automatically.</t>
  </si>
  <si>
    <t xml:space="preserve">• To save your current Configuration as a new preset:</t>
  </si>
  <si>
    <t xml:space="preserve">  1. On the Configuration sheet, set Edit Mode = Yes and configure all toggles/thresholds the way you want.</t>
  </si>
  <si>
    <t xml:space="preserve">  2. Come back to this sheet. In the Custom Preset column you want to use, paste-special each value section by section, or type values directly.</t>
  </si>
  <si>
    <t xml:space="preserve">  3. Rename the column header (row 1) to your preset name.</t>
  </si>
  <si>
    <t xml:space="preserve">  4. Back on Configuration: set Edit Mode = No and select your new preset from the dropdown.</t>
  </si>
  <si>
    <t xml:space="preserve">• You can add more preset columns by extending to columns M onward — just update the dropdown range on the Configuration sheet.</t>
  </si>
  <si>
    <t xml:space="preserve">Group</t>
  </si>
  <si>
    <t xml:space="preserve">Code</t>
  </si>
  <si>
    <t xml:space="preserve">Attribute</t>
  </si>
  <si>
    <t xml:space="preserve">Scale / Values</t>
  </si>
  <si>
    <t xml:space="preserve">Example</t>
  </si>
  <si>
    <t xml:space="preserve">A. Technology Classification</t>
  </si>
  <si>
    <t xml:space="preserve">Primary technology domain</t>
  </si>
  <si>
    <t xml:space="preserve">Main CPC/IPC classification or internal taxonomy tag.</t>
  </si>
  <si>
    <t xml:space="preserve">Categorical text</t>
  </si>
  <si>
    <t xml:space="preserve">Wireless PHY</t>
  </si>
  <si>
    <t xml:space="preserve">Secondary domains</t>
  </si>
  <si>
    <t xml:space="preserve">Cross-applicable technical areas the patent also touches.</t>
  </si>
  <si>
    <t xml:space="preserve">Comma-separated tags</t>
  </si>
  <si>
    <t xml:space="preserve">Beamforming, MIMO</t>
  </si>
  <si>
    <t xml:space="preserve">Stack layer</t>
  </si>
  <si>
    <t xml:space="preserve">Horizontal layer of the technology stack.</t>
  </si>
  <si>
    <t xml:space="preserve">Hardware / Firmware / OS / Middleware / App / Cloud / UI</t>
  </si>
  <si>
    <t xml:space="preserve">Hardware</t>
  </si>
  <si>
    <t xml:space="preserve">Product subsystem</t>
  </si>
  <si>
    <t xml:space="preserve">Which subsystem(s) of an end-product it covers.</t>
  </si>
  <si>
    <t xml:space="preserve">Free-text / list</t>
  </si>
  <si>
    <t xml:space="preserve">Battery management</t>
  </si>
  <si>
    <t xml:space="preserve">Use-case</t>
  </si>
  <si>
    <t xml:space="preserve">Real-world problem(s) it solves.</t>
  </si>
  <si>
    <t xml:space="preserve">Indoor positioning</t>
  </si>
  <si>
    <t xml:space="preserve">B. Standards &amp; Ecosystem</t>
  </si>
  <si>
    <t xml:space="preserve">SEP potential</t>
  </si>
  <si>
    <t xml:space="preserve">Standard-essential potential.</t>
  </si>
  <si>
    <t xml:space="preserve">0 (none) → 3 (declared/strong mapping)</t>
  </si>
  <si>
    <t xml:space="preserve">3</t>
  </si>
  <si>
    <t xml:space="preserve">Standard tagged</t>
  </si>
  <si>
    <t xml:space="preserve">Specific standard(s) the patent maps to.</t>
  </si>
  <si>
    <t xml:space="preserve">3GPP 5G NR</t>
  </si>
  <si>
    <t xml:space="preserve">Interface role</t>
  </si>
  <si>
    <t xml:space="preserve">Role as an interoperability/interface technology.</t>
  </si>
  <si>
    <t xml:space="preserve">0 (internal only) → 3 (mandatory interface)</t>
  </si>
  <si>
    <t xml:space="preserve">2</t>
  </si>
  <si>
    <t xml:space="preserve">C. Claim &amp; Scope</t>
  </si>
  <si>
    <t xml:space="preserve">Claim type</t>
  </si>
  <si>
    <t xml:space="preserve">Dominant claim type.</t>
  </si>
  <si>
    <t xml:space="preserve">Apparatus / Method / System / CRM / Design</t>
  </si>
  <si>
    <t xml:space="preserve">Method</t>
  </si>
  <si>
    <t xml:space="preserve">Claim breadth</t>
  </si>
  <si>
    <t xml:space="preserve">How broad/foundational the independent claims are.</t>
  </si>
  <si>
    <t xml:space="preserve">0 (narrow) → 3 (foundational/pioneer)</t>
  </si>
  <si>
    <t xml:space="preserve">Independent claim count</t>
  </si>
  <si>
    <t xml:space="preserve">Number of independent claims.</t>
  </si>
  <si>
    <t xml:space="preserve">Integer</t>
  </si>
  <si>
    <t xml:space="preserve">Design-around difficulty</t>
  </si>
  <si>
    <t xml:space="preserve">How hard it is to design around the claims.</t>
  </si>
  <si>
    <t xml:space="preserve">0 (easy) → 3 (hard)</t>
  </si>
  <si>
    <t xml:space="preserve">External detectability</t>
  </si>
  <si>
    <t xml:space="preserve">Detectable via observable product behavior / UX / spec sheet.</t>
  </si>
  <si>
    <t xml:space="preserve">0 (not visible) → 3 (visible without teardown)</t>
  </si>
  <si>
    <t xml:space="preserve">Teardown detectability</t>
  </si>
  <si>
    <t xml:space="preserve">Detectable via product teardown / reverse engineering.</t>
  </si>
  <si>
    <t xml:space="preserve">0 → 3</t>
  </si>
  <si>
    <t xml:space="preserve">Reads-on-known-products</t>
  </si>
  <si>
    <t xml:space="preserve">Confirmed read on known commercial products.</t>
  </si>
  <si>
    <t xml:space="preserve">0 (none) → 3 (multiple confirmed)</t>
  </si>
  <si>
    <t xml:space="preserve">E. Family &amp; Lifecycle</t>
  </si>
  <si>
    <t xml:space="preserve">Family size</t>
  </si>
  <si>
    <t xml:space="preserve">Total count of family members (parent + continuations + foreign).</t>
  </si>
  <si>
    <t xml:space="preserve">7</t>
  </si>
  <si>
    <t xml:space="preserve">Prosecution status</t>
  </si>
  <si>
    <t xml:space="preserve">Status of the patent.</t>
  </si>
  <si>
    <t xml:space="preserve">Pending / Granted / Mixed</t>
  </si>
  <si>
    <t xml:space="preserve">Granted</t>
  </si>
  <si>
    <t xml:space="preserve">Continuation available</t>
  </si>
  <si>
    <t xml:space="preserve">Whether any child application is still pending.</t>
  </si>
  <si>
    <t xml:space="preserve">Yes / No</t>
  </si>
  <si>
    <t xml:space="preserve">Remaining term (years)</t>
  </si>
  <si>
    <t xml:space="preserve">Years until earliest family member expires.</t>
  </si>
  <si>
    <t xml:space="preserve">14</t>
  </si>
  <si>
    <t xml:space="preserve">Maintenance status</t>
  </si>
  <si>
    <t xml:space="preserve">Whether maintenance fees are paid and family is active.</t>
  </si>
  <si>
    <t xml:space="preserve">Active / Lapsed / At-risk</t>
  </si>
  <si>
    <t xml:space="preserve">Active</t>
  </si>
  <si>
    <t xml:space="preserve">F. Geographic</t>
  </si>
  <si>
    <t xml:space="preserve">Jurisdictions</t>
  </si>
  <si>
    <t xml:space="preserve">Jurisdictions where the patent is granted.</t>
  </si>
  <si>
    <t xml:space="preserve">Comma-separated</t>
  </si>
  <si>
    <t xml:space="preserve">US, EP, CN, JP</t>
  </si>
  <si>
    <t xml:space="preserve">Trilateral coverage flag</t>
  </si>
  <si>
    <t xml:space="preserve">Granted in at least US + EP + at least one of CN/JP/KR.</t>
  </si>
  <si>
    <t xml:space="preserve">Major-market coverage score</t>
  </si>
  <si>
    <t xml:space="preserve">Strength of coverage across major economies.</t>
  </si>
  <si>
    <t xml:space="preserve">G. Strategic &amp; Thematic</t>
  </si>
  <si>
    <t xml:space="preserve">Convergence theme</t>
  </si>
  <si>
    <t xml:space="preserve">Hot convergence theme tags (AI+health, edge AI, AR/VR, etc.).</t>
  </si>
  <si>
    <t xml:space="preserve">Edge AI</t>
  </si>
  <si>
    <t xml:space="preserve">Generation</t>
  </si>
  <si>
    <t xml:space="preserve">Technology generation tag.</t>
  </si>
  <si>
    <t xml:space="preserve">Legacy / Current / Next-gen</t>
  </si>
  <si>
    <t xml:space="preserve">Current</t>
  </si>
  <si>
    <t xml:space="preserve">Cross-industry applicability</t>
  </si>
  <si>
    <t xml:space="preserve">How many industries the patent could read on.</t>
  </si>
  <si>
    <t xml:space="preserve">0 (single) → 3 (4+ industries)</t>
  </si>
  <si>
    <t xml:space="preserve">H. Patent Quality &amp; Vulnerability</t>
  </si>
  <si>
    <t xml:space="preserve">Claim strength rating</t>
  </si>
  <si>
    <t xml:space="preserve">Overall enforceability based on claim language clarity and dependent-claim depth.</t>
  </si>
  <si>
    <t xml:space="preserve">0 (vague/narrow) → 3 (clean, well-anchored)</t>
  </si>
  <si>
    <t xml:space="preserve">Prior-art exposure</t>
  </si>
  <si>
    <t xml:space="preserve">Known prior art that could invalidate the patent; PTAB/IPR/EPO opposition risk.</t>
  </si>
  <si>
    <t xml:space="preserve">0 (high invalidity risk) → 3 (clean)</t>
  </si>
  <si>
    <t xml:space="preserve">Prosecution history risk</t>
  </si>
  <si>
    <t xml:space="preserve">File-wrapper estoppel exposure from narrowing arguments made during prosecution.</t>
  </si>
  <si>
    <t xml:space="preserve">0 (heavy estoppel) → 3 (clean prosecution)</t>
  </si>
  <si>
    <t xml:space="preserve">Divided infringement risk</t>
  </si>
  <si>
    <t xml:space="preserve">Whether infringement requires acts by multiple parties (multi-actor reduces enforceability).</t>
  </si>
  <si>
    <t xml:space="preserve">0 (multi-party only) → 3 (single-actor)</t>
  </si>
  <si>
    <t xml:space="preserve">Forward citation count</t>
  </si>
  <si>
    <t xml:space="preserve">Number of times this patent has been cited by later filings (technical influence signal).</t>
  </si>
  <si>
    <t xml:space="preserve">12</t>
  </si>
  <si>
    <t xml:space="preserve">Backward citation density</t>
  </si>
  <si>
    <t xml:space="preserve">Density of prior art cited during prosecution.</t>
  </si>
  <si>
    <t xml:space="preserve">34</t>
  </si>
  <si>
    <t xml:space="preserve">Litigation/PTAB history</t>
  </si>
  <si>
    <t xml:space="preserve">Has the patent or family been litigated or challenged? Outcome?</t>
  </si>
  <si>
    <t xml:space="preserve">None / Survived / Pending / Lost-claims</t>
  </si>
  <si>
    <t xml:space="preserve">Survived</t>
  </si>
  <si>
    <t xml:space="preserve">Chain-of-title cleanliness</t>
  </si>
  <si>
    <t xml:space="preserve">Quality of the ownership chain: assignments, prior co-ownership, security interests.</t>
  </si>
  <si>
    <t xml:space="preserve">Clean / Minor gaps / Encumbered</t>
  </si>
  <si>
    <t xml:space="preserve">Clean</t>
  </si>
  <si>
    <t xml:space="preserve">EoU / claim-chart availability</t>
  </si>
  <si>
    <t xml:space="preserve">Evidence-of-Use claim chart available mapping claims to product or standard.</t>
  </si>
  <si>
    <t xml:space="preserve">None / Partial / Full</t>
  </si>
  <si>
    <t xml:space="preserve">Full</t>
  </si>
  <si>
    <t xml:space="preserve">Encumbrance status</t>
  </si>
  <si>
    <t xml:space="preserve">Existing licenses, liens, or prior commitments affecting transferability.</t>
  </si>
  <si>
    <t xml:space="preserve">None / Non-exclusive licensed / Exclusive licensed / Encumbered</t>
  </si>
  <si>
    <t xml:space="preserve">None</t>
  </si>
  <si>
    <t xml:space="preserve">I. Market/Buyer Signals</t>
  </si>
  <si>
    <t xml:space="preserve">Product-mapping confidence</t>
  </si>
  <si>
    <t xml:space="preserve">Confidence with which the patent reads on identifiable commercial products.</t>
  </si>
  <si>
    <t xml:space="preserve">Implementation maturity</t>
  </si>
  <si>
    <t xml:space="preserve">Whether the invention was prototyped / productized vs. remained an idea.</t>
  </si>
  <si>
    <t xml:space="preserve">Idea-only / Prototyped / Productized</t>
  </si>
  <si>
    <t xml:space="preserve">Productized</t>
  </si>
  <si>
    <t xml:space="preserve">Adjacent-market re-read</t>
  </si>
  <si>
    <t xml:space="preserve">Whether claims can be re-mapped to products in industries beyond the original target.</t>
  </si>
  <si>
    <t xml:space="preserve">Workaround complexity</t>
  </si>
  <si>
    <t xml:space="preserve">Engineering effort needed for a competitor to design around the claims.</t>
  </si>
  <si>
    <t xml:space="preserve">0 (trivial) → 3 (deep redesign)</t>
  </si>
  <si>
    <t xml:space="preserve">ATTRIBUTE DERIVATION PROCEDURE</t>
  </si>
  <si>
    <t xml:space="preserve">A field-by-field procedure for populating the 40-attribute scoring model from raw patent data. Sits alongside the Attribute Dictionary as the long-form reference.</t>
  </si>
  <si>
    <t xml:space="preserve">TYPE LEGEND</t>
  </si>
  <si>
    <t xml:space="preserve">Direct lookup</t>
  </si>
  <si>
    <t xml:space="preserve">Pull the value straight from a patent document field or database; no judgment required.</t>
  </si>
  <si>
    <t xml:space="preserve">Computed</t>
  </si>
  <si>
    <t xml:space="preserve">Apply an arithmetic formula or boolean rule to other already-collected fields.</t>
  </si>
  <si>
    <t xml:space="preserve">Derived (rubric)</t>
  </si>
  <si>
    <t xml:space="preserve">Apply a scoring rubric to claim text or specification language. Requires reading and judgment.</t>
  </si>
  <si>
    <t xml:space="preserve">Derived (rubric + SME)</t>
  </si>
  <si>
    <t xml:space="preserve">Rubric-based but should be cross-checked with a domain expert or patent counsel.</t>
  </si>
  <si>
    <t xml:space="preserve">RECOMMENDED WORKFLOW — 10 steps (run in order; steps 1-3 mostly automatable, steps 4-10 require reading &amp; judgment)</t>
  </si>
  <si>
    <t xml:space="preserve">Step</t>
  </si>
  <si>
    <t xml:space="preserve">What to do</t>
  </si>
  <si>
    <t xml:space="preserve">Fields populated</t>
  </si>
  <si>
    <t xml:space="preserve">Pull bibliographic &amp; family data</t>
  </si>
  <si>
    <t xml:space="preserve">For each patent: get the front page, claims, abstract, family tree, citations, assignments, and prosecution status. Use Google Patents + Espacenet + USPTO Patent Center.</t>
  </si>
  <si>
    <t xml:space="preserve">A1, A2, C1, C3, E1–E5, F1, H5, H6, H8</t>
  </si>
  <si>
    <t xml:space="preserve">Read claims and specification</t>
  </si>
  <si>
    <t xml:space="preserve">Read the first independent claim of each patent + the Background / Field-of-Invention. This is the irreplaceable manual step.</t>
  </si>
  <si>
    <t xml:space="preserve">A3, A4, A5, C2, C4, B3</t>
  </si>
  <si>
    <t xml:space="preserve">Check SEP declarations</t>
  </si>
  <si>
    <t xml:space="preserve">For wireless / video / connectivity patents: check ETSI IPR, IEEE-SA, ITU declarations against the family.</t>
  </si>
  <si>
    <t xml:space="preserve">B1, B2</t>
  </si>
  <si>
    <t xml:space="preserve">Score detectability</t>
  </si>
  <si>
    <t xml:space="preserve">For each claim, judge external vs. teardown detectability with the rubric. Cross-check teardowns where available.</t>
  </si>
  <si>
    <t xml:space="preserve">D1, D2</t>
  </si>
  <si>
    <t xml:space="preserve">Map to products</t>
  </si>
  <si>
    <t xml:space="preserve">Identify which commercial products read on each patent. Build a quick read-on list. This is the highest-leverage step for buyer value.</t>
  </si>
  <si>
    <t xml:space="preserve">D3, I1</t>
  </si>
  <si>
    <t xml:space="preserve">Compute geography</t>
  </si>
  <si>
    <t xml:space="preserve">From the family list, derive trilateral flag and major-market score.</t>
  </si>
  <si>
    <t xml:space="preserve">F2, F3 (auto from F1)</t>
  </si>
  <si>
    <t xml:space="preserve">Tag themes and generations</t>
  </si>
  <si>
    <t xml:space="preserve">Apply your convergence-theme dictionary and generation labels.</t>
  </si>
  <si>
    <t xml:space="preserve">G1, G2, G3</t>
  </si>
  <si>
    <t xml:space="preserve">Quality &amp; vulnerability review</t>
  </si>
  <si>
    <t xml:space="preserve">Patent-counsel-grade review: claim strength, prior-art exposure, prosecution estoppel, divided-infringement, litigation history. Most labor-intensive but most decisive for buyer due diligence.</t>
  </si>
  <si>
    <t xml:space="preserve">H1, H2, H3, H4, H7</t>
  </si>
  <si>
    <t xml:space="preserve">EoU &amp; encumbrance audit</t>
  </si>
  <si>
    <t xml:space="preserve">Check internal claim-chart library; check encumbrance records.</t>
  </si>
  <si>
    <t xml:space="preserve">H9, H10</t>
  </si>
  <si>
    <t xml:space="preserve">Market signals review</t>
  </si>
  <si>
    <t xml:space="preserve">Implementation maturity (was it productized?), adjacent re-read potential, workaround complexity. SME-driven.</t>
  </si>
  <si>
    <t xml:space="preserve">I2, I3, I4</t>
  </si>
  <si>
    <t xml:space="preserve">MASTER ATTRIBUTE PROCEDURE TABLE — one row per attribute (40 attributes total)</t>
  </si>
  <si>
    <t xml:space="preserve">Grp</t>
  </si>
  <si>
    <t xml:space="preserve">Type</t>
  </si>
  <si>
    <t xml:space="preserve">Where to find</t>
  </si>
  <si>
    <t xml:space="preserve">How to derive / compute</t>
  </si>
  <si>
    <t xml:space="preserve">Best data source</t>
  </si>
  <si>
    <t xml:space="preserve">A</t>
  </si>
  <si>
    <t xml:space="preserve">Front page of the patent: CPC main classification (most specific subgroup), or IPC. Also check the title and abstract for confirmation.</t>
  </si>
  <si>
    <t xml:space="preserve">Take the CPC main code and translate it to a human-readable domain tag using a fixed taxonomy (e.g., CPC H04W → "Wireless networking"; CPC H01M → "Battery cells"). Maintain a CPC→tag mapping spreadsheet so values stay consistent across the portfolio.</t>
  </si>
  <si>
    <t xml:space="preserve">Google Patents, USPTO PatentsView, Espacenet, EPO Open Patent Services, Lens.org. CPC scheme reference: cpc.uspto.gov</t>
  </si>
  <si>
    <t xml:space="preserve">CPC classifications other than the main one (front page lists multiple). Also pull keywords from the abstract and the first independent claim.</t>
  </si>
  <si>
    <t xml:space="preserve">List every additional CPC subgroup beyond A1. Optionally enrich with 2-3 keyword tags drawn from the abstract (e.g., "MIMO", "beamforming", "edge inference").</t>
  </si>
  <si>
    <t xml:space="preserve">Google Patents, Espacenet, Lens.org. For keyword extraction at scale: use a simple TF-IDF over the abstract against the rest of your portfolio.</t>
  </si>
  <si>
    <t xml:space="preserve">Read the first independent claim and the "Field of the Invention" / "Background" section.</t>
  </si>
  <si>
    <t xml:space="preserve">Apply a 7-bucket rubric. Hardware: physical device, circuit, or material composition. Firmware: low-level code embedded in hardware. OS: kernel/driver level. Middleware: protocol stacks, libraries, frameworks. App: end-user application logic. Cloud: server-side service or backend. UI: visual interface or interaction pattern. Pick the dominant layer; if the claim mixes layers, pick where the novelty lives.</t>
  </si>
  <si>
    <t xml:space="preserve">Patent specification. No external database — judgment-based against the rubric.</t>
  </si>
  <si>
    <t xml:space="preserve">Read the first independent claim, the "Detailed Description" preamble, and any "Embodiments" section listing real-world products.</t>
  </si>
  <si>
    <t xml:space="preserve">Map the claim subject matter to a subsystem of an identifiable end product. Example: for an EV — "battery cell", "battery pack", "BMS", "traction inverter", "thermal mgmt", "charging port", "motor", "regen brake controller". Maintain a per-industry subsystem dictionary so tags are consistent.</t>
  </si>
  <si>
    <t xml:space="preserve">Patent specification + product architecture knowledge (engineering team / SME input).</t>
  </si>
  <si>
    <t xml:space="preserve">"Field of the Invention", "Background", and the "Detailed Description" — look for problem statements ("there is a need to...", "addresses the problem of...").</t>
  </si>
  <si>
    <t xml:space="preserve">Phrase the use-case as a customer-facing problem (e.g., "indoor positioning", "battery fast-charging", "fraud detection in payments", "low-latency video streaming"). Maintain a portfolio-wide use-case dictionary; reuse tags rather than coining new ones for each patent.</t>
  </si>
  <si>
    <t xml:space="preserve">Patent specification. Use natural-language extraction from the Background section. Cross-check against market reports if needed.</t>
  </si>
  <si>
    <t xml:space="preserve">B</t>
  </si>
  <si>
    <t xml:space="preserve">Check (a) SEP databases for any declaration on this family, (b) the claim language for standards-spec phrasing, (c) any prior 3GPP / IEEE / ITU letters of assurance.</t>
  </si>
  <si>
    <t xml:space="preserve">Score 0-3. 3: declared SEP in an SSO database, OR claim language directly mirrors a normative spec section. 2: claim reads on a specific clause of a known standard but no formal declaration. 1: standard-adjacent but normative essentiality is debatable. 0: no standard tie. For 5G/Wi-Fi/Bluetooth/USB-C/H.26x patents, always run a claim-vs-spec mapping before assigning ≥2.</t>
  </si>
  <si>
    <t xml:space="preserve">ETSI IPR Online Database (search.ipr.etsi.org), IEEE-SA, ITU, IETF declarations, Unified Patents SEP database, IPlytics, Amplified.ai. Pair with claim-charts where available.</t>
  </si>
  <si>
    <t xml:space="preserve">Same sources as B1. Read the actual SSO declaration if one exists.</t>
  </si>
  <si>
    <t xml:space="preserve">Record the exact standard identifier (e.g., "3GPP TS 38.211 (5G NR PHY)", "IEEE 802.11be (Wi-Fi 7)", "USB PD 3.1", "ITU-T H.266/VVC"). If multiple standards are implicated, list all. Blank if B1 = 0.</t>
  </si>
  <si>
    <t xml:space="preserve">ETSI IPR database (full declaration text usually names the spec). Otherwise infer from claim text + standards expert review.</t>
  </si>
  <si>
    <t xml:space="preserve">Read the first independent claim. Look for protocol/handshake/format/connector language.</t>
  </si>
  <si>
    <t xml:space="preserve">Score 0-3. 3: claim sits at a mandatory interface between two systems (e.g., wire protocol, connector pinout, RPC format). 2: claim covers a widely-used interoperability mechanism that is not technically mandatory but is de-facto standard. 1: claim involves an interface but the interface is internal to one product. 0: no interface dimension.</t>
  </si>
  <si>
    <t xml:space="preserve">Patent specification + SME interpretation. Cross-check whether the interface is named in any public spec.</t>
  </si>
  <si>
    <t xml:space="preserve">C</t>
  </si>
  <si>
    <t xml:space="preserve">Read the preamble of each independent claim.</t>
  </si>
  <si>
    <t xml:space="preserve">Classify the dominant independent claim type. Apparatus: "an apparatus comprising…", "a device comprising…". Method: "a method comprising the steps of…". System: "a system for X comprising…". CRM: "a non-transitory computer-readable medium storing instructions that, when executed…". Design: design patents (D-numbered, drawings only). If mixed, pick the most enforceable type given the product target.</t>
  </si>
  <si>
    <t xml:space="preserve">Patent claims section (always front-of-patent in granted patents).</t>
  </si>
  <si>
    <t xml:space="preserve">Read each independent claim. Count words, count specific limitations, look for "wherein" clauses.</t>
  </si>
  <si>
    <t xml:space="preserve">Score 0-3. 3 (pioneer/foundational): few elements, abstract/general language, no narrowing wherein clauses, broad genus. 2 (broad): moderate element count, some structural narrowing. 1 (narrow): many specific element constraints, specific value ranges, named structural features. 0 (very narrow/picture claim): tied to one specific implementation. Rule of thumb: shorter independent claims with fewer limitations are usually broader.</t>
  </si>
  <si>
    <t xml:space="preserve">Patent claims + judgment. Tools like ClaimMaster, LexisNexis PatentAdvisor, or simple word-count heuristics can prefilter.</t>
  </si>
  <si>
    <t xml:space="preserve">Direct lookup (count)</t>
  </si>
  <si>
    <t xml:space="preserve">Claims section. Independent claims are those that do not refer to another claim ("a method comprising…" rather than "the method of claim 1, wherein…").</t>
  </si>
  <si>
    <t xml:space="preserve">Simple count. Look for claims whose first word is not "The" referring back to a prior claim.</t>
  </si>
  <si>
    <t xml:space="preserve">Patent claims section. Most patent APIs (PatentsView, EPO OPS) return claim text in structured form.</t>
  </si>
  <si>
    <t xml:space="preserve">Read all independent claims. Look at the size of the genus claimed, the number of dependent claims covering variants, and the breadth of the disclosure.</t>
  </si>
  <si>
    <t xml:space="preserve">Score 0-3. 3 (hard): independent claim covers a broad genus AND dependent claims systematically cover variants AND the specification suggests further unclaimed variants enabling future continuations. 2: covers main routes but leaves specific alternatives. 1: claim is one of several obvious alternatives. 0: trivial workaround exists. Engineering review strongly recommended for any patent scoring ≥2.</t>
  </si>
  <si>
    <t xml:space="preserve">Patent claims + specification + engineering SME review. There is no automated way to do this well — always sanity-check with a domain expert.</t>
  </si>
  <si>
    <t xml:space="preserve">D</t>
  </si>
  <si>
    <t xml:space="preserve">Read the claim and ask: can I confirm infringement by observing the product without opening it?</t>
  </si>
  <si>
    <t xml:space="preserve">Score 0-3. 3: visible in UI, marketed feature, public spec sheet, or measurable from outputs (e.g., a specific protocol behavior on the wire). 2: detectable from network traffic capture or external instrumentation. 1: detectable only with significant external testing. 0: requires teardown or internal access.</t>
  </si>
  <si>
    <t xml:space="preserve">Patent claims + product knowledge. Use the SSO spec or product manuals to confirm whether a feature is externally observable.</t>
  </si>
  <si>
    <t xml:space="preserve">Read the claim and ask: if I tear down the product, can I see the claimed element?</t>
  </si>
  <si>
    <t xml:space="preserve">Score 0-3. 3: visible in standard teardown (circuit traces, chip die markings, mechanical components). 2: detectable with electrical probing or chip-level reverse engineering. 1: detectable only with deep RE (decapping, firmware dump). 0: process-internal — no teardown reveals it (e.g., a manufacturing process step). Apparatus and chip-layout claims usually score 2-3; pure-software-method claims usually 0-1.</t>
  </si>
  <si>
    <t xml:space="preserve">Patent claims + RE feasibility judgment. TechInsights and Chipworks reports can validate teardown observability for chips.</t>
  </si>
  <si>
    <t xml:space="preserve">Direct mapping (research)</t>
  </si>
  <si>
    <t xml:space="preserve">Match claim elements against features of specific commercial products. Build a claim chart.</t>
  </si>
  <si>
    <t xml:space="preserve">Score 0-3 based on number of confirmed reads. 3: 4+ commercial products confirmed to infringe. 2: 2-3 confirmed. 1: 1 confirmed or strong suspicion. 0: no known target. Always document the products in a separate EoU/Claim-Chart artifact (see H9).</t>
  </si>
  <si>
    <t xml:space="preserve">Product teardowns (TechInsights, iFixit, Chipworks), product manuals, marketing collateral, prior litigation complaints, IPlytics product-mapping, expert SME review.</t>
  </si>
  <si>
    <t xml:space="preserve">E</t>
  </si>
  <si>
    <t xml:space="preserve">Family view on Espacenet, Google Patents "Family" tab, or PatBase family report. Includes parent + continuations + divisionals + CIPs + foreign counterparts.</t>
  </si>
  <si>
    <t xml:space="preserve">Count all family members across jurisdictions. Use DOCDB simple family or INPADOC extended family — pick one definition and apply it consistently. INPADOC is broader.</t>
  </si>
  <si>
    <t xml:space="preserve">Espacenet (free), PatBase, Derwent Innovation, Google Patents (Family tab), Patsnap.</t>
  </si>
  <si>
    <t xml:space="preserve">USPTO PAIR for US, EPO Register for EP, equivalent national registers for other jurisdictions. Or aggregated view in Espacenet / Patsnap.</t>
  </si>
  <si>
    <t xml:space="preserve">If all family members are granted → "Granted". If at least one is still pending → "Pending" or "Mixed". If a continuation is pending alongside granted parents → "Mixed". Choose "Mixed" if both granted and pending exist.</t>
  </si>
  <si>
    <t xml:space="preserve">USPTO Patent Center (formerly PAIR), EPO Register, JPO J-PlatPat, CNIPA, KIPRIS.</t>
  </si>
  <si>
    <t xml:space="preserve">Direct lookup (boolean)</t>
  </si>
  <si>
    <t xml:space="preserve">Check the family tree on USPTO Patent Center / Espacenet for any pending child application linked to this patent or its parent.</t>
  </si>
  <si>
    <t xml:space="preserve">Yes if at least one continuation, divisional, or CIP application is currently pending and has not been abandoned. No otherwise. Note: a recently filed continuation is the most valuable signal — flag patents with continuations filed within the last 12 months.</t>
  </si>
  <si>
    <t xml:space="preserve">USPTO Patent Center, EPO Register, family trees in Espacenet/Patsnap.</t>
  </si>
  <si>
    <t xml:space="preserve">Earliest patent expiry date in the family. For US: priority date + 20 years, adjusted for PTA (Patent Term Adjustment) and PTE (Patent Term Extension).</t>
  </si>
  <si>
    <t xml:space="preserve">Remaining_term = (expiry_date − today) in years, rounded. Use the EARLIEST expiry in the family for conservative scoring. For US patents granted from applications filed after June 8, 1995: expiry = filing_date + 20 years + PTA. Cross-check PAIR for PTA disclaimers and terminal disclaimers.</t>
  </si>
  <si>
    <t xml:space="preserve">USPTO PAIR, EPO Register, INPADOC. Patsnap and Derwent auto-compute expiry with adjustments.</t>
  </si>
  <si>
    <t xml:space="preserve">USPTO maintenance fee status (free lookup), EPO renewals register, national equivalents.</t>
  </si>
  <si>
    <t xml:space="preserve">Active: all maintenance fees paid up to current period. At-risk: a maintenance fee window is open and unpaid. Lapsed: maintenance fee deadline missed and grace period expired. Track this PER family member, not just the lead patent — a lapsed counterpart in a key jurisdiction is critical.</t>
  </si>
  <si>
    <t xml:space="preserve">USPTO Maintenance Fee Status (patentcenter.uspto.gov), EPO renewals, national patent office registers.</t>
  </si>
  <si>
    <t xml:space="preserve">F</t>
  </si>
  <si>
    <t xml:space="preserve">Direct lookup (list)</t>
  </si>
  <si>
    <t xml:space="preserve">Family view on Espacenet / Patsnap. Lists all countries where a family member is granted (not just filed).</t>
  </si>
  <si>
    <t xml:space="preserve">List all jurisdictions where at least one family member is currently GRANTED and active (not lapsed). Use 2-letter country codes: US, EP, CN, JP, KR, IN, DE, GB, FR, BR, CA, AU, etc. Note: EP coverage is composite — list EP and also which national validations exist if known.</t>
  </si>
  <si>
    <t xml:space="preserve">Espacenet, Patsnap, Derwent, Google Patents Family tab.</t>
  </si>
  <si>
    <t xml:space="preserve">Derived (boolean from F1)</t>
  </si>
  <si>
    <t xml:space="preserve">Derived from F1.</t>
  </si>
  <si>
    <t xml:space="preserve">Yes if patent is granted in US AND EP AND at least one of {CN, JP, KR}. No otherwise. This is the standard "trilateral+" definition; adjust if your buyer pool cares about specific markets (e.g., add IN for South Asia-focused buyers).</t>
  </si>
  <si>
    <t xml:space="preserve">Computed from F1.</t>
  </si>
  <si>
    <t xml:space="preserve">Derived (rubric from F1)</t>
  </si>
  <si>
    <t xml:space="preserve">Score 0-3 by counting major-market grants. 3: granted in 4+ of {US, EP, CN, JP, KR}. 2: granted in 3. 1: granted in 2. 0: granted in 0-1. Adjust major-market list based on buyer (e.g., add IN, BR for emerging-market focused buyers).</t>
  </si>
  <si>
    <t xml:space="preserve">G</t>
  </si>
  <si>
    <t xml:space="preserve">Derived (tag)</t>
  </si>
  <si>
    <t xml:space="preserve">Read the abstract, claim, and detailed description. Match against a maintained list of current convergence themes.</t>
  </si>
  <si>
    <t xml:space="preserve">Tag the patent with one or more themes from a fixed dictionary you maintain. Example dictionary: "AI+healthcare", "edge AI", "AR/VR", "AI+chip-design", "Robotics+CV", "Quantum", "Sustainability+materials", "AI+industrial", "Web3", "Spatial computing". Keep the dictionary stable — coin a new tag only when several patents converge on a new theme.</t>
  </si>
  <si>
    <t xml:space="preserve">Patent specification + your maintained convergence-theme dictionary. Cross-check with market intelligence sources (Gartner Hype Cycles, McKinsey emerging tech reports).</t>
  </si>
  <si>
    <t xml:space="preserve">Read the abstract and detailed description; check whether the patent maps to a specific technology generation (e.g., 4G vs 5G vs 6G, Wi-Fi 5 vs Wi-Fi 7, USB 2.0 vs USB 3.x vs USB4, 28nm vs 5nm).</t>
  </si>
  <si>
    <t xml:space="preserve">Legacy: tied to a superseded generation still in service but on decline. Current: tied to the dominant deployed generation. Next-gen: tied to the emerging or pre-deployment generation. For non-generation-tagged tech (materials, basic algorithms), leave blank.</t>
  </si>
  <si>
    <t xml:space="preserve">Patent specification + standards roadmap knowledge. Use generation transition timelines from analyst reports (Counterpoint, Omdia, IDC).</t>
  </si>
  <si>
    <t xml:space="preserve">Read the independent claim. Ask: in how many distinct industries could this claim plausibly read on a real product?</t>
  </si>
  <si>
    <t xml:space="preserve">Score 0-3 by count of plausible target industries. 0: single industry only. 1: 2 industries. 2: 3 industries. 3: 4+ industries. Use a fixed industry list (Consumer Electronics, Automotive, Healthcare, Industrial/Manufacturing, Telecom, Energy, Aerospace, FinTech, AgTech, Defense). Cross-check by searching forward citations: if citing patents come from diverse CPC areas, the patent likely has cross-industry pull.</t>
  </si>
  <si>
    <t xml:space="preserve">Patent claims + forward-citation CPC distribution + SME review.</t>
  </si>
  <si>
    <t xml:space="preserve">H</t>
  </si>
  <si>
    <t xml:space="preserve">Read all independent claims for language clarity; look at dependent claim depth; check the specification for support.</t>
  </si>
  <si>
    <t xml:space="preserve">Score 0-3. 3: claim language clean and definite, key terms have clear antecedent basis, dependent claims provide layered fallbacks, specification fully supports. 2: minor ambiguity but enforceable. 1: vague terms, weak antecedent basis, thin dependent layer. 0: ambiguous, indefinite, or claims poorly supported by specification. Engage patent counsel for any patent scoring ≥2 if it is going into a Premium tier bundle.</t>
  </si>
  <si>
    <t xml:space="preserve">Patent claims + specification + patent counsel review. Tools: ClaimMaster, LexisNexis PatentAdvisor for prefilter; final score requires legal review.</t>
  </si>
  <si>
    <t xml:space="preserve">Derived (search-based)</t>
  </si>
  <si>
    <t xml:space="preserve">Run a targeted prior-art search on the independent claim using key claim terms + publication date constraints.</t>
  </si>
  <si>
    <t xml:space="preserve">Score 0-3. 3: clean — focused PA search returns no closely matching references predating priority date. 2: minor prior art found but distinguishable on at least one independent-claim element. 1: significant prior art on most elements; novelty under threat. 0: prior art reads on the claim — high invalidity risk. Always check IPR/PTAB history (H7) for known challenges. For valuable patents, commission a formal invalidity search.</t>
  </si>
  <si>
    <t xml:space="preserve">Google Patents PA search, Patsnap, PatBase, LexisNexis IP Analytics, Innography. For high-stakes: commission a formal Patentability / Invalidity search from a search firm (Cardinal, Landon IP, Questel).</t>
  </si>
  <si>
    <t xml:space="preserve">Derived (file-wrapper review)</t>
  </si>
  <si>
    <t xml:space="preserve">Pull the full file wrapper from USPTO PAIR (US) or EPO Register. Read office actions and applicant responses.</t>
  </si>
  <si>
    <t xml:space="preserve">Score 0-3. 3: clean prosecution — allowance without significant claim narrowing, no §103 rejections argued around with narrowing amendments. 2: claims narrowed once to overcome prior art, but narrowing is peripheral. 1: significant narrowing arguments tied to claim terms still in the granted claims (heavy estoppel). 0: pattern of arguments creating broad estoppel; equivalents doctrine likely barred. This requires a patent attorney review.</t>
  </si>
  <si>
    <t xml:space="preserve">USPTO Patent Center file wrapper, EPO Register file inspection. Patent counsel review recommended.</t>
  </si>
  <si>
    <t xml:space="preserve">Derived (claim analysis)</t>
  </si>
  <si>
    <t xml:space="preserve">Read each independent method claim. Identify who performs each step.</t>
  </si>
  <si>
    <t xml:space="preserve">Score 0-3. 3: all claim steps performed by a single actor (apparatus claims usually score 3 by default). 2: claim steps performed by a single actor with minor user interaction. 1: claim steps require two parties (e.g., client + server with no clear "single mastermind"). 0: explicit multi-party performance with no joint enterprise. Method claims that span client + server + third-party services often score 0-1. Post-Akamai v. Limelight US law allows joint-infringement liability in narrow circumstances — patent counsel review for any 0-1 score.</t>
  </si>
  <si>
    <t xml:space="preserve">Patent claims + patent counsel analysis. Federal Circuit case law on joint infringement evolves; require legal review.</t>
  </si>
  <si>
    <t xml:space="preserve">Google Patents "Cited by" count, USPTO PatentsView API, Lens.org, PatBase.</t>
  </si>
  <si>
    <t xml:space="preserve">Pull total forward citations across all jurisdictions for the family. Normalize for age: a 3-year-old patent with 30 citations is more influential than a 15-year-old patent with 50. Track both raw count and normalized "citations per year since publication".</t>
  </si>
  <si>
    <t xml:space="preserve">Google Patents (free), PatentsView API (free), Lens.org (free), Patsnap, Derwent.</t>
  </si>
  <si>
    <t xml:space="preserve">Front page of the patent: "References Cited" — both applicant-cited and examiner-cited.</t>
  </si>
  <si>
    <t xml:space="preserve">Count total cited references on the front page. Higher count usually indicates a crowded art area (potential novelty pressure). Useful as a sanity-check against H2 — a patent with 50+ backward citations in a narrow domain has elevated prior-art exposure.</t>
  </si>
  <si>
    <t xml:space="preserve">Patent front page, Google Patents, PatentsView.</t>
  </si>
  <si>
    <t xml:space="preserve">Lex Machina (US litigation), Darts-IP (global litigation), USPTO PTAB Trials database, RPX, Unified Patents.</t>
  </si>
  <si>
    <t xml:space="preserve">None: no litigation or post-grant challenge. Survived: at least one IPR/PGR/EPO opposition resulted in final written decision with claims maintained. Pending: an active IPR/litigation. Lost-claims: at least one independent claim was invalidated or canceled by a final decision. Always check the actual outcome status — "instituted" is not "lost".</t>
  </si>
  <si>
    <t xml:space="preserve">Lex Machina (paid), Darts-IP (paid), USPTO PTAB (free at uspto.gov/ptab), RPX Insight, Unified Patents Portal, PACER for district court records.</t>
  </si>
  <si>
    <t xml:space="preserve">USPTO Assignment Search (free), EPO Register assignments, national patent office assignment records. Pull the full assignment chain from inventor(s) to current owner.</t>
  </si>
  <si>
    <t xml:space="preserve">Clean: complete assignment chain from all inventors to current owner, all properly recorded, no gaps. Minor gaps: chain is reconstructible but missing recorded assignments (e.g., an employment-agreement assignment that was never recorded). Encumbered: prior co-owners not joined, unresolved inventor disputes, prior security interests not released. Engage IP counsel for any non-Clean rating before bundling.</t>
  </si>
  <si>
    <t xml:space="preserve">USPTO Assignment Search (assignment.uspto.gov), EPO Register, national assignment databases. Real estate/UCC searches for security interests.</t>
  </si>
  <si>
    <t xml:space="preserve">Internal artifact check</t>
  </si>
  <si>
    <t xml:space="preserve">Your internal claim-chart library / matter management. Check whether an Evidence-of-Use document exists mapping the claim to a named product or standard.</t>
  </si>
  <si>
    <t xml:space="preserve">None: no claim chart exists. Partial: chart maps the independent claim elements to a product but lacks secondary references / element-level evidence. Full: complete HD claim chart with every claim element tied to product documentation, source code (where available), or spec section. For SEP patents the EoU usually maps to a standard clause rather than a product.</t>
  </si>
  <si>
    <t xml:space="preserve">Internal claim-chart files. If none exist, commission claim charts for anchor patents before going to market — this is a major value driver.</t>
  </si>
  <si>
    <t xml:space="preserve">Internal license register, prior settlement agreements, UCC filings, prior security agreements, RAND/FRAND commitments to SSOs.</t>
  </si>
  <si>
    <t xml:space="preserve">None: no licenses, liens, commitments, or carve-outs. Non-exclusive licensed: one or more non-exclusive licenses exist but rights to assert against unlicensed parties remain. Exclusive licensed: exclusive license exists — only the licensee can assert. Encumbered: liens, security interests, court orders, or covenants-not-to-sue limiting assertion. Always disclose to buyers; failure to disclose can void the sale.</t>
  </si>
  <si>
    <t xml:space="preserve">Internal license register, internal counsel review, UCC search at the secretary of state, IP collateral records, SSO declarations.</t>
  </si>
  <si>
    <t xml:space="preserve">I</t>
  </si>
  <si>
    <t xml:space="preserve">Same artifacts as D3 plus any internal claim charts. Ask: how confidently can we name commercial products that infringe?</t>
  </si>
  <si>
    <t xml:space="preserve">Score 0-3. 3: high — claim chart exists naming specific commercial products with element-level mapping. 2: moderate — known to map to product category but no specific SKU. 1: speculative — claim language suggests product fit but no confirmed mapping. 0: no current product fit identified.</t>
  </si>
  <si>
    <t xml:space="preserve">Internal claim-chart artifacts + product teardown research + SME review.</t>
  </si>
  <si>
    <t xml:space="preserve">Derived (specification + history)</t>
  </si>
  <si>
    <t xml:space="preserve">Specification: does it describe working examples? File history: were prototype demos referenced? Inventor publications and product history.</t>
  </si>
  <si>
    <t xml:space="preserve">Idea-only: specification describes a concept with no working example or experimental data. Prototyped: specification or external sources reference a working prototype, lab demo, or research publication. Productized: a commercial product implementing the claim exists (either from the patentee or a third party). Cite the evidence in a note column.</t>
  </si>
  <si>
    <t xml:space="preserve">Patent specification, inventor publications (Google Scholar, IEEE Xplore), product announcements, press releases.</t>
  </si>
  <si>
    <t xml:space="preserve">Read the independent claim; identify the named industry / use-case it was drafted for; ask whether the claim can be re-mapped to products in a different industry.</t>
  </si>
  <si>
    <t xml:space="preserve">Score 0-3. 3: claim language is industry-agnostic and clearly reads on 2+ adjacent industries beyond the patentee's. 2: re-read plausible in one adjacent industry with no claim contortion. 1: re-read possible but requires aggressive interpretation. 0: claim language ties it to one industry. Adjacent re-reads typically come from horizontal technologies (sensing, networking, AI methods).</t>
  </si>
  <si>
    <t xml:space="preserve">Patent claims + market knowledge + SME review across industries. Cross-check by examining whether forward citations come from different industry CPCs.</t>
  </si>
  <si>
    <t xml:space="preserve">Derived (rubric + engineering SME)</t>
  </si>
  <si>
    <t xml:space="preserve">Read the claim. Ask an engineer: "If a competitor needed to ship a competing product without infringing, how much redesign is needed?"</t>
  </si>
  <si>
    <t xml:space="preserve">Score 0-3. 3: deep redesign — claim covers the natural/efficient approach; alternatives are expensive or technically inferior. 2: significant redesign — alternatives exist but are commercially undesirable. 1: minor redesign — straightforward alternative is available. 0: trivial workaround — designers can easily substitute. Strongly correlates with C4 design-around difficulty but considered separately because C4 is about claim language whereas I4 is about commercial impact.</t>
  </si>
  <si>
    <t xml:space="preserve">Patent claims + engineering SME review. The most reliable answer comes from an engineer who has actually shipped products in the space.</t>
  </si>
  <si>
    <t xml:space="preserve">DATA SOURCE REFERENCE — free and paid sources used across the procedure</t>
  </si>
  <si>
    <t xml:space="preserve">Source</t>
  </si>
  <si>
    <t xml:space="preserve">URL</t>
  </si>
  <si>
    <t xml:space="preserve">What it gives you</t>
  </si>
  <si>
    <t xml:space="preserve">Free</t>
  </si>
  <si>
    <t xml:space="preserve">Google Patents</t>
  </si>
  <si>
    <t xml:space="preserve">patents.google.com</t>
  </si>
  <si>
    <t xml:space="preserve">Bibliographic, family, citations, claims, full text. Best free starting point.</t>
  </si>
  <si>
    <t xml:space="preserve">Espacenet</t>
  </si>
  <si>
    <t xml:space="preserve">worldwide.espacenet.com</t>
  </si>
  <si>
    <t xml:space="preserve">EPO's global patent search; best for family view (INPADOC).</t>
  </si>
  <si>
    <t xml:space="preserve">USPTO Patent Center</t>
  </si>
  <si>
    <t xml:space="preserve">patentcenter.uspto.gov</t>
  </si>
  <si>
    <t xml:space="preserve">US file wrapper, prosecution history, maintenance fees, assignments.</t>
  </si>
  <si>
    <t xml:space="preserve">PatentsView</t>
  </si>
  <si>
    <t xml:space="preserve">patentsview.org</t>
  </si>
  <si>
    <t xml:space="preserve">USPTO bulk data API. Excellent for programmatic scoring across a portfolio.</t>
  </si>
  <si>
    <t xml:space="preserve">Lens.org</t>
  </si>
  <si>
    <t xml:space="preserve">lens.org</t>
  </si>
  <si>
    <t xml:space="preserve">Free patent + scholarly search; good for forward-citation analysis.</t>
  </si>
  <si>
    <t xml:space="preserve">EPO Register</t>
  </si>
  <si>
    <t xml:space="preserve">register.epo.org</t>
  </si>
  <si>
    <t xml:space="preserve">EP file wrapper, oppositions, renewals.</t>
  </si>
  <si>
    <t xml:space="preserve">USPTO PTAB Database</t>
  </si>
  <si>
    <t xml:space="preserve">developer.uspto.gov/ptab-api</t>
  </si>
  <si>
    <t xml:space="preserve">IPR/PGR/CBM filings and outcomes.</t>
  </si>
  <si>
    <t xml:space="preserve">ETSI IPR Database</t>
  </si>
  <si>
    <t xml:space="preserve">ipr.etsi.org</t>
  </si>
  <si>
    <t xml:space="preserve">SEP declarations for 3GPP / ETSI standards.</t>
  </si>
  <si>
    <t xml:space="preserve">USPTO Assignment Search</t>
  </si>
  <si>
    <t xml:space="preserve">assignment.uspto.gov</t>
  </si>
  <si>
    <t xml:space="preserve">Chain of title for US patents.</t>
  </si>
  <si>
    <t xml:space="preserve">Paid</t>
  </si>
  <si>
    <t xml:space="preserve">Patsnap</t>
  </si>
  <si>
    <t xml:space="preserve">patsnap.com</t>
  </si>
  <si>
    <t xml:space="preserve">Integrated platform: family, citations, litigation, valuation. Strong for portfolio-scale analysis.</t>
  </si>
  <si>
    <t xml:space="preserve">Derwent Innovation (Clarivate)</t>
  </si>
  <si>
    <t xml:space="preserve">clarivate.com</t>
  </si>
  <si>
    <t xml:space="preserve">Premium curated abstracts and family data; strong for prior art.</t>
  </si>
  <si>
    <t xml:space="preserve">PatBase</t>
  </si>
  <si>
    <t xml:space="preserve">patbase.com</t>
  </si>
  <si>
    <t xml:space="preserve">Family-centric search; gold standard for accurate family definitions.</t>
  </si>
  <si>
    <t xml:space="preserve">IPlytics</t>
  </si>
  <si>
    <t xml:space="preserve">iplytics.com</t>
  </si>
  <si>
    <t xml:space="preserve">SEP analytics, product-mapping intelligence.</t>
  </si>
  <si>
    <t xml:space="preserve">Lex Machina</t>
  </si>
  <si>
    <t xml:space="preserve">lexmachina.com</t>
  </si>
  <si>
    <t xml:space="preserve">US litigation analytics and outcomes.</t>
  </si>
  <si>
    <t xml:space="preserve">Darts-IP</t>
  </si>
  <si>
    <t xml:space="preserve">darts-ip.com</t>
  </si>
  <si>
    <t xml:space="preserve">Global patent litigation database.</t>
  </si>
  <si>
    <t xml:space="preserve">RPX Insight</t>
  </si>
  <si>
    <t xml:space="preserve">rpxcorp.com</t>
  </si>
  <si>
    <t xml:space="preserve">NPE litigation, market intelligence.</t>
  </si>
  <si>
    <t xml:space="preserve">Unified Patents Portal</t>
  </si>
  <si>
    <t xml:space="preserve">unifiedpatents.com</t>
  </si>
  <si>
    <t xml:space="preserve">PTAB activity, NPE assertion trends.</t>
  </si>
  <si>
    <t xml:space="preserve">TechInsights / Chipworks</t>
  </si>
  <si>
    <t xml:space="preserve">techinsights.com</t>
  </si>
  <si>
    <t xml:space="preserve">Authoritative chip teardowns — vital for D2/D3/I1.</t>
  </si>
  <si>
    <t xml:space="preserve">iFixit</t>
  </si>
  <si>
    <t xml:space="preserve">ifixit.com</t>
  </si>
  <si>
    <t xml:space="preserve">Consumer product teardowns (free + paid tiers).</t>
  </si>
  <si>
    <t xml:space="preserve">PRACTICAL NOTES</t>
  </si>
  <si>
    <t xml:space="preserve">Scoring consistency</t>
  </si>
  <si>
    <t xml:space="preserve">For every 0-3 rubric attribute, calibrate by scoring 5-10 sample patents first as a team, then locking the calibration before processing the rest. Otherwise scores drift across reviewers. Maintain a portfolio-specific data dictionary for A1, A4, A5, G1 so tags are reused rather than re-coined for each patent. Inconsistent tags break the routing rules.</t>
  </si>
  <si>
    <t xml:space="preserve">Time and effort allocation</t>
  </si>
  <si>
    <t xml:space="preserve">On a 50-patent portfolio: Steps 1-3 (data pull) take ~1 hour total when automated. Steps 4-7 (claim reading, rubric scoring) take ~30 min per patent. Step 8 (quality and vulnerability) takes ~45 min per patent and benefits from patent-counsel involvement. Step 9 (EoU and encumbrance) varies wildly — anywhere from 5 min to several hours depending on internal artifact availability.</t>
  </si>
  <si>
    <t xml:space="preserve">Where to invest in claim charts</t>
  </si>
  <si>
    <t xml:space="preserve">Don't build EoU claim charts for the whole portfolio. Build them for: anchor patents (H1=3), patents likely to land in EoU-Backed (Bundle 26) or Battle-Tested (Bundle 27), and anything destined for the Premium tier. Charts are expensive — invest them where they shift bundle value the most.</t>
  </si>
  <si>
    <t xml:space="preserve">Automation pointers</t>
  </si>
  <si>
    <t xml:space="preserve">PatentsView API + Espacenet OPS API together cover ~80% of the Direct Lookup fields programmatically. A simple Python script can populate A1, A2, B2, C1, C3, E1-E5, F1, H5, H6, H8 across the entire Patent Portfolio sheet in one batch. Reserve manual work for the rubric-based and SME-based attributes.</t>
  </si>
  <si>
    <t xml:space="preserve">Threshold calibration warning</t>
  </si>
  <si>
    <t xml:space="preserve">The numeric thresholds on the Configuration sheet (SEP cutoff, citation minimum, etc.) only make sense if your 0-3 scores are calibrated. If two reviewers would give the same patent different H1 scores, the threshold-based routing produces noise. Run a calibration session before bulk scoring.</t>
  </si>
  <si>
    <t xml:space="preserve">Identification</t>
  </si>
  <si>
    <t xml:space="preserve">A1 Primary domain</t>
  </si>
  <si>
    <t xml:space="preserve">A2 Secondary domains</t>
  </si>
  <si>
    <t xml:space="preserve">A3 Stack layer</t>
  </si>
  <si>
    <t xml:space="preserve">A4 Subsystem</t>
  </si>
  <si>
    <t xml:space="preserve">A5 Use-case</t>
  </si>
  <si>
    <t xml:space="preserve">B1 SEP potential (0-3)</t>
  </si>
  <si>
    <t xml:space="preserve">B2 Standard</t>
  </si>
  <si>
    <t xml:space="preserve">B3 Interface role (0-3)</t>
  </si>
  <si>
    <t xml:space="preserve">C1 Claim type</t>
  </si>
  <si>
    <t xml:space="preserve">C2 Claim breadth (0-3)</t>
  </si>
  <si>
    <t xml:space="preserve">C3 Indep. claim count</t>
  </si>
  <si>
    <t xml:space="preserve">C4 Design-around diff. (0-3)</t>
  </si>
  <si>
    <t xml:space="preserve">D1 External detect. (0-3)</t>
  </si>
  <si>
    <t xml:space="preserve">D2 Teardown detect. (0-3)</t>
  </si>
  <si>
    <t xml:space="preserve">D3 Reads-on-products (0-3)</t>
  </si>
  <si>
    <t xml:space="preserve">E1 Family size</t>
  </si>
  <si>
    <t xml:space="preserve">E2 Prosecution</t>
  </si>
  <si>
    <t xml:space="preserve">E3 Continuation</t>
  </si>
  <si>
    <t xml:space="preserve">E4 Remaining term (yrs)</t>
  </si>
  <si>
    <t xml:space="preserve">E5 Maint. status</t>
  </si>
  <si>
    <t xml:space="preserve">F1 Jurisdictions</t>
  </si>
  <si>
    <t xml:space="preserve">F2 Trilateral (Y/N)</t>
  </si>
  <si>
    <t xml:space="preserve">F3 Major-market score (0-3)</t>
  </si>
  <si>
    <t xml:space="preserve">G1 Convergence theme</t>
  </si>
  <si>
    <t xml:space="preserve">G2 Generation</t>
  </si>
  <si>
    <t xml:space="preserve">G3 Cross-industry (0-3)</t>
  </si>
  <si>
    <t xml:space="preserve">H1 Claim strength (0-3)</t>
  </si>
  <si>
    <t xml:space="preserve">H2 Prior-art exposure (0-3)</t>
  </si>
  <si>
    <t xml:space="preserve">H3 Prosecution risk (0-3)</t>
  </si>
  <si>
    <t xml:space="preserve">H4 Divided-infrgmnt (0-3)</t>
  </si>
  <si>
    <t xml:space="preserve">H5 Fwd citations</t>
  </si>
  <si>
    <t xml:space="preserve">H6 Bwd citations</t>
  </si>
  <si>
    <t xml:space="preserve">H7 Lit/PTAB history</t>
  </si>
  <si>
    <t xml:space="preserve">H8 Chain-of-title</t>
  </si>
  <si>
    <t xml:space="preserve">H10 Encumbrance</t>
  </si>
  <si>
    <t xml:space="preserve">I1 Product-map conf. (0-3)</t>
  </si>
  <si>
    <t xml:space="preserve">I2 Impl. maturity</t>
  </si>
  <si>
    <t xml:space="preserve">I3 Adjacent re-read (0-3)</t>
  </si>
  <si>
    <t xml:space="preserve">I4 Workaround complex. (0-3)</t>
  </si>
  <si>
    <t xml:space="preserve">P-001</t>
  </si>
  <si>
    <t xml:space="preserve">Beamforming pilot signaling for 5G NR</t>
  </si>
  <si>
    <t xml:space="preserve">MIMO, beamforming</t>
  </si>
  <si>
    <t xml:space="preserve">Radio frontend</t>
  </si>
  <si>
    <t xml:space="preserve">Cellular comms</t>
  </si>
  <si>
    <t xml:space="preserve">US, EP, CN, JP, KR</t>
  </si>
  <si>
    <t xml:space="preserve">P-002</t>
  </si>
  <si>
    <t xml:space="preserve">Polar code decoder architecture</t>
  </si>
  <si>
    <t xml:space="preserve">Error correction</t>
  </si>
  <si>
    <t xml:space="preserve">Baseband processor</t>
  </si>
  <si>
    <t xml:space="preserve">Apparatus</t>
  </si>
  <si>
    <t xml:space="preserve">US, EP, CN, KR</t>
  </si>
  <si>
    <t xml:space="preserve">Partial</t>
  </si>
  <si>
    <t xml:space="preserve">P-003</t>
  </si>
  <si>
    <t xml:space="preserve">Adaptive Wi-Fi 7 channel sounding</t>
  </si>
  <si>
    <t xml:space="preserve">OFDMA</t>
  </si>
  <si>
    <t xml:space="preserve">Firmware</t>
  </si>
  <si>
    <t xml:space="preserve">WLAN module</t>
  </si>
  <si>
    <t xml:space="preserve">Indoor connectivity</t>
  </si>
  <si>
    <t xml:space="preserve">IEEE 802.11be</t>
  </si>
  <si>
    <t xml:space="preserve">Mixed</t>
  </si>
  <si>
    <t xml:space="preserve">US, EP, CN</t>
  </si>
  <si>
    <t xml:space="preserve">Next-gen</t>
  </si>
  <si>
    <t xml:space="preserve">Prototyped</t>
  </si>
  <si>
    <t xml:space="preserve">P-004</t>
  </si>
  <si>
    <t xml:space="preserve">Solid-state electrolyte composition for EV batteries</t>
  </si>
  <si>
    <t xml:space="preserve">Battery materials</t>
  </si>
  <si>
    <t xml:space="preserve">Solid-state, ionics</t>
  </si>
  <si>
    <t xml:space="preserve">Battery cell</t>
  </si>
  <si>
    <t xml:space="preserve">EV propulsion</t>
  </si>
  <si>
    <t xml:space="preserve">P-005</t>
  </si>
  <si>
    <t xml:space="preserve">Battery thermal management with phase-change material</t>
  </si>
  <si>
    <t xml:space="preserve">Thermal mgmt</t>
  </si>
  <si>
    <t xml:space="preserve">BMS, materials</t>
  </si>
  <si>
    <t xml:space="preserve">Battery pack</t>
  </si>
  <si>
    <t xml:space="preserve">System</t>
  </si>
  <si>
    <t xml:space="preserve">Non-exclusive licensed</t>
  </si>
  <si>
    <t xml:space="preserve">P-006</t>
  </si>
  <si>
    <t xml:space="preserve">SiC MOSFET inverter control method</t>
  </si>
  <si>
    <t xml:space="preserve">Power electronics</t>
  </si>
  <si>
    <t xml:space="preserve">Wide-bandgap</t>
  </si>
  <si>
    <t xml:space="preserve">Traction inverter</t>
  </si>
  <si>
    <t xml:space="preserve">Minor gaps</t>
  </si>
  <si>
    <t xml:space="preserve">P-007</t>
  </si>
  <si>
    <t xml:space="preserve">On-device CNN quantization for low-power inference</t>
  </si>
  <si>
    <t xml:space="preserve">CV algorithm</t>
  </si>
  <si>
    <t xml:space="preserve">Edge AI, ML</t>
  </si>
  <si>
    <t xml:space="preserve">App</t>
  </si>
  <si>
    <t xml:space="preserve">Vision pipeline</t>
  </si>
  <si>
    <t xml:space="preserve">Smart cameras</t>
  </si>
  <si>
    <t xml:space="preserve">CRM</t>
  </si>
  <si>
    <t xml:space="preserve">Pending</t>
  </si>
  <si>
    <t xml:space="preserve">P-008</t>
  </si>
  <si>
    <t xml:space="preserve">Transformer attention pruning for vision models</t>
  </si>
  <si>
    <t xml:space="preserve">AI optimization</t>
  </si>
  <si>
    <t xml:space="preserve">Inference engine</t>
  </si>
  <si>
    <t xml:space="preserve">Visual analytics</t>
  </si>
  <si>
    <t xml:space="preserve">US, EP</t>
  </si>
  <si>
    <t xml:space="preserve">Edge AI, AI+health</t>
  </si>
  <si>
    <t xml:space="preserve">Idea-only</t>
  </si>
  <si>
    <t xml:space="preserve">P-009</t>
  </si>
  <si>
    <t xml:space="preserve">Visual SLAM for indoor robot navigation</t>
  </si>
  <si>
    <t xml:space="preserve">Robotics SW</t>
  </si>
  <si>
    <t xml:space="preserve">SLAM, CV</t>
  </si>
  <si>
    <t xml:space="preserve">Middleware</t>
  </si>
  <si>
    <t xml:space="preserve">Navigation stack</t>
  </si>
  <si>
    <t xml:space="preserve">US, EP, JP</t>
  </si>
  <si>
    <t xml:space="preserve">Robotics, edge AI</t>
  </si>
  <si>
    <t xml:space="preserve">P-010</t>
  </si>
  <si>
    <t xml:space="preserve">USB-C power delivery handshake extension</t>
  </si>
  <si>
    <t xml:space="preserve">Interconnect</t>
  </si>
  <si>
    <t xml:space="preserve">Power delivery</t>
  </si>
  <si>
    <t xml:space="preserve">Charging interface</t>
  </si>
  <si>
    <t xml:space="preserve">Universal charging</t>
  </si>
  <si>
    <t xml:space="preserve">USB PD 3.x</t>
  </si>
  <si>
    <t xml:space="preserve">P-011</t>
  </si>
  <si>
    <t xml:space="preserve">Atomic layer deposition recipe for high-k dielectric</t>
  </si>
  <si>
    <t xml:space="preserve">Semiconductor process</t>
  </si>
  <si>
    <t xml:space="preserve">ALD, fab</t>
  </si>
  <si>
    <t xml:space="preserve">Front-end-of-line</t>
  </si>
  <si>
    <t xml:space="preserve">IC manufacturing</t>
  </si>
  <si>
    <t xml:space="preserve">US, EP, CN, JP, KR, TW</t>
  </si>
  <si>
    <t xml:space="preserve">P-012</t>
  </si>
  <si>
    <t xml:space="preserve">Predictive maintenance ML for industrial pumps</t>
  </si>
  <si>
    <t xml:space="preserve">Industrial AI</t>
  </si>
  <si>
    <t xml:space="preserve">Predictive analytics</t>
  </si>
  <si>
    <t xml:space="preserve">Cloud</t>
  </si>
  <si>
    <t xml:space="preserve">Asset monitoring</t>
  </si>
  <si>
    <t xml:space="preserve">Predictive maintenance</t>
  </si>
  <si>
    <t xml:space="preserve">AI+industrial</t>
  </si>
  <si>
    <t xml:space="preserve">BAND A — Critical Window (1–2 years remaining)  ·  Buyer targets: NPE-LIT, LIT-FIN  ·  Preset: Short Lifecycle — Critical (1-2yr)</t>
  </si>
  <si>
    <t xml:space="preserve">LTE handover parameter optimization method</t>
  </si>
  <si>
    <t xml:space="preserve">Handover, mobility</t>
  </si>
  <si>
    <t xml:space="preserve">Network handover</t>
  </si>
  <si>
    <t xml:space="preserve">3GPP LTE</t>
  </si>
  <si>
    <t xml:space="preserve">Legacy</t>
  </si>
  <si>
    <t xml:space="preserve">Touch haptic feedback encoding for mobile UI</t>
  </si>
  <si>
    <t xml:space="preserve">UI/UX</t>
  </si>
  <si>
    <t xml:space="preserve">Haptics, touch</t>
  </si>
  <si>
    <t xml:space="preserve">Touch controller</t>
  </si>
  <si>
    <t xml:space="preserve">Mobile UX</t>
  </si>
  <si>
    <t xml:space="preserve">Low-power wake-word detection on microcontrollers</t>
  </si>
  <si>
    <t xml:space="preserve">TinyML, audio</t>
  </si>
  <si>
    <t xml:space="preserve">MCU core</t>
  </si>
  <si>
    <t xml:space="preserve">Voice interface</t>
  </si>
  <si>
    <t xml:space="preserve">US</t>
  </si>
  <si>
    <t xml:space="preserve">Fingerprint sensor anti-spoofing via impedance spectroscopy</t>
  </si>
  <si>
    <t xml:space="preserve">Biometrics</t>
  </si>
  <si>
    <t xml:space="preserve">Sensor, security</t>
  </si>
  <si>
    <t xml:space="preserve">Fingerprint sensor</t>
  </si>
  <si>
    <t xml:space="preserve">Identity auth</t>
  </si>
  <si>
    <t xml:space="preserve">DRAM refresh power optimization algorithm</t>
  </si>
  <si>
    <t xml:space="preserve">Memory</t>
  </si>
  <si>
    <t xml:space="preserve">DRAM, power</t>
  </si>
  <si>
    <t xml:space="preserve">Memory controller</t>
  </si>
  <si>
    <t xml:space="preserve">Low-power memory</t>
  </si>
  <si>
    <t xml:space="preserve">US, KR</t>
  </si>
  <si>
    <t xml:space="preserve">Packet classification with ternary content-addressable memory</t>
  </si>
  <si>
    <t xml:space="preserve">Networking</t>
  </si>
  <si>
    <t xml:space="preserve">TCAM, SDN</t>
  </si>
  <si>
    <t xml:space="preserve">Network ASIC</t>
  </si>
  <si>
    <t xml:space="preserve">Traffic routing</t>
  </si>
  <si>
    <t xml:space="preserve">EV charging session authentication via PLC</t>
  </si>
  <si>
    <t xml:space="preserve">EV charging</t>
  </si>
  <si>
    <t xml:space="preserve">PLC, V2G</t>
  </si>
  <si>
    <t xml:space="preserve">Charging port</t>
  </si>
  <si>
    <t xml:space="preserve">EV charging auth</t>
  </si>
  <si>
    <t xml:space="preserve">EV/Energy</t>
  </si>
  <si>
    <t xml:space="preserve">Predictive battery cell balancing using ML</t>
  </si>
  <si>
    <t xml:space="preserve">Battery mgmt</t>
  </si>
  <si>
    <t xml:space="preserve">BMS, ML</t>
  </si>
  <si>
    <t xml:space="preserve">Battery longevity</t>
  </si>
  <si>
    <t xml:space="preserve">Ultra-wideband indoor localization ranging method</t>
  </si>
  <si>
    <t xml:space="preserve">UWB, ranging</t>
  </si>
  <si>
    <t xml:space="preserve">RF module</t>
  </si>
  <si>
    <t xml:space="preserve">IEEE 802.15.4a</t>
  </si>
  <si>
    <t xml:space="preserve">Adaptive video codec rate control for lossy networks</t>
  </si>
  <si>
    <t xml:space="preserve">Video compression</t>
  </si>
  <si>
    <t xml:space="preserve">AVC, codec</t>
  </si>
  <si>
    <t xml:space="preserve">Video pipeline</t>
  </si>
  <si>
    <t xml:space="preserve">Streaming QoE</t>
  </si>
  <si>
    <t xml:space="preserve">H.264/AVC</t>
  </si>
  <si>
    <t xml:space="preserve">BAND B — Monetization Window (3–5 years remaining)  ·  Buyer targets: NPE-LIT, LIT-FIN, NPE-LIC  ·  Preset: Short Lifecycle — Monetization (3-5yr)</t>
  </si>
  <si>
    <t xml:space="preserve">5G NR downlink HARQ-ACK timing control</t>
  </si>
  <si>
    <t xml:space="preserve">HARQ, 5G NR</t>
  </si>
  <si>
    <t xml:space="preserve">OLED pixel compensation circuit for burn-in prevention</t>
  </si>
  <si>
    <t xml:space="preserve">Display</t>
  </si>
  <si>
    <t xml:space="preserve">OLED, pixel</t>
  </si>
  <si>
    <t xml:space="preserve">Display panel</t>
  </si>
  <si>
    <t xml:space="preserve">Display quality</t>
  </si>
  <si>
    <t xml:space="preserve">US, EP, KR</t>
  </si>
  <si>
    <t xml:space="preserve">Object detection acceleration with sparse convolution</t>
  </si>
  <si>
    <t xml:space="preserve">Sparse conv, ML</t>
  </si>
  <si>
    <t xml:space="preserve">Autonomous perception</t>
  </si>
  <si>
    <t xml:space="preserve">Lithium-sulfur battery electrolyte stabilization</t>
  </si>
  <si>
    <t xml:space="preserve">Li-S, electrolyte</t>
  </si>
  <si>
    <t xml:space="preserve">Energy density</t>
  </si>
  <si>
    <t xml:space="preserve">Private 5G network slice orchestration method</t>
  </si>
  <si>
    <t xml:space="preserve">Network slicing, 5G</t>
  </si>
  <si>
    <t xml:space="preserve">RAN controller</t>
  </si>
  <si>
    <t xml:space="preserve">Private 5G</t>
  </si>
  <si>
    <t xml:space="preserve">3GPP 5G Core</t>
  </si>
  <si>
    <t xml:space="preserve">Secure enclave key derivation for IoT devices</t>
  </si>
  <si>
    <t xml:space="preserve">Security</t>
  </si>
  <si>
    <t xml:space="preserve">HSM, TEE</t>
  </si>
  <si>
    <t xml:space="preserve">Secure element</t>
  </si>
  <si>
    <t xml:space="preserve">Device security</t>
  </si>
  <si>
    <t xml:space="preserve">Multilayer ceramic capacitor dielectric formulation</t>
  </si>
  <si>
    <t xml:space="preserve">Electronic materials</t>
  </si>
  <si>
    <t xml:space="preserve">MLCC, ceramics</t>
  </si>
  <si>
    <t xml:space="preserve">Passive component</t>
  </si>
  <si>
    <t xml:space="preserve">Signal filtering</t>
  </si>
  <si>
    <t xml:space="preserve">US, EP, JP, KR, CN</t>
  </si>
  <si>
    <t xml:space="preserve">Cooperative MIMO precoding in distributed antenna systems</t>
  </si>
  <si>
    <t xml:space="preserve">C-RAN, MIMO</t>
  </si>
  <si>
    <t xml:space="preserve">Real-time LiDAR point cloud compression for autonomous driving</t>
  </si>
  <si>
    <t xml:space="preserve">Sensors</t>
  </si>
  <si>
    <t xml:space="preserve">LiDAR, point cloud</t>
  </si>
  <si>
    <t xml:space="preserve">Sensor fusion</t>
  </si>
  <si>
    <t xml:space="preserve">Autonomous driving</t>
  </si>
  <si>
    <t xml:space="preserve">Thermal interface material with anisotropic conductivity</t>
  </si>
  <si>
    <t xml:space="preserve">TIM, materials</t>
  </si>
  <si>
    <t xml:space="preserve">Thermal module</t>
  </si>
  <si>
    <t xml:space="preserve">Electronics cooling</t>
  </si>
  <si>
    <t xml:space="preserve">BAND C — Strategic Window (6–8 years remaining)  ·  Buyer targets: OC-DEF, NPE-LIC, IP-FUND  ·  Preset: Short Lifecycle — Strategic (6-8yr)</t>
  </si>
  <si>
    <t xml:space="preserve">Wi-Fi 6E multi-BSS OFDMA resource scheduling</t>
  </si>
  <si>
    <t xml:space="preserve">OFDMA, Wi-Fi</t>
  </si>
  <si>
    <t xml:space="preserve">IEEE 802.11ax</t>
  </si>
  <si>
    <t xml:space="preserve">Solid-state LiDAR MEMS mirror resonance control</t>
  </si>
  <si>
    <t xml:space="preserve">MEMS, LiDAR</t>
  </si>
  <si>
    <t xml:space="preserve">LiDAR scanner</t>
  </si>
  <si>
    <t xml:space="preserve">Autonomous sensing</t>
  </si>
  <si>
    <t xml:space="preserve">In-memory computing architecture for DNN inference</t>
  </si>
  <si>
    <t xml:space="preserve">CIM, neuromorphic</t>
  </si>
  <si>
    <t xml:space="preserve">AI acceleration</t>
  </si>
  <si>
    <t xml:space="preserve">Perovskite solar cell stability enhancement method</t>
  </si>
  <si>
    <t xml:space="preserve">Photovoltaics</t>
  </si>
  <si>
    <t xml:space="preserve">Perovskite, PV</t>
  </si>
  <si>
    <t xml:space="preserve">Solar cell</t>
  </si>
  <si>
    <t xml:space="preserve">Energy generation</t>
  </si>
  <si>
    <t xml:space="preserve">Network traffic anomaly detection via federated learning</t>
  </si>
  <si>
    <t xml:space="preserve">FL, anomaly</t>
  </si>
  <si>
    <t xml:space="preserve">Security platform</t>
  </si>
  <si>
    <t xml:space="preserve">Threat detection</t>
  </si>
  <si>
    <t xml:space="preserve">Carbon nanotube field-effect transistor fabrication process</t>
  </si>
  <si>
    <t xml:space="preserve">Semiconductors</t>
  </si>
  <si>
    <t xml:space="preserve">CNT, nano</t>
  </si>
  <si>
    <t xml:space="preserve">Logic gate</t>
  </si>
  <si>
    <t xml:space="preserve">Post-silicon computing</t>
  </si>
  <si>
    <t xml:space="preserve">Dynamic spectrum sharing between 5G NR and LTE coexistence</t>
  </si>
  <si>
    <t xml:space="preserve">DSS, coexistence</t>
  </si>
  <si>
    <t xml:space="preserve">Spectrum efficiency</t>
  </si>
  <si>
    <t xml:space="preserve">3GPP Rel-16</t>
  </si>
  <si>
    <t xml:space="preserve">Adaptive noise cancellation for over-ear headphones</t>
  </si>
  <si>
    <t xml:space="preserve">Audio</t>
  </si>
  <si>
    <t xml:space="preserve">ANC, signal proc</t>
  </si>
  <si>
    <t xml:space="preserve">Audio SoC</t>
  </si>
  <si>
    <t xml:space="preserve">Active noise cancellation</t>
  </si>
  <si>
    <t xml:space="preserve">Blockchain-based supply chain provenance verification</t>
  </si>
  <si>
    <t xml:space="preserve">Blockchain</t>
  </si>
  <si>
    <t xml:space="preserve">DLT, provenance</t>
  </si>
  <si>
    <t xml:space="preserve">Smart contract</t>
  </si>
  <si>
    <t xml:space="preserve">Supply chain trust</t>
  </si>
  <si>
    <t xml:space="preserve">High-efficiency GaN power amplifier for 5G base stations</t>
  </si>
  <si>
    <t xml:space="preserve">GaN, RF power</t>
  </si>
  <si>
    <t xml:space="preserve">RF frontend</t>
  </si>
  <si>
    <t xml:space="preserve">Cellular base station</t>
  </si>
  <si>
    <t xml:space="preserve">Bundle Type</t>
  </si>
  <si>
    <t xml:space="preserve">Value Proposition</t>
  </si>
  <si>
    <t xml:space="preserve">Routing Rule (technical qualification)</t>
  </si>
  <si>
    <t xml:space="preserve">Primary attributes used</t>
  </si>
  <si>
    <t xml:space="preserve">Concentrated coverage in one technical field; useful for entering or fortifying a domain position.</t>
  </si>
  <si>
    <t xml:space="preserve">Patents share the same A1 (primary domain) tag.</t>
  </si>
  <si>
    <t xml:space="preserve">Standard-Essential (SEP)</t>
  </si>
  <si>
    <t xml:space="preserve">Bundle of assets every implementer of the standard must license or design around.</t>
  </si>
  <si>
    <t xml:space="preserve">B1 ≥ 2 AND share same B2 standard.</t>
  </si>
  <si>
    <t xml:space="preserve">Product Architecture</t>
  </si>
  <si>
    <t xml:space="preserve">"Build a product" kit — full vertical coverage across subsystems of one end-product.</t>
  </si>
  <si>
    <t xml:space="preserve">Collectively span ≥ 3 distinct A4 subsystems of one product family.</t>
  </si>
  <si>
    <t xml:space="preserve">Stack Layer</t>
  </si>
  <si>
    <t xml:space="preserve">Targets buyers operating at a specific layer of the technology stack.</t>
  </si>
  <si>
    <t xml:space="preserve">Patents share the same A3 (stack layer).</t>
  </si>
  <si>
    <t xml:space="preserve">Use-Case / Application</t>
  </si>
  <si>
    <t xml:space="preserve">All tools to address one customer problem, even if underlying tech is heterogeneous.</t>
  </si>
  <si>
    <t xml:space="preserve">Patents share at least one A5 (use-case) tag.</t>
  </si>
  <si>
    <t xml:space="preserve">Manufacturing / Process</t>
  </si>
  <si>
    <t xml:space="preserve">Targets fabs, contract manufacturers, equipment makers needing freedom to operate on production methods.</t>
  </si>
  <si>
    <t xml:space="preserve">A1 is a "process" / manufacturing domain (e.g., contains "process" or "fab") AND C1 = Method.</t>
  </si>
  <si>
    <t xml:space="preserve">A1, C1</t>
  </si>
  <si>
    <t xml:space="preserve">Materials &amp; Chemistry</t>
  </si>
  <si>
    <t xml:space="preserve">Focused IP shield around composition, synthesis, and use of a material system.</t>
  </si>
  <si>
    <t xml:space="preserve">A1 is a materials/chemistry domain AND C1 ∈ {Apparatus, Method}.</t>
  </si>
  <si>
    <t xml:space="preserve">Algorithm / Software Method</t>
  </si>
  <si>
    <t xml:space="preserve">Implementation-agnostic methods deployable across many products.</t>
  </si>
  <si>
    <t xml:space="preserve">A3 ∈ {App, Middleware, Cloud} AND C1 ∈ {Method, CRM}.</t>
  </si>
  <si>
    <t xml:space="preserve">A3, C1</t>
  </si>
  <si>
    <t xml:space="preserve">Interoperability / Interface</t>
  </si>
  <si>
    <t xml:space="preserve">Critical chokepoints for any player whose product must talk to others.</t>
  </si>
  <si>
    <t xml:space="preserve">B3 ≥ 2.</t>
  </si>
  <si>
    <t xml:space="preserve">Generational Roadmap</t>
  </si>
  <si>
    <t xml:space="preserve">Buyer picks legacy (cheap defensive) or next-gen (forward-looking offensive).</t>
  </si>
  <si>
    <t xml:space="preserve">Group by G2 (Legacy / Current / Next-gen).</t>
  </si>
  <si>
    <t xml:space="preserve">Claim-Type</t>
  </si>
  <si>
    <t xml:space="preserve">Different enforcement profiles; buyers pick by litigation/licensing strategy.</t>
  </si>
  <si>
    <t xml:space="preserve">Group by C1.</t>
  </si>
  <si>
    <t xml:space="preserve">Detectability</t>
  </si>
  <si>
    <t xml:space="preserve">Litigation-ready bundle — infringement is easy to spot.</t>
  </si>
  <si>
    <t xml:space="preserve">D1 ≥ 2 OR D2 ≥ 2.</t>
  </si>
  <si>
    <t xml:space="preserve">Geographic</t>
  </si>
  <si>
    <t xml:space="preserve">Aligned with the buyer's market footprint and enforcement venues.</t>
  </si>
  <si>
    <t xml:space="preserve">F2 = Yes OR share a defined F1 jurisdiction set.</t>
  </si>
  <si>
    <t xml:space="preserve">F1, F2</t>
  </si>
  <si>
    <t xml:space="preserve">Family-Tree</t>
  </si>
  <si>
    <t xml:space="preserve">Complete families together — parent + continuations + foreign counterparts; avoids fragmented ownership.</t>
  </si>
  <si>
    <t xml:space="preserve">E1 ≥ 2 (bundle by family ID; here approximated by E1 threshold).</t>
  </si>
  <si>
    <t xml:space="preserve">Lifecycle / Remaining Term</t>
  </si>
  <si>
    <t xml:space="preserve">Long-life = strategic; short-life = immediate licensing.</t>
  </si>
  <si>
    <t xml:space="preserve">Bucket by E4: Long (&gt;15), Mid (8-15), Short (&lt;8).</t>
  </si>
  <si>
    <t xml:space="preserve">Foundational + Improvement Stack</t>
  </si>
  <si>
    <t xml:space="preserve">Combines blocking broad claims with defensive narrow follow-ons — design-around becomes hard.</t>
  </si>
  <si>
    <t xml:space="preserve">C2 = 3 (pioneer) + C2 ≤ 1 (improvements) within same A1.</t>
  </si>
  <si>
    <t xml:space="preserve">A1, C2</t>
  </si>
  <si>
    <t xml:space="preserve">Cross-Industry Applicability</t>
  </si>
  <si>
    <t xml:space="preserve">Maximises addressable buyer pool — many industries are potential acquirers.</t>
  </si>
  <si>
    <t xml:space="preserve">G3 ≥ 2.</t>
  </si>
  <si>
    <t xml:space="preserve">Convergent / Emerging Theme</t>
  </si>
  <si>
    <t xml:space="preserve">Aligns with current investment trends; commands attention from active builders.</t>
  </si>
  <si>
    <t xml:space="preserve">Share G1 (convergence theme tag).</t>
  </si>
  <si>
    <t xml:space="preserve">Defensive / Counter-Assertion</t>
  </si>
  <si>
    <t xml:space="preserve">Counter-assertion ammunition — defined by who the patents read on, not just the technology.</t>
  </si>
  <si>
    <t xml:space="preserve">D3 ≥ 2 against the same target entity (qualified by D3 threshold).</t>
  </si>
  <si>
    <t xml:space="preserve">Whitespace / Design-Around</t>
  </si>
  <si>
    <t xml:space="preserve">Closes escape routes around a known core patent / feature.</t>
  </si>
  <si>
    <t xml:space="preserve">Same A1 AND C4 ≥ 2.</t>
  </si>
  <si>
    <t xml:space="preserve">A1, C4</t>
  </si>
  <si>
    <t xml:space="preserve">Prosecution-Status</t>
  </si>
  <si>
    <t xml:space="preserve">Pending applications offer claim-tailoring flexibility for buyers targeting a specific product.</t>
  </si>
  <si>
    <t xml:space="preserve">Group by E2/E3 (e.g., Pending OR E3 = Yes).</t>
  </si>
  <si>
    <t xml:space="preserve">E2, E3</t>
  </si>
  <si>
    <t xml:space="preserve">Anchor-and-Halo</t>
  </si>
  <si>
    <t xml:space="preserve">One or two strong "anchor" patents fortified by narrower halo patents that close design-around routes. Buyer gets a fortified zone, not a single exposed asset.</t>
  </si>
  <si>
    <t xml:space="preserve">At least 1 anchor in bundle with H1=3 AND C2&gt;=2 AND D2&gt;=2. Halo patents share A1 with the anchor and have H1&gt;=1.</t>
  </si>
  <si>
    <t xml:space="preserve">H1, C2, D2, A1</t>
  </si>
  <si>
    <t xml:space="preserve">Picket-Fence / Cluster-Around-Standard</t>
  </si>
  <si>
    <t xml:space="preserve">Multiple narrow patents collectively encircling a known commercial technology or specification — fence formed by the group, not any one patent.</t>
  </si>
  <si>
    <t xml:space="preserve">Patents share A1 or B2 AND each has C4&gt;=1 AND collectively count &gt;=4.</t>
  </si>
  <si>
    <t xml:space="preserve">A1, B2, C4, count</t>
  </si>
  <si>
    <t xml:space="preserve">Strong-Core + Quality-Diluted Tail</t>
  </si>
  <si>
    <t xml:space="preserve">A small set of high-quality assets carries the bundle while a tail provides volume and continuation optionality. Tail patents that would not sell alone find a home alongside anchors.</t>
  </si>
  <si>
    <t xml:space="preserve">Bundle contains both high-quality (H1&gt;=2) and lower-quality (H1&lt;=1) patents within the same A1.</t>
  </si>
  <si>
    <t xml:space="preserve">H1, A1</t>
  </si>
  <si>
    <t xml:space="preserve">Continuation-Live / Claim-Tailorable</t>
  </si>
  <si>
    <t xml:space="preserve">Every patent in the bundle has a live continuation or pending child. Buyer can shape future claims to match a specific target product.</t>
  </si>
  <si>
    <t xml:space="preserve">E3 = "Yes" for all patents in the bundle.</t>
  </si>
  <si>
    <t xml:space="preserve">EoU-Backed / Litigation-Ready</t>
  </si>
  <si>
    <t xml:space="preserve">Every patent ships with an Evidence-of-Use claim chart already mapped to a named product or standard. Buyer skips claim charting and moves directly to assertion/licensing.</t>
  </si>
  <si>
    <t xml:space="preserve">H9 IN {"Partial", "Full"}.</t>
  </si>
  <si>
    <t xml:space="preserve">Survived-Challenge / Battle-Tested</t>
  </si>
  <si>
    <t xml:space="preserve">All patents have survived at least one validity challenge (IPR, EPO opposition, re-exam). Reduces buyer's invalidity risk.</t>
  </si>
  <si>
    <t xml:space="preserve">H7 = "Survived".</t>
  </si>
  <si>
    <t xml:space="preserve">Clean-Chain-of-Title</t>
  </si>
  <si>
    <t xml:space="preserve">All patents have clean ownership chains and no encumbrances. Transacts faster and with lower legal cost.</t>
  </si>
  <si>
    <t xml:space="preserve">H8 = "Clean" AND H10 = "None".</t>
  </si>
  <si>
    <t xml:space="preserve">H8, H10</t>
  </si>
  <si>
    <t xml:space="preserve">High-Citation / Technical-Influence</t>
  </si>
  <si>
    <t xml:space="preserve">Patents with forward citations above a domain threshold. Forward citations are a recognized signal of technical importance and point to obvious future target companies.</t>
  </si>
  <si>
    <t xml:space="preserve">H5 &gt;= threshold (default 15).</t>
  </si>
  <si>
    <t xml:space="preserve">Adjacent-Industry Re-Read</t>
  </si>
  <si>
    <t xml:space="preserve">Patents whose claims can be re-mapped onto products in industries different from the original target — gives the buyer a "second-life" thesis and opens new buyer pools.</t>
  </si>
  <si>
    <t xml:space="preserve">I3 &gt;= 2 AND G3 &gt;= 2.</t>
  </si>
  <si>
    <t xml:space="preserve">I3, G3</t>
  </si>
  <si>
    <t xml:space="preserve">Salvage / Defensive-Volume Lot</t>
  </si>
  <si>
    <t xml:space="preserve">Deliberate volume lot of weak, narrow, or near-expiry patents priced for defensive aggregators or counter-assertion stockpilers. Honest about what it is.</t>
  </si>
  <si>
    <t xml:space="preserve">H1 &lt;= 1 OR E4 &lt; 5 OR H2 &lt;= 1.</t>
  </si>
  <si>
    <t xml:space="preserve">H1, E4, H2</t>
  </si>
  <si>
    <t xml:space="preserve">Pre-Expiry / Last-Window</t>
  </si>
  <si>
    <t xml:space="preserve">Patents with 1-4 years of term remaining grouped for buyers running short-cycle licensing campaigns. Short term is a feature for litigation-finance buyers.</t>
  </si>
  <si>
    <t xml:space="preserve">E4 between 1 and 4.</t>
  </si>
  <si>
    <t xml:space="preserve">Provenance-Coherent</t>
  </si>
  <si>
    <t xml:space="preserve">Patents originating from the same R&amp;D program, inventor group, or acquired sub-business. Shared specifications and consistent terminology reduce claim-construction risk.</t>
  </si>
  <si>
    <t xml:space="preserve">Patents share A1 AND share A4 (proxy for common provenance in this template).</t>
  </si>
  <si>
    <t xml:space="preserve">A1, A4</t>
  </si>
  <si>
    <t xml:space="preserve">Patent</t>
  </si>
  <si>
    <t xml:space="preserve">Bundle Qualification (TRUE = patent qualifies for this bundle)</t>
  </si>
  <si>
    <t xml:space="preserve">Total</t>
  </si>
  <si>
    <t xml:space="preserve"># of bundles</t>
  </si>
  <si>
    <t xml:space="preserve">Coverage depth (# patents)</t>
  </si>
  <si>
    <t xml:space="preserve">Avg Detectability (D1+D2)/2</t>
  </si>
  <si>
    <t xml:space="preserve">Avg Remaining Term (E4)</t>
  </si>
  <si>
    <t xml:space="preserve">Trilateral % (F2=Yes)</t>
  </si>
  <si>
    <t xml:space="preserve">Continuation % (E3=Yes)</t>
  </si>
  <si>
    <t xml:space="preserve">% SEP-flagged (B1≥2)</t>
  </si>
  <si>
    <t xml:space="preserve">Pioneer count (C2=3)</t>
  </si>
  <si>
    <t xml:space="preserve">Strength flag</t>
  </si>
  <si>
    <t xml:space="preserve">BUNDLE A — 5G Wireless PHY SEP Cluster</t>
  </si>
  <si>
    <t xml:space="preserve">Value proposition:</t>
  </si>
  <si>
    <t xml:space="preserve">Buyer gets standards-relevant assets that any 5G NR implementer must license or design around. High enforcement leverage from teardown-detectable hardware claims, trilateral coverage, and one family with active continuation for claim shaping.</t>
  </si>
  <si>
    <t xml:space="preserve">Routing rule:</t>
  </si>
  <si>
    <t xml:space="preserve">B1 ≥ 2 AND share B2 = "3GPP 5G NR". (Bundle Rule #2 — Standard-Essential.)</t>
  </si>
  <si>
    <t xml:space="preserve">A1 Domain</t>
  </si>
  <si>
    <t xml:space="preserve">B2 Standard / G2 Gen.</t>
  </si>
  <si>
    <t xml:space="preserve">E4 Term (yrs)</t>
  </si>
  <si>
    <t xml:space="preserve">F2 Trilateral</t>
  </si>
  <si>
    <t xml:space="preserve">BUNDLE B — Electric Vehicle Powertrain Stack</t>
  </si>
  <si>
    <t xml:space="preserve">"Build-an-EV-powertrain" kit covering battery cell chemistry, pack-level thermal management, and traction inverter control. Cross-subsystem coverage across one product architecture; valuable to an EV OEM, Tier-1 supplier, or cell maker wanting end-to-end FTO.</t>
  </si>
  <si>
    <t xml:space="preserve">Patents collectively span ≥ 3 distinct A4 subsystems of the EV product family. (Bundle Rule #3 — Product Architecture.)</t>
  </si>
  <si>
    <t xml:space="preserve">BUNDLE C — Edge AI / Computer Vision Convergence</t>
  </si>
  <si>
    <t xml:space="preserve">Thematic bundle aligned with the edge-AI investment narrative. Spans algorithmic optimization (quantization, attention pruning) and applied robotics (visual SLAM). Implementation-agnostic methods deployable across smart cameras, robotics, AR/VR, and on-device inference products.</t>
  </si>
  <si>
    <t xml:space="preserve">Patents share G1 convergence theme tag (Edge AI). (Bundle Rule #18 — Convergent / Emerging Theme.)</t>
  </si>
  <si>
    <t xml:space="preserve">BUNDLE COMPOSITION STRATEGIES</t>
  </si>
  <si>
    <t xml:space="preserve">Compositional approaches that sit on top of the 33 bundle types — how to construct, position, and price bundles for a mixed-quality portfolio.</t>
  </si>
  <si>
    <t xml:space="preserve">1. TIERED STRUCTURE (Premium / Standard / Lot)</t>
  </si>
  <si>
    <t xml:space="preserve">For each technology domain, build three tiers from the same patent pool:</t>
  </si>
  <si>
    <t xml:space="preserve">• Premium tier: only patents with H1≥2 AND avg detectability≥2 AND F2=Yes AND E4≥10. Marketed individually with full claim charts.</t>
  </si>
  <si>
    <t xml:space="preserve">• Standard tier: mixed quality, used for thematic / use-case bundles. The workhorses.</t>
  </si>
  <si>
    <t xml:space="preserve">• Lot tier: weak, narrow, near-expiry, or unclassified patents — sold as defensive-volume lots.</t>
  </si>
  <si>
    <t xml:space="preserve">Value of tiering: isolates strong assets so weak ones do not drag the premium narrative down. Each tier has a distinct buyer profile.</t>
  </si>
  <si>
    <t xml:space="preserve">2. ANCHOR-FIRST BUNDLING</t>
  </si>
  <si>
    <t xml:space="preserve">Identify the top 5-10 strongest patents (H1=3, C2≥2, D2≥2). Build each bundle AROUND one anchor; surround it with related supporting patents.</t>
  </si>
  <si>
    <t xml:space="preserve">Every bundle must have a "lead patent" the buyer can latch onto. Bundles without an anchor are restructured or moved to the salvage lot.</t>
  </si>
  <si>
    <t xml:space="preserve">3. STORYLINE BUNDLING</t>
  </si>
  <si>
    <t xml:space="preserve">Group patents that together tell a single technical story: problem → core solution → variants → enhancements → use-case extensions.</t>
  </si>
  <si>
    <t xml:space="preserve">The bundle reads as a self-contained R&amp;D narrative rather than a list. Especially effective for emerging-tech themes (edge AI, EV powertrain, next-gen wireless).</t>
  </si>
  <si>
    <t xml:space="preserve">4. COMPLEMENTARY-WEAKNESS BUNDLING</t>
  </si>
  <si>
    <t xml:space="preserve">Pair patents whose weaknesses cancel: a broad-but-vulnerable patent with a narrow-but-bulletproof patent in the same area.</t>
  </si>
  <si>
    <t xml:space="preserve">If the broad one survives, the buyer has wide coverage. If it is invalidated, the narrow one still bites. The buyer is paying for redundancy.</t>
  </si>
  <si>
    <t xml:space="preserve">5. MODULAR BUNDLING</t>
  </si>
  <si>
    <t xml:space="preserve">Pre-compose 3-4 modules (e.g., RF front-end / baseband / network) that buyers can mix-and-match.</t>
  </si>
  <si>
    <t xml:space="preserve">One marketing pack addresses multiple buyer types. Each module is a stand-alone sellable unit, but composes into larger bundles for serious buyers.</t>
  </si>
  <si>
    <t xml:space="preserve">6. CARVE-IN vs. CARVE-OUT LOGIC</t>
  </si>
  <si>
    <t xml:space="preserve">For each bundle, explicitly mark which patents are CARVED IN (sold only as a unit) and which are FLOATING (could be added on request).</t>
  </si>
  <si>
    <t xml:space="preserve">Prevents buyers from cherry-picking only the best one or two patents.</t>
  </si>
  <si>
    <t xml:space="preserve">7. RESERVE STRATEGY</t>
  </si>
  <si>
    <t xml:space="preserve">Keep the strongest 1-2 patents in each domain out of any bundle. Sell those individually or hold for direct licensing.</t>
  </si>
  <si>
    <t xml:space="preserve">Bundles get tier-2 strength patents — still attractive but does not bleed peak assets at bundle pricing.</t>
  </si>
  <si>
    <t xml:space="preserve">8. CONDITIONAL / BUYER-PROFILE BUNDLING</t>
  </si>
  <si>
    <t xml:space="preserve">Same patents, three different bundle constructions for three buyer types:</t>
  </si>
  <si>
    <t xml:space="preserve">• Operating company: emphasize FTO and product subsystem coverage (Bundle types 3, 4, 9).</t>
  </si>
  <si>
    <t xml:space="preserve">• NPE / litigation buyer: emphasize detectability, EoU charts, survived challenges (Bundles 12, 19, 26, 27).</t>
  </si>
  <si>
    <t xml:space="preserve">• Defensive aggregator: emphasize volume, breadth, low-cost (Bundles 11, 13, 31).</t>
  </si>
  <si>
    <t xml:space="preserve">9. CONTINUATION-OPTIONALITY BUNDLING</t>
  </si>
  <si>
    <t xml:space="preserve">A premium overlay: any bundle that includes patents with E3=Yes gets marketed as "claim-tailorable" — buyer can shape future claims to match their target.</t>
  </si>
  <si>
    <t xml:space="preserve">This single attribute substantially shifts a bundle from "static IP" to "active platform" in buyer perception.</t>
  </si>
  <si>
    <t xml:space="preserve">10. PROVENANCE-COHERENT BUNDLING</t>
  </si>
  <si>
    <t xml:space="preserve">All patents in a bundle originate from the same R&amp;D program, inventor group, or sub-business.</t>
  </si>
  <si>
    <t xml:space="preserve">Shared specifications and consistent terminology reduce claim-construction risk. Critical when buyer experts must digest 30+ patents at once.</t>
  </si>
  <si>
    <t xml:space="preserve">BUNDLE-LEVEL QUALITY GATES (already computed on the Scorecard sheet)</t>
  </si>
  <si>
    <t xml:space="preserve">• Weakest H1 in bundle — bundle is only as strong as its weakest patent.</t>
  </si>
  <si>
    <t xml:space="preserve">• Invalidity exposure % — % of bundle with H2≤1. Above 30% triggers a quality-filter pass.</t>
  </si>
  <si>
    <t xml:space="preserve">• EoU-ready % — % with H9 not None.</t>
  </si>
  <si>
    <t xml:space="preserve">• Survived % — % with H7 = Survived.</t>
  </si>
  <si>
    <t xml:space="preserve">• Continuation-optionality % — % with E3 = Yes.</t>
  </si>
  <si>
    <t xml:space="preserve">PRACTICAL CHECKLIST BEFORE OFFERING A BUNDLE</t>
  </si>
  <si>
    <t xml:space="preserve">• Does the bundle have at least one anchor patent? If no, restructure.</t>
  </si>
  <si>
    <t xml:space="preserve">• Is invalidity exposure under 30%? If no, remove the weakest patents or move to salvage lot.</t>
  </si>
  <si>
    <t xml:space="preserve">• Does every patent have clean chain of title (H8=Clean)? If no, fix or disclose.</t>
  </si>
  <si>
    <t xml:space="preserve">• Is there a coherent technical story across the bundle? If no, split into smaller bundles.</t>
  </si>
  <si>
    <t xml:space="preserve">• Are EoU charts available for at least the anchor(s)? If no, prepare before market.</t>
  </si>
  <si>
    <t xml:space="preserve">• Is the bundle size commercially meaningful (≥3 patents)? Tiny bundles often need to be merged.</t>
  </si>
  <si>
    <t xml:space="preserve">• Is the buyer profile clear? Operating company, NPE, or defensive aggregator — write to that audience.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</si>
</sst>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General"/>
    <numFmt numFmtId="167" formatCode="0.00"/>
    <numFmt numFmtId="168" formatCode="0.0"/>
    <numFmt numFmtId="169" formatCode="0.0%"/>
    <numFmt numFmtId="170" formatCode="0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7B0000"/>
      <name val="Arial"/>
      <family val="0"/>
      <charset val="1"/>
    </font>
    <font>
      <sz val="10"/>
      <color rgb="FFC55A11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B0000"/>
      <name val="Arial"/>
      <family val="0"/>
      <charset val="1"/>
    </font>
    <font>
      <sz val="9"/>
      <color rgb="FF7B0000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C09000"/>
      <name val="Arial"/>
      <family val="0"/>
      <charset val="1"/>
    </font>
    <font>
      <b val="true"/>
      <sz val="10"/>
      <color rgb="FF005B7F"/>
      <name val="Arial"/>
      <family val="0"/>
      <charset val="1"/>
    </font>
    <font>
      <b val="true"/>
      <sz val="9"/>
      <color rgb="FF7B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10"/>
      <color rgb="FF1D6F42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C65911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i val="true"/>
      <sz val="9"/>
      <color rgb="FF548235"/>
      <name val="Arial"/>
      <family val="0"/>
      <charset val="1"/>
    </font>
    <font>
      <i val="true"/>
      <sz val="9"/>
      <color rgb="FFC65911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i val="true"/>
      <sz val="9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1A1A1A"/>
      <name val="Arial"/>
      <family val="0"/>
      <charset val="1"/>
    </font>
  </fonts>
  <fills count="45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D6E4F0"/>
        <bgColor rgb="FFDDEBF7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F2F2F2"/>
      </patternFill>
    </fill>
    <fill>
      <patternFill patternType="solid">
        <fgColor rgb="FF44546A"/>
        <bgColor rgb="FF595959"/>
      </patternFill>
    </fill>
    <fill>
      <patternFill patternType="solid">
        <fgColor rgb="FFE2EFD8"/>
        <bgColor rgb="FFE2EFDA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AF5"/>
      </patternFill>
    </fill>
    <fill>
      <patternFill patternType="solid">
        <fgColor rgb="FFFFF9E6"/>
        <bgColor rgb="FFFFF8EE"/>
      </patternFill>
    </fill>
    <fill>
      <patternFill patternType="solid">
        <fgColor rgb="FFFFF3E0"/>
        <bgColor rgb="FFFFF9E6"/>
      </patternFill>
    </fill>
    <fill>
      <patternFill patternType="solid">
        <fgColor rgb="FFFFF3CD"/>
        <bgColor rgb="FFFFF2CC"/>
      </patternFill>
    </fill>
    <fill>
      <patternFill patternType="solid">
        <fgColor rgb="FF005B7F"/>
        <bgColor rgb="FF1F4E78"/>
      </patternFill>
    </fill>
    <fill>
      <patternFill patternType="solid">
        <fgColor rgb="FFE0F4F9"/>
        <bgColor rgb="FFEBF3FB"/>
      </patternFill>
    </fill>
    <fill>
      <patternFill patternType="solid">
        <fgColor rgb="FF4472C4"/>
        <bgColor rgb="FF2E75B6"/>
      </patternFill>
    </fill>
    <fill>
      <patternFill patternType="solid">
        <fgColor rgb="FF70AD47"/>
        <bgColor rgb="FF548235"/>
      </patternFill>
    </fill>
    <fill>
      <patternFill patternType="solid">
        <fgColor rgb="FF375623"/>
        <bgColor rgb="FF44546A"/>
      </patternFill>
    </fill>
    <fill>
      <patternFill patternType="solid">
        <fgColor rgb="FF548235"/>
        <bgColor rgb="FF595959"/>
      </patternFill>
    </fill>
    <fill>
      <patternFill patternType="darkGray">
        <fgColor rgb="FFC65911"/>
        <bgColor rgb="FFC35E0A"/>
      </patternFill>
    </fill>
    <fill>
      <patternFill patternType="solid">
        <fgColor rgb="FF7B0000"/>
        <bgColor rgb="FF9C0006"/>
      </patternFill>
    </fill>
    <fill>
      <patternFill patternType="solid">
        <fgColor rgb="FF4B0082"/>
        <bgColor rgb="FF1C1C1C"/>
      </patternFill>
    </fill>
    <fill>
      <patternFill patternType="solid">
        <fgColor rgb="FFFFF2CC"/>
        <bgColor rgb="FFFFF3CD"/>
      </patternFill>
    </fill>
    <fill>
      <patternFill patternType="solid">
        <fgColor rgb="FFDDEBF7"/>
        <bgColor rgb="FFD6E4F0"/>
      </patternFill>
    </fill>
    <fill>
      <patternFill patternType="darkGray">
        <fgColor rgb="FF373737"/>
        <bgColor rgb="FF375623"/>
      </patternFill>
    </fill>
    <fill>
      <patternFill patternType="solid">
        <fgColor rgb="FF1F4E78"/>
        <bgColor rgb="FF1F3864"/>
      </patternFill>
    </fill>
    <fill>
      <patternFill patternType="solid">
        <fgColor rgb="FF808080"/>
        <bgColor rgb="FF548235"/>
      </patternFill>
    </fill>
    <fill>
      <patternFill patternType="solid">
        <fgColor rgb="FFE2EFDA"/>
        <bgColor rgb="FFE2EFD8"/>
      </patternFill>
    </fill>
    <fill>
      <patternFill patternType="solid">
        <fgColor rgb="FFC00000"/>
        <bgColor rgb="FF9C0006"/>
      </patternFill>
    </fill>
    <fill>
      <patternFill patternType="solid">
        <fgColor rgb="FFFFF0F0"/>
        <bgColor rgb="FFFCF0F0"/>
      </patternFill>
    </fill>
    <fill>
      <patternFill patternType="solid">
        <fgColor rgb="FFFFF8EE"/>
        <bgColor rgb="FFFFF9E6"/>
      </patternFill>
    </fill>
    <fill>
      <patternFill patternType="solid">
        <fgColor rgb="FFF0F8F0"/>
        <bgColor rgb="FFF5F5F5"/>
      </patternFill>
    </fill>
    <fill>
      <patternFill patternType="solid">
        <fgColor rgb="FFFFF8F8"/>
        <bgColor rgb="FFFFFAF5"/>
      </patternFill>
    </fill>
    <fill>
      <patternFill patternType="solid">
        <fgColor rgb="FFFFFAF5"/>
        <bgColor rgb="FFFFF8F8"/>
      </patternFill>
    </fill>
    <fill>
      <patternFill patternType="solid">
        <fgColor rgb="FFF5FBF5"/>
        <bgColor rgb="FFF0F8F0"/>
      </patternFill>
    </fill>
    <fill>
      <patternFill patternType="solid">
        <fgColor rgb="FFFCF0F0"/>
        <bgColor rgb="FFFFF0F0"/>
      </patternFill>
    </fill>
    <fill>
      <patternFill patternType="solid">
        <fgColor rgb="FFFCE4D6"/>
        <bgColor rgb="FFFFF2CC"/>
      </patternFill>
    </fill>
    <fill>
      <patternFill patternType="solid">
        <fgColor rgb="FF5B9BD5"/>
        <bgColor rgb="FF4472C4"/>
      </patternFill>
    </fill>
    <fill>
      <patternFill patternType="solid">
        <fgColor rgb="FF9DC3E6"/>
        <bgColor rgb="FFBFBFBF"/>
      </patternFill>
    </fill>
    <fill>
      <patternFill patternType="solid">
        <fgColor rgb="FFBDD7EE"/>
        <bgColor rgb="FFCCCCCC"/>
      </patternFill>
    </fill>
    <fill>
      <patternFill patternType="solid">
        <fgColor rgb="FFA9D08E"/>
        <bgColor rgb="FFC6E0B4"/>
      </patternFill>
    </fill>
    <fill>
      <patternFill patternType="solid">
        <fgColor rgb="FFC6E0B4"/>
        <bgColor rgb="FFC6EFCE"/>
      </patternFill>
    </fill>
    <fill>
      <patternFill patternType="solid">
        <fgColor rgb="FFF4B084"/>
        <bgColor rgb="FFFFC7CE"/>
      </patternFill>
    </fill>
    <fill>
      <patternFill patternType="solid">
        <fgColor rgb="FFFFD966"/>
        <bgColor rgb="FFFFEB9C"/>
      </patternFill>
    </fill>
    <fill>
      <patternFill patternType="solid">
        <fgColor rgb="FFF2F2F2"/>
        <bgColor rgb="FFF5F5F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E75B6"/>
      </left>
      <right style="thin">
        <color rgb="FFCCCCCC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2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2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2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3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3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3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3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3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3" fillId="3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2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3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6" fillId="3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3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3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6" fillId="3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8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9" fillId="2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8" fillId="2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3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8" fillId="3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0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1" fillId="2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2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0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3" fillId="3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1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7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8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9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1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7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3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8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3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3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3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1" fillId="4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4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3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2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2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3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3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3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2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2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3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3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color rgb="FF276221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i val="1"/>
        <color rgb="FFA6A6A6"/>
        <sz val="10"/>
      </font>
      <fill>
        <patternFill>
          <bgColor rgb="FFF2F2F2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F0F8F0"/>
      <rgbColor rgb="FF0000FF"/>
      <rgbColor rgb="FFFFF2CC"/>
      <rgbColor rgb="FFFFF3E0"/>
      <rgbColor rgb="FFE2EFDA"/>
      <rgbColor rgb="FF7B0000"/>
      <rgbColor rgb="FF0D6D11"/>
      <rgbColor rgb="FFFFF8F8"/>
      <rgbColor rgb="FF548235"/>
      <rgbColor rgb="FFFFF8EE"/>
      <rgbColor rgb="FF2E75B6"/>
      <rgbColor rgb="FFBFBFBF"/>
      <rgbColor rgb="FF808080"/>
      <rgbColor rgb="FF5B9BD5"/>
      <rgbColor rgb="FFFCF0F0"/>
      <rgbColor rgb="FFFFF3CD"/>
      <rgbColor rgb="FFE0F4F9"/>
      <rgbColor rgb="FF4B0082"/>
      <rgbColor rgb="FFFCE4D6"/>
      <rgbColor rgb="FF005B7F"/>
      <rgbColor rgb="FFBDD7EE"/>
      <rgbColor rgb="FFFFFAF5"/>
      <rgbColor rgb="FFF5F5F5"/>
      <rgbColor rgb="FFC6E0B4"/>
      <rgbColor rgb="FFEBF3FB"/>
      <rgbColor rgb="FFFFF9E6"/>
      <rgbColor rgb="FF9C0006"/>
      <rgbColor rgb="FF44546A"/>
      <rgbColor rgb="FFF5FBF5"/>
      <rgbColor rgb="FFF2F2F2"/>
      <rgbColor rgb="FFDDEBF7"/>
      <rgbColor rgb="FFC6EFCE"/>
      <rgbColor rgb="FFFFEB9C"/>
      <rgbColor rgb="FF9DC3E6"/>
      <rgbColor rgb="FFF4B084"/>
      <rgbColor rgb="FFCCCCCC"/>
      <rgbColor rgb="FFFFC7CE"/>
      <rgbColor rgb="FF4472C4"/>
      <rgbColor rgb="FFD6E4F0"/>
      <rgbColor rgb="FFA9D08E"/>
      <rgbColor rgb="FFFFD966"/>
      <rgbColor rgb="FFE2EFD8"/>
      <rgbColor rgb="FFC65911"/>
      <rgbColor rgb="FF595959"/>
      <rgbColor rgb="FFA6A6A6"/>
      <rgbColor rgb="FF1F3864"/>
      <rgbColor rgb="FF70AD47"/>
      <rgbColor rgb="FF375623"/>
      <rgbColor rgb="FF1C1C1C"/>
      <rgbColor rgb="FFC35E0A"/>
      <rgbColor rgb="FFFFF0F0"/>
      <rgbColor rgb="FF1F4E78"/>
      <rgbColor rgb="FF3737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23.2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5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4" t="s">
        <v>23</v>
      </c>
    </row>
    <row r="29" customFormat="false" ht="15" hidden="false" customHeight="true" outlineLevel="0" collapsed="false">
      <c r="A29" s="4" t="s">
        <v>24</v>
      </c>
    </row>
    <row r="30" customFormat="false" ht="15" hidden="false" customHeight="true" outlineLevel="0" collapsed="false">
      <c r="A30" s="4" t="s">
        <v>25</v>
      </c>
    </row>
    <row r="31" customFormat="false" ht="15" hidden="false" customHeight="true" outlineLevel="0" collapsed="false">
      <c r="A31" s="4"/>
    </row>
    <row r="32" customFormat="false" ht="15" hidden="false" customHeight="true" outlineLevel="0" collapsed="false">
      <c r="A32" s="5" t="s">
        <v>26</v>
      </c>
    </row>
    <row r="33" customFormat="false" ht="15" hidden="false" customHeight="true" outlineLevel="0" collapsed="false">
      <c r="A33" s="4" t="s">
        <v>27</v>
      </c>
    </row>
    <row r="34" customFormat="false" ht="15" hidden="false" customHeight="true" outlineLevel="0" collapsed="false">
      <c r="A34" s="4" t="s">
        <v>28</v>
      </c>
    </row>
    <row r="35" customFormat="false" ht="15" hidden="false" customHeight="true" outlineLevel="0" collapsed="false">
      <c r="A35" s="4" t="s">
        <v>29</v>
      </c>
    </row>
    <row r="37" customFormat="false" ht="15" hidden="false" customHeight="true" outlineLevel="0" collapsed="false">
      <c r="A37" s="5" t="s">
        <v>30</v>
      </c>
    </row>
    <row r="38" customFormat="false" ht="23.25" hidden="false" customHeight="true" outlineLevel="0" collapsed="false">
      <c r="A38" s="4" t="s">
        <v>31</v>
      </c>
    </row>
    <row r="39" customFormat="false" ht="15" hidden="false" customHeight="true" outlineLevel="0" collapsed="false">
      <c r="A39" s="4" t="s">
        <v>32</v>
      </c>
    </row>
    <row r="40" customFormat="false" ht="23.25" hidden="false" customHeight="true" outlineLevel="0" collapsed="false">
      <c r="A40" s="4" t="s">
        <v>33</v>
      </c>
    </row>
    <row r="41" customFormat="false" ht="15" hidden="false" customHeight="true" outlineLevel="0" collapsed="false">
      <c r="A41" s="4" t="s">
        <v>34</v>
      </c>
    </row>
    <row r="42" customFormat="false" ht="23.25" hidden="false" customHeight="true" outlineLevel="0" collapsed="false">
      <c r="A42" s="4" t="s">
        <v>35</v>
      </c>
    </row>
    <row r="44" customFormat="false" ht="15" hidden="false" customHeight="true" outlineLevel="0" collapsed="false">
      <c r="A44" s="5" t="s">
        <v>36</v>
      </c>
    </row>
    <row r="45" customFormat="false" ht="23.25" hidden="false" customHeight="true" outlineLevel="0" collapsed="false">
      <c r="A45" s="4" t="s">
        <v>37</v>
      </c>
    </row>
    <row r="46" customFormat="false" ht="23.25" hidden="false" customHeight="true" outlineLevel="0" collapsed="false">
      <c r="A46" s="4" t="s">
        <v>38</v>
      </c>
    </row>
    <row r="47" customFormat="false" ht="23.25" hidden="false" customHeight="true" outlineLevel="0" collapsed="false">
      <c r="A47" s="4" t="s">
        <v>39</v>
      </c>
    </row>
    <row r="48" customFormat="false" ht="15" hidden="false" customHeight="true" outlineLevel="0" collapsed="false">
      <c r="A48" s="4" t="s">
        <v>40</v>
      </c>
    </row>
    <row r="49" customFormat="false" ht="23.25" hidden="false" customHeight="true" outlineLevel="0" collapsed="false">
      <c r="A49" s="4" t="s">
        <v>41</v>
      </c>
    </row>
    <row r="51" customFormat="false" ht="15" hidden="false" customHeight="true" outlineLevel="0" collapsed="false">
      <c r="A51" s="5" t="s">
        <v>42</v>
      </c>
    </row>
    <row r="52" customFormat="false" ht="15" hidden="false" customHeight="true" outlineLevel="0" collapsed="false">
      <c r="A52" s="4" t="s">
        <v>43</v>
      </c>
    </row>
    <row r="53" customFormat="false" ht="15" hidden="false" customHeight="true" outlineLevel="0" collapsed="false">
      <c r="A53" s="4" t="s">
        <v>44</v>
      </c>
    </row>
    <row r="54" customFormat="false" ht="23.25" hidden="false" customHeight="true" outlineLevel="0" collapsed="false">
      <c r="A54" s="4" t="s">
        <v>45</v>
      </c>
    </row>
    <row r="55" customFormat="false" ht="23.25" hidden="false" customHeight="true" outlineLevel="0" collapsed="false">
      <c r="A55" s="4" t="s">
        <v>46</v>
      </c>
    </row>
    <row r="56" customFormat="false" ht="15" hidden="false" customHeight="true" outlineLevel="0" collapsed="false">
      <c r="A56" s="4" t="s">
        <v>47</v>
      </c>
    </row>
    <row r="58" customFormat="false" ht="15" hidden="false" customHeight="true" outlineLevel="0" collapsed="false">
      <c r="A58" s="5" t="s">
        <v>48</v>
      </c>
    </row>
    <row r="59" customFormat="false" ht="23.25" hidden="false" customHeight="true" outlineLevel="0" collapsed="false">
      <c r="A59" s="4" t="s">
        <v>49</v>
      </c>
    </row>
    <row r="60" customFormat="false" ht="23.25" hidden="false" customHeight="true" outlineLevel="0" collapsed="false">
      <c r="A60" s="4" t="s">
        <v>50</v>
      </c>
    </row>
    <row r="61" customFormat="false" ht="15" hidden="false" customHeight="true" outlineLevel="0" collapsed="false">
      <c r="A61" s="4" t="s">
        <v>51</v>
      </c>
    </row>
    <row r="63" customFormat="false" ht="99.75" hidden="false" customHeight="true" outlineLevel="0" collapsed="false">
      <c r="A63" s="6" t="s">
        <v>52</v>
      </c>
    </row>
    <row r="65" customFormat="false" ht="109.5" hidden="false" customHeight="true" outlineLevel="0" collapsed="false">
      <c r="A65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D2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0" ySplit="39" topLeftCell="AE40" activePane="bottomRight" state="frozen"/>
      <selection pane="topLeft" activeCell="A1" activeCellId="0" sqref="A1"/>
      <selection pane="topRight" activeCell="AE1" activeCellId="0" sqref="AE1"/>
      <selection pane="bottomLeft" activeCell="A40" activeCellId="0" sqref="A4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9" min="8" style="0" width="22"/>
    <col collapsed="false" customWidth="true" hidden="false" outlineLevel="0" max="16" min="10" style="0" width="16"/>
    <col collapsed="false" customWidth="true" hidden="false" outlineLevel="0" max="17" min="17" style="0" width="28"/>
    <col collapsed="false" customWidth="true" hidden="false" outlineLevel="0" max="18" min="18" style="0" width="16"/>
    <col collapsed="false" customWidth="true" hidden="false" outlineLevel="0" max="19" min="19" style="0" width="28"/>
    <col collapsed="false" customWidth="true" hidden="false" outlineLevel="0" max="20" min="20" style="0" width="16"/>
    <col collapsed="false" customWidth="true" hidden="false" outlineLevel="0" max="21" min="21" style="0" width="28"/>
    <col collapsed="false" customWidth="true" hidden="false" outlineLevel="0" max="25" min="22" style="0" width="16"/>
    <col collapsed="false" customWidth="true" hidden="false" outlineLevel="0" max="26" min="26" style="0" width="28"/>
    <col collapsed="false" customWidth="true" hidden="false" outlineLevel="0" max="27" min="27" style="0" width="22"/>
    <col collapsed="false" customWidth="true" hidden="false" outlineLevel="0" max="30" min="28" style="0" width="16"/>
    <col collapsed="false" customWidth="true" hidden="false" outlineLevel="0" max="33" min="31" style="0" width="22"/>
    <col collapsed="false" customWidth="true" hidden="false" outlineLevel="0" max="34" min="34" style="0" width="14"/>
    <col collapsed="false" customWidth="true" hidden="false" outlineLevel="0" max="38" min="35" style="0" width="8"/>
    <col collapsed="false" customWidth="true" hidden="false" outlineLevel="0" max="39" min="39" style="0" width="14"/>
    <col collapsed="false" customWidth="true" hidden="false" outlineLevel="0" max="48" min="40" style="0" width="8"/>
    <col collapsed="false" customWidth="true" hidden="false" outlineLevel="0" max="49" min="49" style="0" width="14"/>
    <col collapsed="false" customWidth="true" hidden="false" outlineLevel="0" max="51" min="50" style="0" width="8"/>
    <col collapsed="false" customWidth="true" hidden="false" outlineLevel="0" max="52" min="52" style="0" width="14"/>
    <col collapsed="false" customWidth="true" hidden="false" outlineLevel="0" max="53" min="53" style="0" width="22"/>
    <col collapsed="false" customWidth="true" hidden="false" outlineLevel="0" max="55" min="54" style="0" width="8"/>
    <col collapsed="false" customWidth="true" hidden="false" outlineLevel="0" max="57" min="56" style="0" width="14"/>
    <col collapsed="false" customWidth="true" hidden="false" outlineLevel="0" max="64" min="58" style="0" width="8"/>
    <col collapsed="false" customWidth="true" hidden="false" outlineLevel="0" max="68" min="65" style="0" width="14"/>
    <col collapsed="false" customWidth="true" hidden="false" outlineLevel="0" max="69" min="69" style="0" width="8"/>
    <col collapsed="false" customWidth="true" hidden="false" outlineLevel="0" max="70" min="70" style="0" width="14"/>
    <col collapsed="false" customWidth="true" hidden="false" outlineLevel="0" max="72" min="71" style="0" width="8"/>
    <col collapsed="false" customWidth="true" hidden="false" outlineLevel="0" max="73" min="73" style="0" width="12"/>
    <col collapsed="false" customWidth="true" hidden="false" outlineLevel="0" max="74" min="74" style="0" width="4"/>
    <col collapsed="false" customWidth="true" hidden="false" outlineLevel="0" max="107" min="75" style="0" width="10"/>
    <col collapsed="false" customWidth="true" hidden="false" outlineLevel="0" max="108" min="108" style="0" width="8"/>
  </cols>
  <sheetData>
    <row r="1" customFormat="false" ht="27.75" hidden="false" customHeight="true" outlineLevel="0" collapsed="false">
      <c r="A1" s="7" t="s">
        <v>54</v>
      </c>
      <c r="B1" s="7"/>
      <c r="C1" s="7"/>
      <c r="D1" s="7"/>
    </row>
    <row r="2" customFormat="false" ht="15.75" hidden="false" customHeight="true" outlineLevel="0" collapsed="false">
      <c r="A2" s="8" t="s">
        <v>55</v>
      </c>
      <c r="B2" s="8"/>
      <c r="C2" s="8"/>
      <c r="D2" s="8"/>
    </row>
    <row r="3" customFormat="false" ht="7.5" hidden="false" customHeight="true" outlineLevel="0" collapsed="false"/>
    <row r="4" customFormat="false" ht="18" hidden="false" customHeight="true" outlineLevel="0" collapsed="false">
      <c r="A4" s="9" t="s">
        <v>56</v>
      </c>
      <c r="B4" s="10" t="s">
        <v>57</v>
      </c>
      <c r="C4" s="10"/>
      <c r="D4" s="10"/>
    </row>
    <row r="5" customFormat="false" ht="18" hidden="false" customHeight="true" outlineLevel="0" collapsed="false">
      <c r="A5" s="9" t="s">
        <v>58</v>
      </c>
      <c r="B5" s="10" t="s">
        <v>59</v>
      </c>
      <c r="C5" s="10"/>
      <c r="D5" s="10"/>
    </row>
    <row r="6" customFormat="false" ht="7.5" hidden="false" customHeight="true" outlineLevel="0" collapsed="false">
      <c r="A6" s="9" t="s">
        <v>60</v>
      </c>
      <c r="B6" s="10" t="s">
        <v>61</v>
      </c>
      <c r="C6" s="10"/>
      <c r="D6" s="10"/>
    </row>
    <row r="7" customFormat="false" ht="18" hidden="false" customHeight="true" outlineLevel="0" collapsed="false">
      <c r="A7" s="9" t="s">
        <v>62</v>
      </c>
      <c r="B7" s="10" t="s">
        <v>63</v>
      </c>
      <c r="C7" s="10"/>
      <c r="D7" s="10"/>
    </row>
    <row r="8" customFormat="false" ht="18" hidden="false" customHeight="true" outlineLevel="0" collapsed="false">
      <c r="A8" s="9" t="s">
        <v>64</v>
      </c>
      <c r="B8" s="10" t="s">
        <v>65</v>
      </c>
      <c r="C8" s="10"/>
      <c r="D8" s="10"/>
    </row>
    <row r="10" customFormat="false" ht="18" hidden="false" customHeight="true" outlineLevel="0" collapsed="false">
      <c r="A10" s="11" t="s">
        <v>66</v>
      </c>
      <c r="B10" s="11"/>
      <c r="C10" s="11"/>
      <c r="D10" s="11"/>
    </row>
    <row r="11" customFormat="false" ht="15.75" hidden="false" customHeight="true" outlineLevel="0" collapsed="false">
      <c r="A11" s="12" t="s">
        <v>67</v>
      </c>
      <c r="B11" s="12" t="s">
        <v>68</v>
      </c>
      <c r="C11" s="12" t="s">
        <v>69</v>
      </c>
      <c r="D11" s="12" t="s">
        <v>70</v>
      </c>
    </row>
    <row r="12" customFormat="false" ht="15" hidden="false" customHeight="true" outlineLevel="0" collapsed="false">
      <c r="A12" s="13" t="s">
        <v>71</v>
      </c>
      <c r="B12" s="14" t="s">
        <v>72</v>
      </c>
      <c r="C12" s="15" t="s">
        <v>73</v>
      </c>
      <c r="D12" s="16" t="s">
        <v>74</v>
      </c>
    </row>
    <row r="13" customFormat="false" ht="15" hidden="false" customHeight="true" outlineLevel="0" collapsed="false">
      <c r="A13" s="13" t="s">
        <v>75</v>
      </c>
      <c r="B13" s="14" t="s">
        <v>76</v>
      </c>
      <c r="C13" s="15" t="s">
        <v>73</v>
      </c>
      <c r="D13" s="17" t="s">
        <v>77</v>
      </c>
    </row>
    <row r="14" customFormat="false" ht="15" hidden="false" customHeight="true" outlineLevel="0" collapsed="false">
      <c r="A14" s="13" t="s">
        <v>78</v>
      </c>
      <c r="B14" s="18" t="s">
        <v>79</v>
      </c>
      <c r="C14" s="15" t="s">
        <v>73</v>
      </c>
      <c r="D14" s="16" t="s">
        <v>80</v>
      </c>
    </row>
    <row r="15" customFormat="false" ht="15" hidden="false" customHeight="true" outlineLevel="0" collapsed="false">
      <c r="A15" s="13" t="s">
        <v>81</v>
      </c>
      <c r="B15" s="18" t="s">
        <v>79</v>
      </c>
      <c r="C15" s="15" t="s">
        <v>73</v>
      </c>
      <c r="D15" s="17" t="s">
        <v>82</v>
      </c>
    </row>
    <row r="16" customFormat="false" ht="15" hidden="false" customHeight="true" outlineLevel="0" collapsed="false">
      <c r="A16" s="13" t="s">
        <v>83</v>
      </c>
      <c r="B16" s="18" t="s">
        <v>79</v>
      </c>
      <c r="C16" s="19" t="s">
        <v>84</v>
      </c>
      <c r="D16" s="16" t="s">
        <v>85</v>
      </c>
    </row>
    <row r="17" customFormat="false" ht="15" hidden="false" customHeight="true" outlineLevel="0" collapsed="false">
      <c r="A17" s="13" t="s">
        <v>86</v>
      </c>
      <c r="B17" s="18" t="s">
        <v>79</v>
      </c>
      <c r="C17" s="19" t="s">
        <v>84</v>
      </c>
      <c r="D17" s="17" t="s">
        <v>87</v>
      </c>
    </row>
    <row r="18" customFormat="false" ht="15" hidden="false" customHeight="true" outlineLevel="0" collapsed="false">
      <c r="A18" s="13" t="s">
        <v>88</v>
      </c>
      <c r="B18" s="14" t="s">
        <v>89</v>
      </c>
      <c r="C18" s="20" t="s">
        <v>90</v>
      </c>
      <c r="D18" s="16" t="s">
        <v>91</v>
      </c>
    </row>
    <row r="19" customFormat="false" ht="15" hidden="false" customHeight="true" outlineLevel="0" collapsed="false">
      <c r="A19" s="13" t="s">
        <v>92</v>
      </c>
      <c r="B19" s="14" t="s">
        <v>93</v>
      </c>
      <c r="C19" s="19" t="s">
        <v>94</v>
      </c>
      <c r="D19" s="17" t="s">
        <v>95</v>
      </c>
    </row>
    <row r="20" customFormat="false" ht="15" hidden="false" customHeight="true" outlineLevel="0" collapsed="false">
      <c r="A20" s="13" t="s">
        <v>96</v>
      </c>
      <c r="B20" s="14" t="s">
        <v>97</v>
      </c>
      <c r="C20" s="21" t="s">
        <v>98</v>
      </c>
      <c r="D20" s="16" t="s">
        <v>99</v>
      </c>
    </row>
    <row r="21" customFormat="false" ht="15" hidden="false" customHeight="true" outlineLevel="0" collapsed="false">
      <c r="A21" s="13" t="s">
        <v>100</v>
      </c>
      <c r="B21" s="14" t="s">
        <v>101</v>
      </c>
      <c r="C21" s="15" t="s">
        <v>73</v>
      </c>
      <c r="D21" s="17" t="s">
        <v>102</v>
      </c>
    </row>
    <row r="22" customFormat="false" ht="15" hidden="false" customHeight="true" outlineLevel="0" collapsed="false">
      <c r="A22" s="13" t="s">
        <v>103</v>
      </c>
      <c r="B22" s="14" t="s">
        <v>76</v>
      </c>
      <c r="C22" s="15" t="s">
        <v>73</v>
      </c>
      <c r="D22" s="16" t="s">
        <v>104</v>
      </c>
    </row>
    <row r="23" customFormat="false" ht="15" hidden="false" customHeight="true" outlineLevel="0" collapsed="false">
      <c r="A23" s="13" t="s">
        <v>105</v>
      </c>
      <c r="B23" s="14" t="s">
        <v>106</v>
      </c>
      <c r="C23" s="15" t="s">
        <v>73</v>
      </c>
      <c r="D23" s="17" t="s">
        <v>107</v>
      </c>
    </row>
    <row r="24" customFormat="false" ht="15" hidden="false" customHeight="true" outlineLevel="0" collapsed="false">
      <c r="A24" s="13" t="s">
        <v>108</v>
      </c>
      <c r="B24" s="14" t="s">
        <v>76</v>
      </c>
      <c r="C24" s="15" t="s">
        <v>73</v>
      </c>
      <c r="D24" s="16" t="s">
        <v>109</v>
      </c>
    </row>
    <row r="25" customFormat="false" ht="15" hidden="false" customHeight="true" outlineLevel="0" collapsed="false">
      <c r="A25" s="13" t="s">
        <v>110</v>
      </c>
      <c r="B25" s="14" t="s">
        <v>106</v>
      </c>
      <c r="C25" s="15" t="s">
        <v>73</v>
      </c>
      <c r="D25" s="17" t="s">
        <v>111</v>
      </c>
    </row>
    <row r="26" customFormat="false" ht="15" hidden="false" customHeight="true" outlineLevel="0" collapsed="false">
      <c r="A26" s="13" t="s">
        <v>112</v>
      </c>
      <c r="B26" s="14" t="s">
        <v>113</v>
      </c>
      <c r="C26" s="19" t="s">
        <v>94</v>
      </c>
      <c r="D26" s="16" t="s">
        <v>114</v>
      </c>
    </row>
    <row r="27" customFormat="false" ht="15" hidden="false" customHeight="true" outlineLevel="0" collapsed="false">
      <c r="A27" s="13" t="s">
        <v>115</v>
      </c>
      <c r="B27" s="14" t="s">
        <v>116</v>
      </c>
      <c r="C27" s="15" t="s">
        <v>73</v>
      </c>
      <c r="D27" s="17" t="s">
        <v>117</v>
      </c>
    </row>
    <row r="28" customFormat="false" ht="15" hidden="false" customHeight="true" outlineLevel="0" collapsed="false">
      <c r="A28" s="13" t="s">
        <v>118</v>
      </c>
      <c r="B28" s="18" t="s">
        <v>79</v>
      </c>
      <c r="C28" s="19" t="s">
        <v>94</v>
      </c>
      <c r="D28" s="16" t="s">
        <v>119</v>
      </c>
    </row>
    <row r="29" customFormat="false" ht="15" hidden="false" customHeight="true" outlineLevel="0" collapsed="false">
      <c r="A29" s="13" t="s">
        <v>120</v>
      </c>
      <c r="B29" s="14" t="s">
        <v>121</v>
      </c>
      <c r="C29" s="19" t="s">
        <v>94</v>
      </c>
      <c r="D29" s="17" t="s">
        <v>122</v>
      </c>
    </row>
    <row r="30" customFormat="false" ht="15" hidden="false" customHeight="true" outlineLevel="0" collapsed="false">
      <c r="A30" s="13" t="s">
        <v>123</v>
      </c>
      <c r="B30" s="14" t="s">
        <v>124</v>
      </c>
      <c r="C30" s="19" t="s">
        <v>94</v>
      </c>
      <c r="D30" s="16" t="s">
        <v>125</v>
      </c>
    </row>
    <row r="31" customFormat="false" ht="15" hidden="false" customHeight="true" outlineLevel="0" collapsed="false">
      <c r="A31" s="13" t="s">
        <v>126</v>
      </c>
      <c r="B31" s="14" t="s">
        <v>127</v>
      </c>
      <c r="C31" s="19" t="s">
        <v>94</v>
      </c>
      <c r="D31" s="17" t="s">
        <v>128</v>
      </c>
    </row>
    <row r="32" customFormat="false" ht="15" hidden="false" customHeight="true" outlineLevel="0" collapsed="false">
      <c r="A32" s="13" t="s">
        <v>129</v>
      </c>
      <c r="B32" s="18" t="s">
        <v>79</v>
      </c>
      <c r="C32" s="15" t="s">
        <v>73</v>
      </c>
      <c r="D32" s="16" t="s">
        <v>130</v>
      </c>
    </row>
    <row r="33" customFormat="false" ht="15" hidden="false" customHeight="true" outlineLevel="0" collapsed="false">
      <c r="A33" s="13" t="s">
        <v>131</v>
      </c>
      <c r="B33" s="14" t="s">
        <v>132</v>
      </c>
      <c r="C33" s="15" t="s">
        <v>73</v>
      </c>
      <c r="D33" s="17" t="s">
        <v>133</v>
      </c>
    </row>
    <row r="34" customFormat="false" ht="15" hidden="false" customHeight="true" outlineLevel="0" collapsed="false">
      <c r="A34" s="13" t="s">
        <v>134</v>
      </c>
      <c r="B34" s="14" t="s">
        <v>106</v>
      </c>
      <c r="C34" s="15" t="s">
        <v>73</v>
      </c>
      <c r="D34" s="16" t="s">
        <v>135</v>
      </c>
    </row>
    <row r="35" customFormat="false" ht="9.75" hidden="false" customHeight="true" outlineLevel="0" collapsed="false">
      <c r="A35" s="13" t="s">
        <v>136</v>
      </c>
      <c r="B35" s="14" t="s">
        <v>137</v>
      </c>
      <c r="C35" s="15" t="s">
        <v>73</v>
      </c>
      <c r="D35" s="17" t="s">
        <v>138</v>
      </c>
    </row>
    <row r="36" customFormat="false" ht="19.5" hidden="false" customHeight="true" outlineLevel="0" collapsed="false">
      <c r="A36" s="22" t="s">
        <v>139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3" t="s">
        <v>140</v>
      </c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</row>
    <row r="37" customFormat="false" ht="15" hidden="false" customHeight="true" outlineLevel="0" collapsed="false">
      <c r="A37" s="24" t="s">
        <v>141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5" t="s">
        <v>142</v>
      </c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6" t="s">
        <v>143</v>
      </c>
      <c r="BV37" s="26"/>
      <c r="BW37" s="27" t="s">
        <v>144</v>
      </c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</row>
    <row r="38" customFormat="false" ht="30" hidden="false" customHeight="true" outlineLevel="0" collapsed="false">
      <c r="A38" s="28" t="s">
        <v>145</v>
      </c>
      <c r="B38" s="28"/>
      <c r="C38" s="28"/>
      <c r="D38" s="28"/>
      <c r="E38" s="28"/>
      <c r="AE38" s="29" t="s">
        <v>146</v>
      </c>
      <c r="AF38" s="29"/>
      <c r="AG38" s="29" t="s">
        <v>147</v>
      </c>
      <c r="AH38" s="29"/>
      <c r="AI38" s="29"/>
      <c r="AJ38" s="29"/>
      <c r="AK38" s="29"/>
      <c r="AL38" s="30" t="s">
        <v>148</v>
      </c>
      <c r="AM38" s="30"/>
      <c r="AN38" s="30"/>
      <c r="AO38" s="31" t="s">
        <v>149</v>
      </c>
      <c r="AP38" s="31"/>
      <c r="AQ38" s="31"/>
      <c r="AR38" s="31"/>
      <c r="AS38" s="32" t="s">
        <v>150</v>
      </c>
      <c r="AT38" s="32"/>
      <c r="AU38" s="32"/>
      <c r="AV38" s="33" t="s">
        <v>151</v>
      </c>
      <c r="AW38" s="33"/>
      <c r="AX38" s="33"/>
      <c r="AY38" s="33"/>
      <c r="AZ38" s="33"/>
      <c r="BA38" s="34" t="s">
        <v>152</v>
      </c>
      <c r="BB38" s="34"/>
      <c r="BC38" s="34"/>
      <c r="BD38" s="35" t="s">
        <v>153</v>
      </c>
      <c r="BE38" s="35"/>
      <c r="BF38" s="35"/>
      <c r="BG38" s="36" t="s">
        <v>154</v>
      </c>
      <c r="BH38" s="36"/>
      <c r="BI38" s="36"/>
      <c r="BJ38" s="36"/>
      <c r="BK38" s="36"/>
      <c r="BL38" s="36"/>
      <c r="BM38" s="36"/>
      <c r="BN38" s="36"/>
      <c r="BO38" s="36"/>
      <c r="BP38" s="36"/>
      <c r="BQ38" s="37" t="s">
        <v>155</v>
      </c>
      <c r="BR38" s="37"/>
      <c r="BS38" s="37"/>
      <c r="BT38" s="37"/>
    </row>
    <row r="39" customFormat="false" ht="30" hidden="false" customHeight="true" outlineLevel="0" collapsed="false">
      <c r="A39" s="38" t="s">
        <v>156</v>
      </c>
      <c r="B39" s="38" t="s">
        <v>157</v>
      </c>
      <c r="C39" s="38" t="s">
        <v>158</v>
      </c>
      <c r="D39" s="38" t="s">
        <v>159</v>
      </c>
      <c r="E39" s="38" t="s">
        <v>160</v>
      </c>
      <c r="F39" s="39" t="s">
        <v>71</v>
      </c>
      <c r="G39" s="39" t="s">
        <v>75</v>
      </c>
      <c r="H39" s="39" t="s">
        <v>78</v>
      </c>
      <c r="I39" s="39" t="s">
        <v>81</v>
      </c>
      <c r="J39" s="39" t="s">
        <v>83</v>
      </c>
      <c r="K39" s="39" t="s">
        <v>86</v>
      </c>
      <c r="L39" s="39" t="s">
        <v>88</v>
      </c>
      <c r="M39" s="39" t="s">
        <v>92</v>
      </c>
      <c r="N39" s="39" t="s">
        <v>96</v>
      </c>
      <c r="O39" s="39" t="s">
        <v>100</v>
      </c>
      <c r="P39" s="39" t="s">
        <v>103</v>
      </c>
      <c r="Q39" s="39" t="s">
        <v>105</v>
      </c>
      <c r="R39" s="39" t="s">
        <v>108</v>
      </c>
      <c r="S39" s="39" t="s">
        <v>110</v>
      </c>
      <c r="T39" s="39" t="s">
        <v>112</v>
      </c>
      <c r="U39" s="39" t="s">
        <v>115</v>
      </c>
      <c r="V39" s="39" t="s">
        <v>118</v>
      </c>
      <c r="W39" s="39" t="s">
        <v>120</v>
      </c>
      <c r="X39" s="39" t="s">
        <v>123</v>
      </c>
      <c r="Y39" s="39" t="s">
        <v>126</v>
      </c>
      <c r="Z39" s="39" t="s">
        <v>129</v>
      </c>
      <c r="AA39" s="39" t="s">
        <v>131</v>
      </c>
      <c r="AB39" s="39" t="s">
        <v>134</v>
      </c>
      <c r="AC39" s="39" t="s">
        <v>136</v>
      </c>
      <c r="AD39" s="39" t="s">
        <v>161</v>
      </c>
      <c r="AE39" s="39" t="s">
        <v>72</v>
      </c>
      <c r="AF39" s="39" t="s">
        <v>75</v>
      </c>
      <c r="AG39" s="39" t="s">
        <v>132</v>
      </c>
      <c r="AH39" s="39" t="s">
        <v>106</v>
      </c>
      <c r="AI39" s="40" t="s">
        <v>162</v>
      </c>
      <c r="AJ39" s="40" t="s">
        <v>163</v>
      </c>
      <c r="AK39" s="40" t="s">
        <v>164</v>
      </c>
      <c r="AL39" s="40" t="s">
        <v>165</v>
      </c>
      <c r="AM39" s="40" t="s">
        <v>166</v>
      </c>
      <c r="AN39" s="40" t="s">
        <v>167</v>
      </c>
      <c r="AO39" s="40" t="s">
        <v>168</v>
      </c>
      <c r="AP39" s="40" t="s">
        <v>169</v>
      </c>
      <c r="AQ39" s="39" t="s">
        <v>127</v>
      </c>
      <c r="AR39" s="40" t="s">
        <v>170</v>
      </c>
      <c r="AS39" s="40" t="s">
        <v>171</v>
      </c>
      <c r="AT39" s="40" t="s">
        <v>172</v>
      </c>
      <c r="AU39" s="40" t="s">
        <v>173</v>
      </c>
      <c r="AV39" s="39" t="s">
        <v>113</v>
      </c>
      <c r="AW39" s="39" t="s">
        <v>97</v>
      </c>
      <c r="AX39" s="40" t="s">
        <v>174</v>
      </c>
      <c r="AY39" s="39" t="s">
        <v>93</v>
      </c>
      <c r="AZ39" s="39" t="s">
        <v>101</v>
      </c>
      <c r="BA39" s="39" t="s">
        <v>116</v>
      </c>
      <c r="BB39" s="40" t="s">
        <v>175</v>
      </c>
      <c r="BC39" s="40" t="s">
        <v>176</v>
      </c>
      <c r="BD39" s="40" t="s">
        <v>177</v>
      </c>
      <c r="BE39" s="40" t="s">
        <v>178</v>
      </c>
      <c r="BF39" s="40" t="s">
        <v>179</v>
      </c>
      <c r="BG39" s="40" t="s">
        <v>180</v>
      </c>
      <c r="BH39" s="40" t="s">
        <v>181</v>
      </c>
      <c r="BI39" s="40" t="s">
        <v>182</v>
      </c>
      <c r="BJ39" s="40" t="s">
        <v>183</v>
      </c>
      <c r="BK39" s="39" t="s">
        <v>121</v>
      </c>
      <c r="BL39" s="39" t="s">
        <v>124</v>
      </c>
      <c r="BM39" s="39" t="s">
        <v>184</v>
      </c>
      <c r="BN39" s="40" t="s">
        <v>185</v>
      </c>
      <c r="BO39" s="40" t="s">
        <v>186</v>
      </c>
      <c r="BP39" s="40" t="s">
        <v>187</v>
      </c>
      <c r="BQ39" s="40" t="s">
        <v>188</v>
      </c>
      <c r="BR39" s="40" t="s">
        <v>189</v>
      </c>
      <c r="BS39" s="40" t="s">
        <v>190</v>
      </c>
      <c r="BT39" s="40" t="s">
        <v>191</v>
      </c>
      <c r="BU39" s="41" t="s">
        <v>192</v>
      </c>
      <c r="BW39" s="42" t="s">
        <v>193</v>
      </c>
      <c r="BX39" s="42" t="s">
        <v>194</v>
      </c>
      <c r="BY39" s="42" t="s">
        <v>195</v>
      </c>
      <c r="BZ39" s="42" t="s">
        <v>196</v>
      </c>
      <c r="CA39" s="42" t="s">
        <v>197</v>
      </c>
      <c r="CB39" s="42" t="s">
        <v>198</v>
      </c>
      <c r="CC39" s="42" t="s">
        <v>199</v>
      </c>
      <c r="CD39" s="42" t="s">
        <v>200</v>
      </c>
      <c r="CE39" s="42" t="s">
        <v>201</v>
      </c>
      <c r="CF39" s="42" t="s">
        <v>202</v>
      </c>
      <c r="CG39" s="42" t="s">
        <v>203</v>
      </c>
      <c r="CH39" s="42" t="s">
        <v>204</v>
      </c>
      <c r="CI39" s="42" t="s">
        <v>205</v>
      </c>
      <c r="CJ39" s="42" t="s">
        <v>206</v>
      </c>
      <c r="CK39" s="42" t="s">
        <v>207</v>
      </c>
      <c r="CL39" s="42" t="s">
        <v>208</v>
      </c>
      <c r="CM39" s="42" t="s">
        <v>209</v>
      </c>
      <c r="CN39" s="42" t="s">
        <v>210</v>
      </c>
      <c r="CO39" s="42" t="s">
        <v>211</v>
      </c>
      <c r="CP39" s="42" t="s">
        <v>212</v>
      </c>
      <c r="CQ39" s="42" t="s">
        <v>213</v>
      </c>
      <c r="CR39" s="42" t="s">
        <v>214</v>
      </c>
      <c r="CS39" s="42" t="s">
        <v>215</v>
      </c>
      <c r="CT39" s="42" t="s">
        <v>216</v>
      </c>
      <c r="CU39" s="42" t="s">
        <v>217</v>
      </c>
      <c r="CV39" s="42" t="s">
        <v>218</v>
      </c>
      <c r="CW39" s="42" t="s">
        <v>219</v>
      </c>
      <c r="CX39" s="42" t="s">
        <v>220</v>
      </c>
      <c r="CY39" s="42" t="s">
        <v>221</v>
      </c>
      <c r="CZ39" s="42" t="s">
        <v>222</v>
      </c>
      <c r="DA39" s="42" t="s">
        <v>223</v>
      </c>
      <c r="DB39" s="42" t="s">
        <v>224</v>
      </c>
      <c r="DC39" s="42" t="s">
        <v>225</v>
      </c>
      <c r="DD39" s="43" t="s">
        <v>226</v>
      </c>
    </row>
    <row r="40" customFormat="false" ht="15" hidden="false" customHeight="true" outlineLevel="0" collapsed="false">
      <c r="A40" s="18" t="n">
        <v>1</v>
      </c>
      <c r="B40" s="44"/>
      <c r="C40" s="44"/>
      <c r="D40" s="44"/>
      <c r="E40" s="44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6" t="str">
        <f aca="false">IFERROR(IF(F40&lt;&gt;"",F40,""),"")</f>
        <v/>
      </c>
      <c r="AF40" s="46" t="str">
        <f aca="false">IFERROR(IF(G40&lt;&gt;"",G40,""),"")</f>
        <v/>
      </c>
      <c r="AG40" s="46" t="str">
        <f aca="false">IFERROR(IF(AA40&lt;&gt;"",AA40,IF(R40&lt;&gt;"",R40,"")),"")</f>
        <v/>
      </c>
      <c r="AH40" s="46" t="str">
        <f aca="false">IFERROR(IF(AB40&lt;&gt;"",AB40,IF(S40&lt;&gt;"",S40,"")),"")</f>
        <v/>
      </c>
      <c r="AI40" s="47"/>
      <c r="AJ40" s="47"/>
      <c r="AK40" s="47"/>
      <c r="AL40" s="47"/>
      <c r="AM40" s="47"/>
      <c r="AN40" s="47"/>
      <c r="AO40" s="47"/>
      <c r="AP40" s="47"/>
      <c r="AQ40" s="46" t="str">
        <f aca="false">IFERROR(IF(Y40&lt;&gt;"",VALUE(Y40),""),"")</f>
        <v/>
      </c>
      <c r="AR40" s="47"/>
      <c r="AS40" s="47"/>
      <c r="AT40" s="47"/>
      <c r="AU40" s="47"/>
      <c r="AV40" s="46" t="str">
        <f aca="false">IFERROR(IF(T40&lt;&gt;"",VALUE(T40),""),"")</f>
        <v/>
      </c>
      <c r="AW40" s="46" t="str">
        <f aca="false">IFERROR(IF(N40="","",IF(OR(ISNUMBER(SEARCH("grant",N40)),ISNUMBER(SEARCH("B",AC40))),"Granted",IF(OR(ISNUMBER(SEARCH("pend",N40)),ISNUMBER(SEARCH("A",AC40))),"Pending",IF(ISNUMBER(SEARCH("expir",N40)),"Expired",N40)))),"")</f>
        <v/>
      </c>
      <c r="AX40" s="47"/>
      <c r="AY40" s="46" t="str">
        <f aca="true">IFERROR(IF(M40&lt;&gt;"",ROUND(VALUE(M40),1),IF(L40&lt;&gt;"",ROUND(MAX(0,(DATEVALUE(TEXT(L40,"YYYY-MM-DD"))-TODAY())/365.25),1),"")),"")</f>
        <v/>
      </c>
      <c r="AZ40" s="46" t="str">
        <f aca="false">IFERROR(IF(O40&lt;&gt;"",O40,""),"")</f>
        <v/>
      </c>
      <c r="BA40" s="46" t="str">
        <f aca="false">IFERROR(IF(U40&lt;&gt;"",SUBSTITUTE(SUBSTITUTE(U40,"; ",", "),";",","),""),"")</f>
        <v/>
      </c>
      <c r="BB40" s="47"/>
      <c r="BC40" s="47"/>
      <c r="BD40" s="47"/>
      <c r="BE40" s="47"/>
      <c r="BF40" s="47"/>
      <c r="BG40" s="47"/>
      <c r="BH40" s="47"/>
      <c r="BI40" s="47"/>
      <c r="BJ40" s="47"/>
      <c r="BK40" s="46" t="str">
        <f aca="false">IFERROR(IF(W40&lt;&gt;"",VALUE(W40),""),"")</f>
        <v/>
      </c>
      <c r="BL40" s="46" t="str">
        <f aca="false">IFERROR(IF(X40&lt;&gt;"",VALUE(X40),""),"")</f>
        <v/>
      </c>
      <c r="BM40" s="46" t="str">
        <f aca="false">IFERROR(IF(AD40="","None",IF(ISNUMBER(SEARCH("surv",AD40)),"Survived",IF(ISNUMBER(SEARCH("pend",AD40)),"Pending",IF(ISNUMBER(SEARCH("yes",AD40)),"Pending","None")))),"None")</f>
        <v>None</v>
      </c>
      <c r="BN40" s="47"/>
      <c r="BO40" s="47"/>
      <c r="BP40" s="47"/>
      <c r="BQ40" s="47"/>
      <c r="BR40" s="47"/>
      <c r="BS40" s="47"/>
      <c r="BT40" s="47"/>
      <c r="BU40" s="48" t="n">
        <f aca="false">IFERROR(COUNTA(AE40:BT40)/42,0)</f>
        <v>0.30952380952381</v>
      </c>
      <c r="BV40" s="49"/>
      <c r="BW40" s="50" t="b">
        <f aca="false">IF(Configuration!$C$10="No","",IFERROR(IF(AG40&lt;&gt;"",TRUE(),FALSE()),FALSE()))</f>
        <v>0</v>
      </c>
      <c r="BX40" s="50" t="b">
        <f aca="false">IF(Configuration!$C$11="No","",IFERROR(IF(AND(N(AL40)&gt;=Configuration!$C$44,AM40&lt;&gt;""),TRUE(),FALSE()),FALSE()))</f>
        <v>0</v>
      </c>
      <c r="BY40" s="50" t="b">
        <f aca="false">IF(Configuration!$C$12="No","",IFERROR(IF(AJ40&lt;&gt;"",TRUE(),FALSE()),FALSE()))</f>
        <v>0</v>
      </c>
      <c r="BZ40" s="50" t="b">
        <f aca="false">IF(Configuration!$C$13="No","",IFERROR(IF(AI40&lt;&gt;"",TRUE(),FALSE()),FALSE()))</f>
        <v>0</v>
      </c>
      <c r="CA40" s="50" t="b">
        <f aca="false">IF(Configuration!$C$14="No","",IFERROR(IF(AK40&lt;&gt;"",TRUE(),FALSE()),FALSE()))</f>
        <v>0</v>
      </c>
      <c r="CB40" s="50" t="b">
        <f aca="false">IF(Configuration!$C$15="No","",IFERROR(IF(AND(OR(ISNUMBER(SEARCH("process",AG40)),ISNUMBER(SEARCH("fab",AG40)),ISNUMBER(SEARCH("manufac",AG40))),AO40="Method"),TRUE(),FALSE()),FALSE()))</f>
        <v>0</v>
      </c>
      <c r="CC40" s="50" t="b">
        <f aca="false">IF(Configuration!$C$16="No","",IFERROR(IF(AND(OR(ISNUMBER(SEARCH("material",AG40)),ISNUMBER(SEARCH("chem",AG40)),ISNUMBER(SEARCH("battery",AG40)),ISNUMBER(SEARCH("electrolyte",AG40)),ISNUMBER(SEARCH("polymer",AG40))),OR(AO40="Apparatus",AO40="Method")),TRUE(),FALSE()),FALSE()))</f>
        <v>0</v>
      </c>
      <c r="CD40" s="50" t="b">
        <f aca="false">IF(Configuration!$C$17="No","",IFERROR(IF(AND(OR(AI40="App",AI40="Middleware",AI40="Cloud"),OR(AO40="Method",AO40="CRM")),TRUE(),FALSE()),FALSE()))</f>
        <v>0</v>
      </c>
      <c r="CE40" s="50" t="b">
        <f aca="false">IF(Configuration!$C$18="No","",IFERROR(IF(N(AN40)&gt;=Configuration!$C$45,TRUE(),FALSE()),FALSE()))</f>
        <v>0</v>
      </c>
      <c r="CF40" s="50" t="b">
        <f aca="false">IF(Configuration!$C$19="No","",IFERROR(IF(BE40&lt;&gt;"",TRUE(),FALSE()),FALSE()))</f>
        <v>0</v>
      </c>
      <c r="CG40" s="50" t="b">
        <f aca="false">IF(Configuration!$C$20="No","",IFERROR(IF(AO40&lt;&gt;"",TRUE(),FALSE()),FALSE()))</f>
        <v>0</v>
      </c>
      <c r="CH40" s="50" t="b">
        <f aca="false">IF(Configuration!$C$21="No","",IFERROR(IF(OR(N(AS40)&gt;=Configuration!$C$46,N(AT40)&gt;=Configuration!$C$47),TRUE(),FALSE()),FALSE()))</f>
        <v>0</v>
      </c>
      <c r="CI40" s="50" t="b">
        <f aca="false">IF(Configuration!$C$22="No","",IFERROR(IF(BB40="Yes",TRUE(),FALSE()),FALSE()))</f>
        <v>0</v>
      </c>
      <c r="CJ40" s="50" t="b">
        <f aca="false">IF(Configuration!$C$23="No","",IFERROR(IF(N(AV40)&gt;=Configuration!$C$48,TRUE(),FALSE()),FALSE()))</f>
        <v>0</v>
      </c>
      <c r="CK40" s="50" t="b">
        <f aca="false">IF(Configuration!$C$24="No","",IFERROR(IF(N(AY40)&gt;0,TRUE(),FALSE()),FALSE()))</f>
        <v>0</v>
      </c>
      <c r="CL40" s="50" t="b">
        <f aca="false">IF(Configuration!$C$25="No","",IFERROR(IF(OR(N(AP40)=3,N(AP40)&lt;=1),TRUE(),FALSE()),FALSE()))</f>
        <v>1</v>
      </c>
      <c r="CM40" s="50" t="b">
        <f aca="false">IF(Configuration!$C$26="No","",IFERROR(IF(N(BF40)&gt;=Configuration!$C$49,TRUE(),FALSE()),FALSE()))</f>
        <v>0</v>
      </c>
      <c r="CN40" s="50" t="b">
        <f aca="false">IF(Configuration!$C$27="No","",IFERROR(IF(BD40&lt;&gt;"",TRUE(),FALSE()),FALSE()))</f>
        <v>0</v>
      </c>
      <c r="CO40" s="50" t="b">
        <f aca="false">IF(Configuration!$C$28="No","",IFERROR(IF(N(AU40)&gt;=Configuration!$C$50,TRUE(),FALSE()),FALSE()))</f>
        <v>0</v>
      </c>
      <c r="CP40" s="50" t="b">
        <f aca="false">IF(Configuration!$C$29="No","",IFERROR(IF(AND(N(AR40)&gt;=Configuration!$C$51,AG40&lt;&gt;""),TRUE(),FALSE()),FALSE()))</f>
        <v>0</v>
      </c>
      <c r="CQ40" s="50" t="b">
        <f aca="false">IF(Configuration!$C$30="No","",IFERROR(IF(OR(AW40="Pending",AX40="Yes"),TRUE(),FALSE()),FALSE()))</f>
        <v>0</v>
      </c>
      <c r="CR40" s="50" t="b">
        <f aca="false">IF(Configuration!$C$31="No","",IFERROR(IF(AND(N(BG40)&gt;=Configuration!$C$52,N(AP40)&gt;=1),TRUE(),FALSE()),FALSE()))</f>
        <v>0</v>
      </c>
      <c r="CS40" s="50" t="b">
        <f aca="false">IF(Configuration!$C$32="No","",IFERROR(IF(AND(N(AR40)&gt;=1,OR(AG40&lt;&gt;"",AM40&lt;&gt;"")),TRUE(),FALSE()),FALSE()))</f>
        <v>0</v>
      </c>
      <c r="CT40" s="50" t="b">
        <f aca="false">IF(Configuration!$C$33="No","",IFERROR(IF(AG40&lt;&gt;"",TRUE(),FALSE()),FALSE()))</f>
        <v>0</v>
      </c>
      <c r="CU40" s="50" t="b">
        <f aca="false">IF(Configuration!$C$34="No","",IFERROR(IF(AX40="Yes",TRUE(),FALSE()),FALSE()))</f>
        <v>0</v>
      </c>
      <c r="CV40" s="50" t="b">
        <f aca="false">IF(Configuration!$C$35="No","",IFERROR(IF(OR(BO40="Partial",BO40="Full"),TRUE(),FALSE()),FALSE()))</f>
        <v>0</v>
      </c>
      <c r="CW40" s="50" t="b">
        <f aca="false">IF(Configuration!$C$36="No","",IFERROR(IF(BM40="Survived",TRUE(),FALSE()),FALSE()))</f>
        <v>0</v>
      </c>
      <c r="CX40" s="50" t="b">
        <f aca="false">IF(Configuration!$C$37="No","",IFERROR(IF(AND(BN40="Clean",BP40="None"),TRUE(),FALSE()),FALSE()))</f>
        <v>0</v>
      </c>
      <c r="CY40" s="50" t="b">
        <f aca="false">IF(Configuration!$C$38="No","",IFERROR(IF(N(BK40)&gt;=Configuration!$C$53,TRUE(),FALSE()),FALSE()))</f>
        <v>0</v>
      </c>
      <c r="CZ40" s="50" t="b">
        <f aca="false">IF(Configuration!$C$39="No","",IFERROR(IF(AND(N(BS40)&gt;=2,N(BF40)&gt;=2),TRUE(),FALSE()),FALSE()))</f>
        <v>0</v>
      </c>
      <c r="DA40" s="50" t="b">
        <f aca="false">IF(Configuration!$C$40="No","",IFERROR(IF(OR(N(BG40)&lt;=Configuration!$C$56,N(AY40)&lt;Configuration!$C$57,N(BH40)&lt;=Configuration!$C$58),TRUE(),FALSE()),FALSE()))</f>
        <v>1</v>
      </c>
      <c r="DB40" s="50" t="b">
        <f aca="false">IF(Configuration!$C$41="No","",IFERROR(IF(AND(N(AY40)&gt;=Configuration!$C$54,N(AY40)&lt;=Configuration!$C$55),TRUE(),FALSE()),FALSE()))</f>
        <v>0</v>
      </c>
      <c r="DC40" s="50" t="b">
        <f aca="false">IF(Configuration!$C$42="No","",IFERROR(IF(AND(AG40&lt;&gt;"",AJ40&lt;&gt;""),TRUE(),FALSE()),FALSE()))</f>
        <v>0</v>
      </c>
      <c r="DD40" s="51" t="n">
        <f aca="false">COUNTIF(BW40:DC40,TRUE())</f>
        <v>2</v>
      </c>
    </row>
    <row r="41" customFormat="false" ht="15" hidden="false" customHeight="true" outlineLevel="0" collapsed="false">
      <c r="A41" s="18" t="n">
        <v>2</v>
      </c>
      <c r="B41" s="44"/>
      <c r="C41" s="44"/>
      <c r="D41" s="44"/>
      <c r="E41" s="44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6" t="str">
        <f aca="false">IFERROR(IF(F41&lt;&gt;"",F41,""),"")</f>
        <v/>
      </c>
      <c r="AF41" s="46" t="str">
        <f aca="false">IFERROR(IF(G41&lt;&gt;"",G41,""),"")</f>
        <v/>
      </c>
      <c r="AG41" s="46" t="str">
        <f aca="false">IFERROR(IF(AA41&lt;&gt;"",AA41,IF(R41&lt;&gt;"",R41,"")),"")</f>
        <v/>
      </c>
      <c r="AH41" s="46" t="str">
        <f aca="false">IFERROR(IF(AB41&lt;&gt;"",AB41,IF(S41&lt;&gt;"",S41,"")),"")</f>
        <v/>
      </c>
      <c r="AI41" s="47"/>
      <c r="AJ41" s="47"/>
      <c r="AK41" s="47"/>
      <c r="AL41" s="47"/>
      <c r="AM41" s="47"/>
      <c r="AN41" s="47"/>
      <c r="AO41" s="47"/>
      <c r="AP41" s="47"/>
      <c r="AQ41" s="46" t="str">
        <f aca="false">IFERROR(IF(Y41&lt;&gt;"",VALUE(Y41),""),"")</f>
        <v/>
      </c>
      <c r="AR41" s="47"/>
      <c r="AS41" s="47"/>
      <c r="AT41" s="47"/>
      <c r="AU41" s="47"/>
      <c r="AV41" s="46" t="str">
        <f aca="false">IFERROR(IF(T41&lt;&gt;"",VALUE(T41),""),"")</f>
        <v/>
      </c>
      <c r="AW41" s="46" t="str">
        <f aca="false">IFERROR(IF(N41="","",IF(OR(ISNUMBER(SEARCH("grant",N41)),ISNUMBER(SEARCH("B",AC41))),"Granted",IF(OR(ISNUMBER(SEARCH("pend",N41)),ISNUMBER(SEARCH("A",AC41))),"Pending",IF(ISNUMBER(SEARCH("expir",N41)),"Expired",N41)))),"")</f>
        <v/>
      </c>
      <c r="AX41" s="47"/>
      <c r="AY41" s="46" t="str">
        <f aca="true">IFERROR(IF(M41&lt;&gt;"",ROUND(VALUE(M41),1),IF(L41&lt;&gt;"",ROUND(MAX(0,(DATEVALUE(TEXT(L41,"YYYY-MM-DD"))-TODAY())/365.25),1),"")),"")</f>
        <v/>
      </c>
      <c r="AZ41" s="46" t="str">
        <f aca="false">IFERROR(IF(O41&lt;&gt;"",O41,""),"")</f>
        <v/>
      </c>
      <c r="BA41" s="46" t="str">
        <f aca="false">IFERROR(IF(U41&lt;&gt;"",SUBSTITUTE(SUBSTITUTE(U41,"; ",", "),";",","),""),"")</f>
        <v/>
      </c>
      <c r="BB41" s="47"/>
      <c r="BC41" s="47"/>
      <c r="BD41" s="47"/>
      <c r="BE41" s="47"/>
      <c r="BF41" s="47"/>
      <c r="BG41" s="47"/>
      <c r="BH41" s="47"/>
      <c r="BI41" s="47"/>
      <c r="BJ41" s="47"/>
      <c r="BK41" s="46" t="str">
        <f aca="false">IFERROR(IF(W41&lt;&gt;"",VALUE(W41),""),"")</f>
        <v/>
      </c>
      <c r="BL41" s="46" t="str">
        <f aca="false">IFERROR(IF(X41&lt;&gt;"",VALUE(X41),""),"")</f>
        <v/>
      </c>
      <c r="BM41" s="46" t="str">
        <f aca="false">IFERROR(IF(AD41="","None",IF(ISNUMBER(SEARCH("surv",AD41)),"Survived",IF(ISNUMBER(SEARCH("pend",AD41)),"Pending",IF(ISNUMBER(SEARCH("yes",AD41)),"Pending","None")))),"None")</f>
        <v>None</v>
      </c>
      <c r="BN41" s="47"/>
      <c r="BO41" s="47"/>
      <c r="BP41" s="47"/>
      <c r="BQ41" s="47"/>
      <c r="BR41" s="47"/>
      <c r="BS41" s="47"/>
      <c r="BT41" s="47"/>
      <c r="BU41" s="48" t="n">
        <f aca="false">IFERROR(COUNTA(AE41:BT41)/42,0)</f>
        <v>0.30952380952381</v>
      </c>
      <c r="BV41" s="49"/>
      <c r="BW41" s="50" t="b">
        <f aca="false">IF(Configuration!$C$10="No","",IFERROR(IF(AG41&lt;&gt;"",TRUE(),FALSE()),FALSE()))</f>
        <v>0</v>
      </c>
      <c r="BX41" s="50" t="b">
        <f aca="false">IF(Configuration!$C$11="No","",IFERROR(IF(AND(N(AL41)&gt;=Configuration!$C$44,AM41&lt;&gt;""),TRUE(),FALSE()),FALSE()))</f>
        <v>0</v>
      </c>
      <c r="BY41" s="50" t="b">
        <f aca="false">IF(Configuration!$C$12="No","",IFERROR(IF(AJ41&lt;&gt;"",TRUE(),FALSE()),FALSE()))</f>
        <v>0</v>
      </c>
      <c r="BZ41" s="50" t="b">
        <f aca="false">IF(Configuration!$C$13="No","",IFERROR(IF(AI41&lt;&gt;"",TRUE(),FALSE()),FALSE()))</f>
        <v>0</v>
      </c>
      <c r="CA41" s="50" t="b">
        <f aca="false">IF(Configuration!$C$14="No","",IFERROR(IF(AK41&lt;&gt;"",TRUE(),FALSE()),FALSE()))</f>
        <v>0</v>
      </c>
      <c r="CB41" s="50" t="b">
        <f aca="false">IF(Configuration!$C$15="No","",IFERROR(IF(AND(OR(ISNUMBER(SEARCH("process",AG41)),ISNUMBER(SEARCH("fab",AG41)),ISNUMBER(SEARCH("manufac",AG41))),AO41="Method"),TRUE(),FALSE()),FALSE()))</f>
        <v>0</v>
      </c>
      <c r="CC41" s="50" t="b">
        <f aca="false">IF(Configuration!$C$16="No","",IFERROR(IF(AND(OR(ISNUMBER(SEARCH("material",AG41)),ISNUMBER(SEARCH("chem",AG41)),ISNUMBER(SEARCH("battery",AG41)),ISNUMBER(SEARCH("electrolyte",AG41)),ISNUMBER(SEARCH("polymer",AG41))),OR(AO41="Apparatus",AO41="Method")),TRUE(),FALSE()),FALSE()))</f>
        <v>0</v>
      </c>
      <c r="CD41" s="50" t="b">
        <f aca="false">IF(Configuration!$C$17="No","",IFERROR(IF(AND(OR(AI41="App",AI41="Middleware",AI41="Cloud"),OR(AO41="Method",AO41="CRM")),TRUE(),FALSE()),FALSE()))</f>
        <v>0</v>
      </c>
      <c r="CE41" s="50" t="b">
        <f aca="false">IF(Configuration!$C$18="No","",IFERROR(IF(N(AN41)&gt;=Configuration!$C$45,TRUE(),FALSE()),FALSE()))</f>
        <v>0</v>
      </c>
      <c r="CF41" s="50" t="b">
        <f aca="false">IF(Configuration!$C$19="No","",IFERROR(IF(BE41&lt;&gt;"",TRUE(),FALSE()),FALSE()))</f>
        <v>0</v>
      </c>
      <c r="CG41" s="50" t="b">
        <f aca="false">IF(Configuration!$C$20="No","",IFERROR(IF(AO41&lt;&gt;"",TRUE(),FALSE()),FALSE()))</f>
        <v>0</v>
      </c>
      <c r="CH41" s="50" t="b">
        <f aca="false">IF(Configuration!$C$21="No","",IFERROR(IF(OR(N(AS41)&gt;=Configuration!$C$46,N(AT41)&gt;=Configuration!$C$47),TRUE(),FALSE()),FALSE()))</f>
        <v>0</v>
      </c>
      <c r="CI41" s="50" t="b">
        <f aca="false">IF(Configuration!$C$22="No","",IFERROR(IF(BB41="Yes",TRUE(),FALSE()),FALSE()))</f>
        <v>0</v>
      </c>
      <c r="CJ41" s="50" t="b">
        <f aca="false">IF(Configuration!$C$23="No","",IFERROR(IF(N(AV41)&gt;=Configuration!$C$48,TRUE(),FALSE()),FALSE()))</f>
        <v>0</v>
      </c>
      <c r="CK41" s="50" t="b">
        <f aca="false">IF(Configuration!$C$24="No","",IFERROR(IF(N(AY41)&gt;0,TRUE(),FALSE()),FALSE()))</f>
        <v>0</v>
      </c>
      <c r="CL41" s="50" t="b">
        <f aca="false">IF(Configuration!$C$25="No","",IFERROR(IF(OR(N(AP41)=3,N(AP41)&lt;=1),TRUE(),FALSE()),FALSE()))</f>
        <v>1</v>
      </c>
      <c r="CM41" s="50" t="b">
        <f aca="false">IF(Configuration!$C$26="No","",IFERROR(IF(N(BF41)&gt;=Configuration!$C$49,TRUE(),FALSE()),FALSE()))</f>
        <v>0</v>
      </c>
      <c r="CN41" s="50" t="b">
        <f aca="false">IF(Configuration!$C$27="No","",IFERROR(IF(BD41&lt;&gt;"",TRUE(),FALSE()),FALSE()))</f>
        <v>0</v>
      </c>
      <c r="CO41" s="50" t="b">
        <f aca="false">IF(Configuration!$C$28="No","",IFERROR(IF(N(AU41)&gt;=Configuration!$C$50,TRUE(),FALSE()),FALSE()))</f>
        <v>0</v>
      </c>
      <c r="CP41" s="50" t="b">
        <f aca="false">IF(Configuration!$C$29="No","",IFERROR(IF(AND(N(AR41)&gt;=Configuration!$C$51,AG41&lt;&gt;""),TRUE(),FALSE()),FALSE()))</f>
        <v>0</v>
      </c>
      <c r="CQ41" s="50" t="b">
        <f aca="false">IF(Configuration!$C$30="No","",IFERROR(IF(OR(AW41="Pending",AX41="Yes"),TRUE(),FALSE()),FALSE()))</f>
        <v>0</v>
      </c>
      <c r="CR41" s="50" t="b">
        <f aca="false">IF(Configuration!$C$31="No","",IFERROR(IF(AND(N(BG41)&gt;=Configuration!$C$52,N(AP41)&gt;=1),TRUE(),FALSE()),FALSE()))</f>
        <v>0</v>
      </c>
      <c r="CS41" s="50" t="b">
        <f aca="false">IF(Configuration!$C$32="No","",IFERROR(IF(AND(N(AR41)&gt;=1,OR(AG41&lt;&gt;"",AM41&lt;&gt;"")),TRUE(),FALSE()),FALSE()))</f>
        <v>0</v>
      </c>
      <c r="CT41" s="50" t="b">
        <f aca="false">IF(Configuration!$C$33="No","",IFERROR(IF(AG41&lt;&gt;"",TRUE(),FALSE()),FALSE()))</f>
        <v>0</v>
      </c>
      <c r="CU41" s="50" t="b">
        <f aca="false">IF(Configuration!$C$34="No","",IFERROR(IF(AX41="Yes",TRUE(),FALSE()),FALSE()))</f>
        <v>0</v>
      </c>
      <c r="CV41" s="50" t="b">
        <f aca="false">IF(Configuration!$C$35="No","",IFERROR(IF(OR(BO41="Partial",BO41="Full"),TRUE(),FALSE()),FALSE()))</f>
        <v>0</v>
      </c>
      <c r="CW41" s="50" t="b">
        <f aca="false">IF(Configuration!$C$36="No","",IFERROR(IF(BM41="Survived",TRUE(),FALSE()),FALSE()))</f>
        <v>0</v>
      </c>
      <c r="CX41" s="50" t="b">
        <f aca="false">IF(Configuration!$C$37="No","",IFERROR(IF(AND(BN41="Clean",BP41="None"),TRUE(),FALSE()),FALSE()))</f>
        <v>0</v>
      </c>
      <c r="CY41" s="50" t="b">
        <f aca="false">IF(Configuration!$C$38="No","",IFERROR(IF(N(BK41)&gt;=Configuration!$C$53,TRUE(),FALSE()),FALSE()))</f>
        <v>0</v>
      </c>
      <c r="CZ41" s="50" t="b">
        <f aca="false">IF(Configuration!$C$39="No","",IFERROR(IF(AND(N(BS41)&gt;=2,N(BF41)&gt;=2),TRUE(),FALSE()),FALSE()))</f>
        <v>0</v>
      </c>
      <c r="DA41" s="50" t="b">
        <f aca="false">IF(Configuration!$C$40="No","",IFERROR(IF(OR(N(BG41)&lt;=Configuration!$C$56,N(AY41)&lt;Configuration!$C$57,N(BH41)&lt;=Configuration!$C$58),TRUE(),FALSE()),FALSE()))</f>
        <v>1</v>
      </c>
      <c r="DB41" s="50" t="b">
        <f aca="false">IF(Configuration!$C$41="No","",IFERROR(IF(AND(N(AY41)&gt;=Configuration!$C$54,N(AY41)&lt;=Configuration!$C$55),TRUE(),FALSE()),FALSE()))</f>
        <v>0</v>
      </c>
      <c r="DC41" s="50" t="b">
        <f aca="false">IF(Configuration!$C$42="No","",IFERROR(IF(AND(AG41&lt;&gt;"",AJ41&lt;&gt;""),TRUE(),FALSE()),FALSE()))</f>
        <v>0</v>
      </c>
      <c r="DD41" s="51" t="n">
        <f aca="false">COUNTIF(BW41:DC41,TRUE())</f>
        <v>2</v>
      </c>
    </row>
    <row r="42" customFormat="false" ht="15" hidden="false" customHeight="true" outlineLevel="0" collapsed="false">
      <c r="A42" s="18" t="n">
        <v>3</v>
      </c>
      <c r="B42" s="44"/>
      <c r="C42" s="44"/>
      <c r="D42" s="44"/>
      <c r="E42" s="44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6" t="str">
        <f aca="false">IFERROR(IF(F42&lt;&gt;"",F42,""),"")</f>
        <v/>
      </c>
      <c r="AF42" s="46" t="str">
        <f aca="false">IFERROR(IF(G42&lt;&gt;"",G42,""),"")</f>
        <v/>
      </c>
      <c r="AG42" s="46" t="str">
        <f aca="false">IFERROR(IF(AA42&lt;&gt;"",AA42,IF(R42&lt;&gt;"",R42,"")),"")</f>
        <v/>
      </c>
      <c r="AH42" s="46" t="str">
        <f aca="false">IFERROR(IF(AB42&lt;&gt;"",AB42,IF(S42&lt;&gt;"",S42,"")),"")</f>
        <v/>
      </c>
      <c r="AI42" s="47"/>
      <c r="AJ42" s="47"/>
      <c r="AK42" s="47"/>
      <c r="AL42" s="47"/>
      <c r="AM42" s="47"/>
      <c r="AN42" s="47"/>
      <c r="AO42" s="47"/>
      <c r="AP42" s="47"/>
      <c r="AQ42" s="46" t="str">
        <f aca="false">IFERROR(IF(Y42&lt;&gt;"",VALUE(Y42),""),"")</f>
        <v/>
      </c>
      <c r="AR42" s="47"/>
      <c r="AS42" s="47"/>
      <c r="AT42" s="47"/>
      <c r="AU42" s="47"/>
      <c r="AV42" s="46" t="str">
        <f aca="false">IFERROR(IF(T42&lt;&gt;"",VALUE(T42),""),"")</f>
        <v/>
      </c>
      <c r="AW42" s="46" t="str">
        <f aca="false">IFERROR(IF(N42="","",IF(OR(ISNUMBER(SEARCH("grant",N42)),ISNUMBER(SEARCH("B",AC42))),"Granted",IF(OR(ISNUMBER(SEARCH("pend",N42)),ISNUMBER(SEARCH("A",AC42))),"Pending",IF(ISNUMBER(SEARCH("expir",N42)),"Expired",N42)))),"")</f>
        <v/>
      </c>
      <c r="AX42" s="47"/>
      <c r="AY42" s="46" t="str">
        <f aca="true">IFERROR(IF(M42&lt;&gt;"",ROUND(VALUE(M42),1),IF(L42&lt;&gt;"",ROUND(MAX(0,(DATEVALUE(TEXT(L42,"YYYY-MM-DD"))-TODAY())/365.25),1),"")),"")</f>
        <v/>
      </c>
      <c r="AZ42" s="46" t="str">
        <f aca="false">IFERROR(IF(O42&lt;&gt;"",O42,""),"")</f>
        <v/>
      </c>
      <c r="BA42" s="46" t="str">
        <f aca="false">IFERROR(IF(U42&lt;&gt;"",SUBSTITUTE(SUBSTITUTE(U42,"; ",", "),";",","),""),"")</f>
        <v/>
      </c>
      <c r="BB42" s="47"/>
      <c r="BC42" s="47"/>
      <c r="BD42" s="47"/>
      <c r="BE42" s="47"/>
      <c r="BF42" s="47"/>
      <c r="BG42" s="47"/>
      <c r="BH42" s="47"/>
      <c r="BI42" s="47"/>
      <c r="BJ42" s="47"/>
      <c r="BK42" s="46" t="str">
        <f aca="false">IFERROR(IF(W42&lt;&gt;"",VALUE(W42),""),"")</f>
        <v/>
      </c>
      <c r="BL42" s="46" t="str">
        <f aca="false">IFERROR(IF(X42&lt;&gt;"",VALUE(X42),""),"")</f>
        <v/>
      </c>
      <c r="BM42" s="46" t="str">
        <f aca="false">IFERROR(IF(AD42="","None",IF(ISNUMBER(SEARCH("surv",AD42)),"Survived",IF(ISNUMBER(SEARCH("pend",AD42)),"Pending",IF(ISNUMBER(SEARCH("yes",AD42)),"Pending","None")))),"None")</f>
        <v>None</v>
      </c>
      <c r="BN42" s="47"/>
      <c r="BO42" s="47"/>
      <c r="BP42" s="47"/>
      <c r="BQ42" s="47"/>
      <c r="BR42" s="47"/>
      <c r="BS42" s="47"/>
      <c r="BT42" s="47"/>
      <c r="BU42" s="48" t="n">
        <f aca="false">IFERROR(COUNTA(AE42:BT42)/42,0)</f>
        <v>0.30952380952381</v>
      </c>
      <c r="BV42" s="49"/>
      <c r="BW42" s="50" t="b">
        <f aca="false">IF(Configuration!$C$10="No","",IFERROR(IF(AG42&lt;&gt;"",TRUE(),FALSE()),FALSE()))</f>
        <v>0</v>
      </c>
      <c r="BX42" s="50" t="b">
        <f aca="false">IF(Configuration!$C$11="No","",IFERROR(IF(AND(N(AL42)&gt;=Configuration!$C$44,AM42&lt;&gt;""),TRUE(),FALSE()),FALSE()))</f>
        <v>0</v>
      </c>
      <c r="BY42" s="50" t="b">
        <f aca="false">IF(Configuration!$C$12="No","",IFERROR(IF(AJ42&lt;&gt;"",TRUE(),FALSE()),FALSE()))</f>
        <v>0</v>
      </c>
      <c r="BZ42" s="50" t="b">
        <f aca="false">IF(Configuration!$C$13="No","",IFERROR(IF(AI42&lt;&gt;"",TRUE(),FALSE()),FALSE()))</f>
        <v>0</v>
      </c>
      <c r="CA42" s="50" t="b">
        <f aca="false">IF(Configuration!$C$14="No","",IFERROR(IF(AK42&lt;&gt;"",TRUE(),FALSE()),FALSE()))</f>
        <v>0</v>
      </c>
      <c r="CB42" s="50" t="b">
        <f aca="false">IF(Configuration!$C$15="No","",IFERROR(IF(AND(OR(ISNUMBER(SEARCH("process",AG42)),ISNUMBER(SEARCH("fab",AG42)),ISNUMBER(SEARCH("manufac",AG42))),AO42="Method"),TRUE(),FALSE()),FALSE()))</f>
        <v>0</v>
      </c>
      <c r="CC42" s="50" t="b">
        <f aca="false">IF(Configuration!$C$16="No","",IFERROR(IF(AND(OR(ISNUMBER(SEARCH("material",AG42)),ISNUMBER(SEARCH("chem",AG42)),ISNUMBER(SEARCH("battery",AG42)),ISNUMBER(SEARCH("electrolyte",AG42)),ISNUMBER(SEARCH("polymer",AG42))),OR(AO42="Apparatus",AO42="Method")),TRUE(),FALSE()),FALSE()))</f>
        <v>0</v>
      </c>
      <c r="CD42" s="50" t="b">
        <f aca="false">IF(Configuration!$C$17="No","",IFERROR(IF(AND(OR(AI42="App",AI42="Middleware",AI42="Cloud"),OR(AO42="Method",AO42="CRM")),TRUE(),FALSE()),FALSE()))</f>
        <v>0</v>
      </c>
      <c r="CE42" s="50" t="b">
        <f aca="false">IF(Configuration!$C$18="No","",IFERROR(IF(N(AN42)&gt;=Configuration!$C$45,TRUE(),FALSE()),FALSE()))</f>
        <v>0</v>
      </c>
      <c r="CF42" s="50" t="b">
        <f aca="false">IF(Configuration!$C$19="No","",IFERROR(IF(BE42&lt;&gt;"",TRUE(),FALSE()),FALSE()))</f>
        <v>0</v>
      </c>
      <c r="CG42" s="50" t="b">
        <f aca="false">IF(Configuration!$C$20="No","",IFERROR(IF(AO42&lt;&gt;"",TRUE(),FALSE()),FALSE()))</f>
        <v>0</v>
      </c>
      <c r="CH42" s="50" t="b">
        <f aca="false">IF(Configuration!$C$21="No","",IFERROR(IF(OR(N(AS42)&gt;=Configuration!$C$46,N(AT42)&gt;=Configuration!$C$47),TRUE(),FALSE()),FALSE()))</f>
        <v>0</v>
      </c>
      <c r="CI42" s="50" t="b">
        <f aca="false">IF(Configuration!$C$22="No","",IFERROR(IF(BB42="Yes",TRUE(),FALSE()),FALSE()))</f>
        <v>0</v>
      </c>
      <c r="CJ42" s="50" t="b">
        <f aca="false">IF(Configuration!$C$23="No","",IFERROR(IF(N(AV42)&gt;=Configuration!$C$48,TRUE(),FALSE()),FALSE()))</f>
        <v>0</v>
      </c>
      <c r="CK42" s="50" t="b">
        <f aca="false">IF(Configuration!$C$24="No","",IFERROR(IF(N(AY42)&gt;0,TRUE(),FALSE()),FALSE()))</f>
        <v>0</v>
      </c>
      <c r="CL42" s="50" t="b">
        <f aca="false">IF(Configuration!$C$25="No","",IFERROR(IF(OR(N(AP42)=3,N(AP42)&lt;=1),TRUE(),FALSE()),FALSE()))</f>
        <v>1</v>
      </c>
      <c r="CM42" s="50" t="b">
        <f aca="false">IF(Configuration!$C$26="No","",IFERROR(IF(N(BF42)&gt;=Configuration!$C$49,TRUE(),FALSE()),FALSE()))</f>
        <v>0</v>
      </c>
      <c r="CN42" s="50" t="b">
        <f aca="false">IF(Configuration!$C$27="No","",IFERROR(IF(BD42&lt;&gt;"",TRUE(),FALSE()),FALSE()))</f>
        <v>0</v>
      </c>
      <c r="CO42" s="50" t="b">
        <f aca="false">IF(Configuration!$C$28="No","",IFERROR(IF(N(AU42)&gt;=Configuration!$C$50,TRUE(),FALSE()),FALSE()))</f>
        <v>0</v>
      </c>
      <c r="CP42" s="50" t="b">
        <f aca="false">IF(Configuration!$C$29="No","",IFERROR(IF(AND(N(AR42)&gt;=Configuration!$C$51,AG42&lt;&gt;""),TRUE(),FALSE()),FALSE()))</f>
        <v>0</v>
      </c>
      <c r="CQ42" s="50" t="b">
        <f aca="false">IF(Configuration!$C$30="No","",IFERROR(IF(OR(AW42="Pending",AX42="Yes"),TRUE(),FALSE()),FALSE()))</f>
        <v>0</v>
      </c>
      <c r="CR42" s="50" t="b">
        <f aca="false">IF(Configuration!$C$31="No","",IFERROR(IF(AND(N(BG42)&gt;=Configuration!$C$52,N(AP42)&gt;=1),TRUE(),FALSE()),FALSE()))</f>
        <v>0</v>
      </c>
      <c r="CS42" s="50" t="b">
        <f aca="false">IF(Configuration!$C$32="No","",IFERROR(IF(AND(N(AR42)&gt;=1,OR(AG42&lt;&gt;"",AM42&lt;&gt;"")),TRUE(),FALSE()),FALSE()))</f>
        <v>0</v>
      </c>
      <c r="CT42" s="50" t="b">
        <f aca="false">IF(Configuration!$C$33="No","",IFERROR(IF(AG42&lt;&gt;"",TRUE(),FALSE()),FALSE()))</f>
        <v>0</v>
      </c>
      <c r="CU42" s="50" t="b">
        <f aca="false">IF(Configuration!$C$34="No","",IFERROR(IF(AX42="Yes",TRUE(),FALSE()),FALSE()))</f>
        <v>0</v>
      </c>
      <c r="CV42" s="50" t="b">
        <f aca="false">IF(Configuration!$C$35="No","",IFERROR(IF(OR(BO42="Partial",BO42="Full"),TRUE(),FALSE()),FALSE()))</f>
        <v>0</v>
      </c>
      <c r="CW42" s="50" t="b">
        <f aca="false">IF(Configuration!$C$36="No","",IFERROR(IF(BM42="Survived",TRUE(),FALSE()),FALSE()))</f>
        <v>0</v>
      </c>
      <c r="CX42" s="50" t="b">
        <f aca="false">IF(Configuration!$C$37="No","",IFERROR(IF(AND(BN42="Clean",BP42="None"),TRUE(),FALSE()),FALSE()))</f>
        <v>0</v>
      </c>
      <c r="CY42" s="50" t="b">
        <f aca="false">IF(Configuration!$C$38="No","",IFERROR(IF(N(BK42)&gt;=Configuration!$C$53,TRUE(),FALSE()),FALSE()))</f>
        <v>0</v>
      </c>
      <c r="CZ42" s="50" t="b">
        <f aca="false">IF(Configuration!$C$39="No","",IFERROR(IF(AND(N(BS42)&gt;=2,N(BF42)&gt;=2),TRUE(),FALSE()),FALSE()))</f>
        <v>0</v>
      </c>
      <c r="DA42" s="50" t="b">
        <f aca="false">IF(Configuration!$C$40="No","",IFERROR(IF(OR(N(BG42)&lt;=Configuration!$C$56,N(AY42)&lt;Configuration!$C$57,N(BH42)&lt;=Configuration!$C$58),TRUE(),FALSE()),FALSE()))</f>
        <v>1</v>
      </c>
      <c r="DB42" s="50" t="b">
        <f aca="false">IF(Configuration!$C$41="No","",IFERROR(IF(AND(N(AY42)&gt;=Configuration!$C$54,N(AY42)&lt;=Configuration!$C$55),TRUE(),FALSE()),FALSE()))</f>
        <v>0</v>
      </c>
      <c r="DC42" s="50" t="b">
        <f aca="false">IF(Configuration!$C$42="No","",IFERROR(IF(AND(AG42&lt;&gt;"",AJ42&lt;&gt;""),TRUE(),FALSE()),FALSE()))</f>
        <v>0</v>
      </c>
      <c r="DD42" s="51" t="n">
        <f aca="false">COUNTIF(BW42:DC42,TRUE())</f>
        <v>2</v>
      </c>
    </row>
    <row r="43" customFormat="false" ht="15" hidden="false" customHeight="true" outlineLevel="0" collapsed="false">
      <c r="A43" s="18" t="n">
        <v>4</v>
      </c>
      <c r="B43" s="44"/>
      <c r="C43" s="44"/>
      <c r="D43" s="44"/>
      <c r="E43" s="44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6" t="str">
        <f aca="false">IFERROR(IF(F43&lt;&gt;"",F43,""),"")</f>
        <v/>
      </c>
      <c r="AF43" s="46" t="str">
        <f aca="false">IFERROR(IF(G43&lt;&gt;"",G43,""),"")</f>
        <v/>
      </c>
      <c r="AG43" s="46" t="str">
        <f aca="false">IFERROR(IF(AA43&lt;&gt;"",AA43,IF(R43&lt;&gt;"",R43,"")),"")</f>
        <v/>
      </c>
      <c r="AH43" s="46" t="str">
        <f aca="false">IFERROR(IF(AB43&lt;&gt;"",AB43,IF(S43&lt;&gt;"",S43,"")),"")</f>
        <v/>
      </c>
      <c r="AI43" s="47"/>
      <c r="AJ43" s="47"/>
      <c r="AK43" s="47"/>
      <c r="AL43" s="47"/>
      <c r="AM43" s="47"/>
      <c r="AN43" s="47"/>
      <c r="AO43" s="47"/>
      <c r="AP43" s="47"/>
      <c r="AQ43" s="46" t="str">
        <f aca="false">IFERROR(IF(Y43&lt;&gt;"",VALUE(Y43),""),"")</f>
        <v/>
      </c>
      <c r="AR43" s="47"/>
      <c r="AS43" s="47"/>
      <c r="AT43" s="47"/>
      <c r="AU43" s="47"/>
      <c r="AV43" s="46" t="str">
        <f aca="false">IFERROR(IF(T43&lt;&gt;"",VALUE(T43),""),"")</f>
        <v/>
      </c>
      <c r="AW43" s="46" t="str">
        <f aca="false">IFERROR(IF(N43="","",IF(OR(ISNUMBER(SEARCH("grant",N43)),ISNUMBER(SEARCH("B",AC43))),"Granted",IF(OR(ISNUMBER(SEARCH("pend",N43)),ISNUMBER(SEARCH("A",AC43))),"Pending",IF(ISNUMBER(SEARCH("expir",N43)),"Expired",N43)))),"")</f>
        <v/>
      </c>
      <c r="AX43" s="47"/>
      <c r="AY43" s="46" t="str">
        <f aca="true">IFERROR(IF(M43&lt;&gt;"",ROUND(VALUE(M43),1),IF(L43&lt;&gt;"",ROUND(MAX(0,(DATEVALUE(TEXT(L43,"YYYY-MM-DD"))-TODAY())/365.25),1),"")),"")</f>
        <v/>
      </c>
      <c r="AZ43" s="46" t="str">
        <f aca="false">IFERROR(IF(O43&lt;&gt;"",O43,""),"")</f>
        <v/>
      </c>
      <c r="BA43" s="46" t="str">
        <f aca="false">IFERROR(IF(U43&lt;&gt;"",SUBSTITUTE(SUBSTITUTE(U43,"; ",", "),";",","),""),"")</f>
        <v/>
      </c>
      <c r="BB43" s="47"/>
      <c r="BC43" s="47"/>
      <c r="BD43" s="47"/>
      <c r="BE43" s="47"/>
      <c r="BF43" s="47"/>
      <c r="BG43" s="47"/>
      <c r="BH43" s="47"/>
      <c r="BI43" s="47"/>
      <c r="BJ43" s="47"/>
      <c r="BK43" s="46" t="str">
        <f aca="false">IFERROR(IF(W43&lt;&gt;"",VALUE(W43),""),"")</f>
        <v/>
      </c>
      <c r="BL43" s="46" t="str">
        <f aca="false">IFERROR(IF(X43&lt;&gt;"",VALUE(X43),""),"")</f>
        <v/>
      </c>
      <c r="BM43" s="46" t="str">
        <f aca="false">IFERROR(IF(AD43="","None",IF(ISNUMBER(SEARCH("surv",AD43)),"Survived",IF(ISNUMBER(SEARCH("pend",AD43)),"Pending",IF(ISNUMBER(SEARCH("yes",AD43)),"Pending","None")))),"None")</f>
        <v>None</v>
      </c>
      <c r="BN43" s="47"/>
      <c r="BO43" s="47"/>
      <c r="BP43" s="47"/>
      <c r="BQ43" s="47"/>
      <c r="BR43" s="47"/>
      <c r="BS43" s="47"/>
      <c r="BT43" s="47"/>
      <c r="BU43" s="48" t="n">
        <f aca="false">IFERROR(COUNTA(AE43:BT43)/42,0)</f>
        <v>0.30952380952381</v>
      </c>
      <c r="BV43" s="49"/>
      <c r="BW43" s="50" t="b">
        <f aca="false">IF(Configuration!$C$10="No","",IFERROR(IF(AG43&lt;&gt;"",TRUE(),FALSE()),FALSE()))</f>
        <v>0</v>
      </c>
      <c r="BX43" s="50" t="b">
        <f aca="false">IF(Configuration!$C$11="No","",IFERROR(IF(AND(N(AL43)&gt;=Configuration!$C$44,AM43&lt;&gt;""),TRUE(),FALSE()),FALSE()))</f>
        <v>0</v>
      </c>
      <c r="BY43" s="50" t="b">
        <f aca="false">IF(Configuration!$C$12="No","",IFERROR(IF(AJ43&lt;&gt;"",TRUE(),FALSE()),FALSE()))</f>
        <v>0</v>
      </c>
      <c r="BZ43" s="50" t="b">
        <f aca="false">IF(Configuration!$C$13="No","",IFERROR(IF(AI43&lt;&gt;"",TRUE(),FALSE()),FALSE()))</f>
        <v>0</v>
      </c>
      <c r="CA43" s="50" t="b">
        <f aca="false">IF(Configuration!$C$14="No","",IFERROR(IF(AK43&lt;&gt;"",TRUE(),FALSE()),FALSE()))</f>
        <v>0</v>
      </c>
      <c r="CB43" s="50" t="b">
        <f aca="false">IF(Configuration!$C$15="No","",IFERROR(IF(AND(OR(ISNUMBER(SEARCH("process",AG43)),ISNUMBER(SEARCH("fab",AG43)),ISNUMBER(SEARCH("manufac",AG43))),AO43="Method"),TRUE(),FALSE()),FALSE()))</f>
        <v>0</v>
      </c>
      <c r="CC43" s="50" t="b">
        <f aca="false">IF(Configuration!$C$16="No","",IFERROR(IF(AND(OR(ISNUMBER(SEARCH("material",AG43)),ISNUMBER(SEARCH("chem",AG43)),ISNUMBER(SEARCH("battery",AG43)),ISNUMBER(SEARCH("electrolyte",AG43)),ISNUMBER(SEARCH("polymer",AG43))),OR(AO43="Apparatus",AO43="Method")),TRUE(),FALSE()),FALSE()))</f>
        <v>0</v>
      </c>
      <c r="CD43" s="50" t="b">
        <f aca="false">IF(Configuration!$C$17="No","",IFERROR(IF(AND(OR(AI43="App",AI43="Middleware",AI43="Cloud"),OR(AO43="Method",AO43="CRM")),TRUE(),FALSE()),FALSE()))</f>
        <v>0</v>
      </c>
      <c r="CE43" s="50" t="b">
        <f aca="false">IF(Configuration!$C$18="No","",IFERROR(IF(N(AN43)&gt;=Configuration!$C$45,TRUE(),FALSE()),FALSE()))</f>
        <v>0</v>
      </c>
      <c r="CF43" s="50" t="b">
        <f aca="false">IF(Configuration!$C$19="No","",IFERROR(IF(BE43&lt;&gt;"",TRUE(),FALSE()),FALSE()))</f>
        <v>0</v>
      </c>
      <c r="CG43" s="50" t="b">
        <f aca="false">IF(Configuration!$C$20="No","",IFERROR(IF(AO43&lt;&gt;"",TRUE(),FALSE()),FALSE()))</f>
        <v>0</v>
      </c>
      <c r="CH43" s="50" t="b">
        <f aca="false">IF(Configuration!$C$21="No","",IFERROR(IF(OR(N(AS43)&gt;=Configuration!$C$46,N(AT43)&gt;=Configuration!$C$47),TRUE(),FALSE()),FALSE()))</f>
        <v>0</v>
      </c>
      <c r="CI43" s="50" t="b">
        <f aca="false">IF(Configuration!$C$22="No","",IFERROR(IF(BB43="Yes",TRUE(),FALSE()),FALSE()))</f>
        <v>0</v>
      </c>
      <c r="CJ43" s="50" t="b">
        <f aca="false">IF(Configuration!$C$23="No","",IFERROR(IF(N(AV43)&gt;=Configuration!$C$48,TRUE(),FALSE()),FALSE()))</f>
        <v>0</v>
      </c>
      <c r="CK43" s="50" t="b">
        <f aca="false">IF(Configuration!$C$24="No","",IFERROR(IF(N(AY43)&gt;0,TRUE(),FALSE()),FALSE()))</f>
        <v>0</v>
      </c>
      <c r="CL43" s="50" t="b">
        <f aca="false">IF(Configuration!$C$25="No","",IFERROR(IF(OR(N(AP43)=3,N(AP43)&lt;=1),TRUE(),FALSE()),FALSE()))</f>
        <v>1</v>
      </c>
      <c r="CM43" s="50" t="b">
        <f aca="false">IF(Configuration!$C$26="No","",IFERROR(IF(N(BF43)&gt;=Configuration!$C$49,TRUE(),FALSE()),FALSE()))</f>
        <v>0</v>
      </c>
      <c r="CN43" s="50" t="b">
        <f aca="false">IF(Configuration!$C$27="No","",IFERROR(IF(BD43&lt;&gt;"",TRUE(),FALSE()),FALSE()))</f>
        <v>0</v>
      </c>
      <c r="CO43" s="50" t="b">
        <f aca="false">IF(Configuration!$C$28="No","",IFERROR(IF(N(AU43)&gt;=Configuration!$C$50,TRUE(),FALSE()),FALSE()))</f>
        <v>0</v>
      </c>
      <c r="CP43" s="50" t="b">
        <f aca="false">IF(Configuration!$C$29="No","",IFERROR(IF(AND(N(AR43)&gt;=Configuration!$C$51,AG43&lt;&gt;""),TRUE(),FALSE()),FALSE()))</f>
        <v>0</v>
      </c>
      <c r="CQ43" s="50" t="b">
        <f aca="false">IF(Configuration!$C$30="No","",IFERROR(IF(OR(AW43="Pending",AX43="Yes"),TRUE(),FALSE()),FALSE()))</f>
        <v>0</v>
      </c>
      <c r="CR43" s="50" t="b">
        <f aca="false">IF(Configuration!$C$31="No","",IFERROR(IF(AND(N(BG43)&gt;=Configuration!$C$52,N(AP43)&gt;=1),TRUE(),FALSE()),FALSE()))</f>
        <v>0</v>
      </c>
      <c r="CS43" s="50" t="b">
        <f aca="false">IF(Configuration!$C$32="No","",IFERROR(IF(AND(N(AR43)&gt;=1,OR(AG43&lt;&gt;"",AM43&lt;&gt;"")),TRUE(),FALSE()),FALSE()))</f>
        <v>0</v>
      </c>
      <c r="CT43" s="50" t="b">
        <f aca="false">IF(Configuration!$C$33="No","",IFERROR(IF(AG43&lt;&gt;"",TRUE(),FALSE()),FALSE()))</f>
        <v>0</v>
      </c>
      <c r="CU43" s="50" t="b">
        <f aca="false">IF(Configuration!$C$34="No","",IFERROR(IF(AX43="Yes",TRUE(),FALSE()),FALSE()))</f>
        <v>0</v>
      </c>
      <c r="CV43" s="50" t="b">
        <f aca="false">IF(Configuration!$C$35="No","",IFERROR(IF(OR(BO43="Partial",BO43="Full"),TRUE(),FALSE()),FALSE()))</f>
        <v>0</v>
      </c>
      <c r="CW43" s="50" t="b">
        <f aca="false">IF(Configuration!$C$36="No","",IFERROR(IF(BM43="Survived",TRUE(),FALSE()),FALSE()))</f>
        <v>0</v>
      </c>
      <c r="CX43" s="50" t="b">
        <f aca="false">IF(Configuration!$C$37="No","",IFERROR(IF(AND(BN43="Clean",BP43="None"),TRUE(),FALSE()),FALSE()))</f>
        <v>0</v>
      </c>
      <c r="CY43" s="50" t="b">
        <f aca="false">IF(Configuration!$C$38="No","",IFERROR(IF(N(BK43)&gt;=Configuration!$C$53,TRUE(),FALSE()),FALSE()))</f>
        <v>0</v>
      </c>
      <c r="CZ43" s="50" t="b">
        <f aca="false">IF(Configuration!$C$39="No","",IFERROR(IF(AND(N(BS43)&gt;=2,N(BF43)&gt;=2),TRUE(),FALSE()),FALSE()))</f>
        <v>0</v>
      </c>
      <c r="DA43" s="50" t="b">
        <f aca="false">IF(Configuration!$C$40="No","",IFERROR(IF(OR(N(BG43)&lt;=Configuration!$C$56,N(AY43)&lt;Configuration!$C$57,N(BH43)&lt;=Configuration!$C$58),TRUE(),FALSE()),FALSE()))</f>
        <v>1</v>
      </c>
      <c r="DB43" s="50" t="b">
        <f aca="false">IF(Configuration!$C$41="No","",IFERROR(IF(AND(N(AY43)&gt;=Configuration!$C$54,N(AY43)&lt;=Configuration!$C$55),TRUE(),FALSE()),FALSE()))</f>
        <v>0</v>
      </c>
      <c r="DC43" s="50" t="b">
        <f aca="false">IF(Configuration!$C$42="No","",IFERROR(IF(AND(AG43&lt;&gt;"",AJ43&lt;&gt;""),TRUE(),FALSE()),FALSE()))</f>
        <v>0</v>
      </c>
      <c r="DD43" s="51" t="n">
        <f aca="false">COUNTIF(BW43:DC43,TRUE())</f>
        <v>2</v>
      </c>
    </row>
    <row r="44" customFormat="false" ht="15" hidden="false" customHeight="true" outlineLevel="0" collapsed="false">
      <c r="A44" s="18" t="n">
        <v>5</v>
      </c>
      <c r="B44" s="44"/>
      <c r="C44" s="44"/>
      <c r="D44" s="44"/>
      <c r="E44" s="44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6" t="str">
        <f aca="false">IFERROR(IF(F44&lt;&gt;"",F44,""),"")</f>
        <v/>
      </c>
      <c r="AF44" s="46" t="str">
        <f aca="false">IFERROR(IF(G44&lt;&gt;"",G44,""),"")</f>
        <v/>
      </c>
      <c r="AG44" s="46" t="str">
        <f aca="false">IFERROR(IF(AA44&lt;&gt;"",AA44,IF(R44&lt;&gt;"",R44,"")),"")</f>
        <v/>
      </c>
      <c r="AH44" s="46" t="str">
        <f aca="false">IFERROR(IF(AB44&lt;&gt;"",AB44,IF(S44&lt;&gt;"",S44,"")),"")</f>
        <v/>
      </c>
      <c r="AI44" s="47"/>
      <c r="AJ44" s="47"/>
      <c r="AK44" s="47"/>
      <c r="AL44" s="47"/>
      <c r="AM44" s="47"/>
      <c r="AN44" s="47"/>
      <c r="AO44" s="47"/>
      <c r="AP44" s="47"/>
      <c r="AQ44" s="46" t="str">
        <f aca="false">IFERROR(IF(Y44&lt;&gt;"",VALUE(Y44),""),"")</f>
        <v/>
      </c>
      <c r="AR44" s="47"/>
      <c r="AS44" s="47"/>
      <c r="AT44" s="47"/>
      <c r="AU44" s="47"/>
      <c r="AV44" s="46" t="str">
        <f aca="false">IFERROR(IF(T44&lt;&gt;"",VALUE(T44),""),"")</f>
        <v/>
      </c>
      <c r="AW44" s="46" t="str">
        <f aca="false">IFERROR(IF(N44="","",IF(OR(ISNUMBER(SEARCH("grant",N44)),ISNUMBER(SEARCH("B",AC44))),"Granted",IF(OR(ISNUMBER(SEARCH("pend",N44)),ISNUMBER(SEARCH("A",AC44))),"Pending",IF(ISNUMBER(SEARCH("expir",N44)),"Expired",N44)))),"")</f>
        <v/>
      </c>
      <c r="AX44" s="47"/>
      <c r="AY44" s="46" t="str">
        <f aca="true">IFERROR(IF(M44&lt;&gt;"",ROUND(VALUE(M44),1),IF(L44&lt;&gt;"",ROUND(MAX(0,(DATEVALUE(TEXT(L44,"YYYY-MM-DD"))-TODAY())/365.25),1),"")),"")</f>
        <v/>
      </c>
      <c r="AZ44" s="46" t="str">
        <f aca="false">IFERROR(IF(O44&lt;&gt;"",O44,""),"")</f>
        <v/>
      </c>
      <c r="BA44" s="46" t="str">
        <f aca="false">IFERROR(IF(U44&lt;&gt;"",SUBSTITUTE(SUBSTITUTE(U44,"; ",", "),";",","),""),"")</f>
        <v/>
      </c>
      <c r="BB44" s="47"/>
      <c r="BC44" s="47"/>
      <c r="BD44" s="47"/>
      <c r="BE44" s="47"/>
      <c r="BF44" s="47"/>
      <c r="BG44" s="47"/>
      <c r="BH44" s="47"/>
      <c r="BI44" s="47"/>
      <c r="BJ44" s="47"/>
      <c r="BK44" s="46" t="str">
        <f aca="false">IFERROR(IF(W44&lt;&gt;"",VALUE(W44),""),"")</f>
        <v/>
      </c>
      <c r="BL44" s="46" t="str">
        <f aca="false">IFERROR(IF(X44&lt;&gt;"",VALUE(X44),""),"")</f>
        <v/>
      </c>
      <c r="BM44" s="46" t="str">
        <f aca="false">IFERROR(IF(AD44="","None",IF(ISNUMBER(SEARCH("surv",AD44)),"Survived",IF(ISNUMBER(SEARCH("pend",AD44)),"Pending",IF(ISNUMBER(SEARCH("yes",AD44)),"Pending","None")))),"None")</f>
        <v>None</v>
      </c>
      <c r="BN44" s="47"/>
      <c r="BO44" s="47"/>
      <c r="BP44" s="47"/>
      <c r="BQ44" s="47"/>
      <c r="BR44" s="47"/>
      <c r="BS44" s="47"/>
      <c r="BT44" s="47"/>
      <c r="BU44" s="48" t="n">
        <f aca="false">IFERROR(COUNTA(AE44:BT44)/42,0)</f>
        <v>0.30952380952381</v>
      </c>
      <c r="BV44" s="49"/>
      <c r="BW44" s="50" t="b">
        <f aca="false">IF(Configuration!$C$10="No","",IFERROR(IF(AG44&lt;&gt;"",TRUE(),FALSE()),FALSE()))</f>
        <v>0</v>
      </c>
      <c r="BX44" s="50" t="b">
        <f aca="false">IF(Configuration!$C$11="No","",IFERROR(IF(AND(N(AL44)&gt;=Configuration!$C$44,AM44&lt;&gt;""),TRUE(),FALSE()),FALSE()))</f>
        <v>0</v>
      </c>
      <c r="BY44" s="50" t="b">
        <f aca="false">IF(Configuration!$C$12="No","",IFERROR(IF(AJ44&lt;&gt;"",TRUE(),FALSE()),FALSE()))</f>
        <v>0</v>
      </c>
      <c r="BZ44" s="50" t="b">
        <f aca="false">IF(Configuration!$C$13="No","",IFERROR(IF(AI44&lt;&gt;"",TRUE(),FALSE()),FALSE()))</f>
        <v>0</v>
      </c>
      <c r="CA44" s="50" t="b">
        <f aca="false">IF(Configuration!$C$14="No","",IFERROR(IF(AK44&lt;&gt;"",TRUE(),FALSE()),FALSE()))</f>
        <v>0</v>
      </c>
      <c r="CB44" s="50" t="b">
        <f aca="false">IF(Configuration!$C$15="No","",IFERROR(IF(AND(OR(ISNUMBER(SEARCH("process",AG44)),ISNUMBER(SEARCH("fab",AG44)),ISNUMBER(SEARCH("manufac",AG44))),AO44="Method"),TRUE(),FALSE()),FALSE()))</f>
        <v>0</v>
      </c>
      <c r="CC44" s="50" t="b">
        <f aca="false">IF(Configuration!$C$16="No","",IFERROR(IF(AND(OR(ISNUMBER(SEARCH("material",AG44)),ISNUMBER(SEARCH("chem",AG44)),ISNUMBER(SEARCH("battery",AG44)),ISNUMBER(SEARCH("electrolyte",AG44)),ISNUMBER(SEARCH("polymer",AG44))),OR(AO44="Apparatus",AO44="Method")),TRUE(),FALSE()),FALSE()))</f>
        <v>0</v>
      </c>
      <c r="CD44" s="50" t="b">
        <f aca="false">IF(Configuration!$C$17="No","",IFERROR(IF(AND(OR(AI44="App",AI44="Middleware",AI44="Cloud"),OR(AO44="Method",AO44="CRM")),TRUE(),FALSE()),FALSE()))</f>
        <v>0</v>
      </c>
      <c r="CE44" s="50" t="b">
        <f aca="false">IF(Configuration!$C$18="No","",IFERROR(IF(N(AN44)&gt;=Configuration!$C$45,TRUE(),FALSE()),FALSE()))</f>
        <v>0</v>
      </c>
      <c r="CF44" s="50" t="b">
        <f aca="false">IF(Configuration!$C$19="No","",IFERROR(IF(BE44&lt;&gt;"",TRUE(),FALSE()),FALSE()))</f>
        <v>0</v>
      </c>
      <c r="CG44" s="50" t="b">
        <f aca="false">IF(Configuration!$C$20="No","",IFERROR(IF(AO44&lt;&gt;"",TRUE(),FALSE()),FALSE()))</f>
        <v>0</v>
      </c>
      <c r="CH44" s="50" t="b">
        <f aca="false">IF(Configuration!$C$21="No","",IFERROR(IF(OR(N(AS44)&gt;=Configuration!$C$46,N(AT44)&gt;=Configuration!$C$47),TRUE(),FALSE()),FALSE()))</f>
        <v>0</v>
      </c>
      <c r="CI44" s="50" t="b">
        <f aca="false">IF(Configuration!$C$22="No","",IFERROR(IF(BB44="Yes",TRUE(),FALSE()),FALSE()))</f>
        <v>0</v>
      </c>
      <c r="CJ44" s="50" t="b">
        <f aca="false">IF(Configuration!$C$23="No","",IFERROR(IF(N(AV44)&gt;=Configuration!$C$48,TRUE(),FALSE()),FALSE()))</f>
        <v>0</v>
      </c>
      <c r="CK44" s="50" t="b">
        <f aca="false">IF(Configuration!$C$24="No","",IFERROR(IF(N(AY44)&gt;0,TRUE(),FALSE()),FALSE()))</f>
        <v>0</v>
      </c>
      <c r="CL44" s="50" t="b">
        <f aca="false">IF(Configuration!$C$25="No","",IFERROR(IF(OR(N(AP44)=3,N(AP44)&lt;=1),TRUE(),FALSE()),FALSE()))</f>
        <v>1</v>
      </c>
      <c r="CM44" s="50" t="b">
        <f aca="false">IF(Configuration!$C$26="No","",IFERROR(IF(N(BF44)&gt;=Configuration!$C$49,TRUE(),FALSE()),FALSE()))</f>
        <v>0</v>
      </c>
      <c r="CN44" s="50" t="b">
        <f aca="false">IF(Configuration!$C$27="No","",IFERROR(IF(BD44&lt;&gt;"",TRUE(),FALSE()),FALSE()))</f>
        <v>0</v>
      </c>
      <c r="CO44" s="50" t="b">
        <f aca="false">IF(Configuration!$C$28="No","",IFERROR(IF(N(AU44)&gt;=Configuration!$C$50,TRUE(),FALSE()),FALSE()))</f>
        <v>0</v>
      </c>
      <c r="CP44" s="50" t="b">
        <f aca="false">IF(Configuration!$C$29="No","",IFERROR(IF(AND(N(AR44)&gt;=Configuration!$C$51,AG44&lt;&gt;""),TRUE(),FALSE()),FALSE()))</f>
        <v>0</v>
      </c>
      <c r="CQ44" s="50" t="b">
        <f aca="false">IF(Configuration!$C$30="No","",IFERROR(IF(OR(AW44="Pending",AX44="Yes"),TRUE(),FALSE()),FALSE()))</f>
        <v>0</v>
      </c>
      <c r="CR44" s="50" t="b">
        <f aca="false">IF(Configuration!$C$31="No","",IFERROR(IF(AND(N(BG44)&gt;=Configuration!$C$52,N(AP44)&gt;=1),TRUE(),FALSE()),FALSE()))</f>
        <v>0</v>
      </c>
      <c r="CS44" s="50" t="b">
        <f aca="false">IF(Configuration!$C$32="No","",IFERROR(IF(AND(N(AR44)&gt;=1,OR(AG44&lt;&gt;"",AM44&lt;&gt;"")),TRUE(),FALSE()),FALSE()))</f>
        <v>0</v>
      </c>
      <c r="CT44" s="50" t="b">
        <f aca="false">IF(Configuration!$C$33="No","",IFERROR(IF(AG44&lt;&gt;"",TRUE(),FALSE()),FALSE()))</f>
        <v>0</v>
      </c>
      <c r="CU44" s="50" t="b">
        <f aca="false">IF(Configuration!$C$34="No","",IFERROR(IF(AX44="Yes",TRUE(),FALSE()),FALSE()))</f>
        <v>0</v>
      </c>
      <c r="CV44" s="50" t="b">
        <f aca="false">IF(Configuration!$C$35="No","",IFERROR(IF(OR(BO44="Partial",BO44="Full"),TRUE(),FALSE()),FALSE()))</f>
        <v>0</v>
      </c>
      <c r="CW44" s="50" t="b">
        <f aca="false">IF(Configuration!$C$36="No","",IFERROR(IF(BM44="Survived",TRUE(),FALSE()),FALSE()))</f>
        <v>0</v>
      </c>
      <c r="CX44" s="50" t="b">
        <f aca="false">IF(Configuration!$C$37="No","",IFERROR(IF(AND(BN44="Clean",BP44="None"),TRUE(),FALSE()),FALSE()))</f>
        <v>0</v>
      </c>
      <c r="CY44" s="50" t="b">
        <f aca="false">IF(Configuration!$C$38="No","",IFERROR(IF(N(BK44)&gt;=Configuration!$C$53,TRUE(),FALSE()),FALSE()))</f>
        <v>0</v>
      </c>
      <c r="CZ44" s="50" t="b">
        <f aca="false">IF(Configuration!$C$39="No","",IFERROR(IF(AND(N(BS44)&gt;=2,N(BF44)&gt;=2),TRUE(),FALSE()),FALSE()))</f>
        <v>0</v>
      </c>
      <c r="DA44" s="50" t="b">
        <f aca="false">IF(Configuration!$C$40="No","",IFERROR(IF(OR(N(BG44)&lt;=Configuration!$C$56,N(AY44)&lt;Configuration!$C$57,N(BH44)&lt;=Configuration!$C$58),TRUE(),FALSE()),FALSE()))</f>
        <v>1</v>
      </c>
      <c r="DB44" s="50" t="b">
        <f aca="false">IF(Configuration!$C$41="No","",IFERROR(IF(AND(N(AY44)&gt;=Configuration!$C$54,N(AY44)&lt;=Configuration!$C$55),TRUE(),FALSE()),FALSE()))</f>
        <v>0</v>
      </c>
      <c r="DC44" s="50" t="b">
        <f aca="false">IF(Configuration!$C$42="No","",IFERROR(IF(AND(AG44&lt;&gt;"",AJ44&lt;&gt;""),TRUE(),FALSE()),FALSE()))</f>
        <v>0</v>
      </c>
      <c r="DD44" s="51" t="n">
        <f aca="false">COUNTIF(BW44:DC44,TRUE())</f>
        <v>2</v>
      </c>
    </row>
    <row r="45" customFormat="false" ht="15" hidden="false" customHeight="true" outlineLevel="0" collapsed="false">
      <c r="A45" s="18" t="n">
        <v>6</v>
      </c>
      <c r="B45" s="44"/>
      <c r="C45" s="44"/>
      <c r="D45" s="44"/>
      <c r="E45" s="44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6" t="str">
        <f aca="false">IFERROR(IF(F45&lt;&gt;"",F45,""),"")</f>
        <v/>
      </c>
      <c r="AF45" s="46" t="str">
        <f aca="false">IFERROR(IF(G45&lt;&gt;"",G45,""),"")</f>
        <v/>
      </c>
      <c r="AG45" s="46" t="str">
        <f aca="false">IFERROR(IF(AA45&lt;&gt;"",AA45,IF(R45&lt;&gt;"",R45,"")),"")</f>
        <v/>
      </c>
      <c r="AH45" s="46" t="str">
        <f aca="false">IFERROR(IF(AB45&lt;&gt;"",AB45,IF(S45&lt;&gt;"",S45,"")),"")</f>
        <v/>
      </c>
      <c r="AI45" s="47"/>
      <c r="AJ45" s="47"/>
      <c r="AK45" s="47"/>
      <c r="AL45" s="47"/>
      <c r="AM45" s="47"/>
      <c r="AN45" s="47"/>
      <c r="AO45" s="47"/>
      <c r="AP45" s="47"/>
      <c r="AQ45" s="46" t="str">
        <f aca="false">IFERROR(IF(Y45&lt;&gt;"",VALUE(Y45),""),"")</f>
        <v/>
      </c>
      <c r="AR45" s="47"/>
      <c r="AS45" s="47"/>
      <c r="AT45" s="47"/>
      <c r="AU45" s="47"/>
      <c r="AV45" s="46" t="str">
        <f aca="false">IFERROR(IF(T45&lt;&gt;"",VALUE(T45),""),"")</f>
        <v/>
      </c>
      <c r="AW45" s="46" t="str">
        <f aca="false">IFERROR(IF(N45="","",IF(OR(ISNUMBER(SEARCH("grant",N45)),ISNUMBER(SEARCH("B",AC45))),"Granted",IF(OR(ISNUMBER(SEARCH("pend",N45)),ISNUMBER(SEARCH("A",AC45))),"Pending",IF(ISNUMBER(SEARCH("expir",N45)),"Expired",N45)))),"")</f>
        <v/>
      </c>
      <c r="AX45" s="47"/>
      <c r="AY45" s="46" t="str">
        <f aca="true">IFERROR(IF(M45&lt;&gt;"",ROUND(VALUE(M45),1),IF(L45&lt;&gt;"",ROUND(MAX(0,(DATEVALUE(TEXT(L45,"YYYY-MM-DD"))-TODAY())/365.25),1),"")),"")</f>
        <v/>
      </c>
      <c r="AZ45" s="46" t="str">
        <f aca="false">IFERROR(IF(O45&lt;&gt;"",O45,""),"")</f>
        <v/>
      </c>
      <c r="BA45" s="46" t="str">
        <f aca="false">IFERROR(IF(U45&lt;&gt;"",SUBSTITUTE(SUBSTITUTE(U45,"; ",", "),";",","),""),"")</f>
        <v/>
      </c>
      <c r="BB45" s="47"/>
      <c r="BC45" s="47"/>
      <c r="BD45" s="47"/>
      <c r="BE45" s="47"/>
      <c r="BF45" s="47"/>
      <c r="BG45" s="47"/>
      <c r="BH45" s="47"/>
      <c r="BI45" s="47"/>
      <c r="BJ45" s="47"/>
      <c r="BK45" s="46" t="str">
        <f aca="false">IFERROR(IF(W45&lt;&gt;"",VALUE(W45),""),"")</f>
        <v/>
      </c>
      <c r="BL45" s="46" t="str">
        <f aca="false">IFERROR(IF(X45&lt;&gt;"",VALUE(X45),""),"")</f>
        <v/>
      </c>
      <c r="BM45" s="46" t="str">
        <f aca="false">IFERROR(IF(AD45="","None",IF(ISNUMBER(SEARCH("surv",AD45)),"Survived",IF(ISNUMBER(SEARCH("pend",AD45)),"Pending",IF(ISNUMBER(SEARCH("yes",AD45)),"Pending","None")))),"None")</f>
        <v>None</v>
      </c>
      <c r="BN45" s="47"/>
      <c r="BO45" s="47"/>
      <c r="BP45" s="47"/>
      <c r="BQ45" s="47"/>
      <c r="BR45" s="47"/>
      <c r="BS45" s="47"/>
      <c r="BT45" s="47"/>
      <c r="BU45" s="48" t="n">
        <f aca="false">IFERROR(COUNTA(AE45:BT45)/42,0)</f>
        <v>0.30952380952381</v>
      </c>
      <c r="BV45" s="49"/>
      <c r="BW45" s="50" t="b">
        <f aca="false">IF(Configuration!$C$10="No","",IFERROR(IF(AG45&lt;&gt;"",TRUE(),FALSE()),FALSE()))</f>
        <v>0</v>
      </c>
      <c r="BX45" s="50" t="b">
        <f aca="false">IF(Configuration!$C$11="No","",IFERROR(IF(AND(N(AL45)&gt;=Configuration!$C$44,AM45&lt;&gt;""),TRUE(),FALSE()),FALSE()))</f>
        <v>0</v>
      </c>
      <c r="BY45" s="50" t="b">
        <f aca="false">IF(Configuration!$C$12="No","",IFERROR(IF(AJ45&lt;&gt;"",TRUE(),FALSE()),FALSE()))</f>
        <v>0</v>
      </c>
      <c r="BZ45" s="50" t="b">
        <f aca="false">IF(Configuration!$C$13="No","",IFERROR(IF(AI45&lt;&gt;"",TRUE(),FALSE()),FALSE()))</f>
        <v>0</v>
      </c>
      <c r="CA45" s="50" t="b">
        <f aca="false">IF(Configuration!$C$14="No","",IFERROR(IF(AK45&lt;&gt;"",TRUE(),FALSE()),FALSE()))</f>
        <v>0</v>
      </c>
      <c r="CB45" s="50" t="b">
        <f aca="false">IF(Configuration!$C$15="No","",IFERROR(IF(AND(OR(ISNUMBER(SEARCH("process",AG45)),ISNUMBER(SEARCH("fab",AG45)),ISNUMBER(SEARCH("manufac",AG45))),AO45="Method"),TRUE(),FALSE()),FALSE()))</f>
        <v>0</v>
      </c>
      <c r="CC45" s="50" t="b">
        <f aca="false">IF(Configuration!$C$16="No","",IFERROR(IF(AND(OR(ISNUMBER(SEARCH("material",AG45)),ISNUMBER(SEARCH("chem",AG45)),ISNUMBER(SEARCH("battery",AG45)),ISNUMBER(SEARCH("electrolyte",AG45)),ISNUMBER(SEARCH("polymer",AG45))),OR(AO45="Apparatus",AO45="Method")),TRUE(),FALSE()),FALSE()))</f>
        <v>0</v>
      </c>
      <c r="CD45" s="50" t="b">
        <f aca="false">IF(Configuration!$C$17="No","",IFERROR(IF(AND(OR(AI45="App",AI45="Middleware",AI45="Cloud"),OR(AO45="Method",AO45="CRM")),TRUE(),FALSE()),FALSE()))</f>
        <v>0</v>
      </c>
      <c r="CE45" s="50" t="b">
        <f aca="false">IF(Configuration!$C$18="No","",IFERROR(IF(N(AN45)&gt;=Configuration!$C$45,TRUE(),FALSE()),FALSE()))</f>
        <v>0</v>
      </c>
      <c r="CF45" s="50" t="b">
        <f aca="false">IF(Configuration!$C$19="No","",IFERROR(IF(BE45&lt;&gt;"",TRUE(),FALSE()),FALSE()))</f>
        <v>0</v>
      </c>
      <c r="CG45" s="50" t="b">
        <f aca="false">IF(Configuration!$C$20="No","",IFERROR(IF(AO45&lt;&gt;"",TRUE(),FALSE()),FALSE()))</f>
        <v>0</v>
      </c>
      <c r="CH45" s="50" t="b">
        <f aca="false">IF(Configuration!$C$21="No","",IFERROR(IF(OR(N(AS45)&gt;=Configuration!$C$46,N(AT45)&gt;=Configuration!$C$47),TRUE(),FALSE()),FALSE()))</f>
        <v>0</v>
      </c>
      <c r="CI45" s="50" t="b">
        <f aca="false">IF(Configuration!$C$22="No","",IFERROR(IF(BB45="Yes",TRUE(),FALSE()),FALSE()))</f>
        <v>0</v>
      </c>
      <c r="CJ45" s="50" t="b">
        <f aca="false">IF(Configuration!$C$23="No","",IFERROR(IF(N(AV45)&gt;=Configuration!$C$48,TRUE(),FALSE()),FALSE()))</f>
        <v>0</v>
      </c>
      <c r="CK45" s="50" t="b">
        <f aca="false">IF(Configuration!$C$24="No","",IFERROR(IF(N(AY45)&gt;0,TRUE(),FALSE()),FALSE()))</f>
        <v>0</v>
      </c>
      <c r="CL45" s="50" t="b">
        <f aca="false">IF(Configuration!$C$25="No","",IFERROR(IF(OR(N(AP45)=3,N(AP45)&lt;=1),TRUE(),FALSE()),FALSE()))</f>
        <v>1</v>
      </c>
      <c r="CM45" s="50" t="b">
        <f aca="false">IF(Configuration!$C$26="No","",IFERROR(IF(N(BF45)&gt;=Configuration!$C$49,TRUE(),FALSE()),FALSE()))</f>
        <v>0</v>
      </c>
      <c r="CN45" s="50" t="b">
        <f aca="false">IF(Configuration!$C$27="No","",IFERROR(IF(BD45&lt;&gt;"",TRUE(),FALSE()),FALSE()))</f>
        <v>0</v>
      </c>
      <c r="CO45" s="50" t="b">
        <f aca="false">IF(Configuration!$C$28="No","",IFERROR(IF(N(AU45)&gt;=Configuration!$C$50,TRUE(),FALSE()),FALSE()))</f>
        <v>0</v>
      </c>
      <c r="CP45" s="50" t="b">
        <f aca="false">IF(Configuration!$C$29="No","",IFERROR(IF(AND(N(AR45)&gt;=Configuration!$C$51,AG45&lt;&gt;""),TRUE(),FALSE()),FALSE()))</f>
        <v>0</v>
      </c>
      <c r="CQ45" s="50" t="b">
        <f aca="false">IF(Configuration!$C$30="No","",IFERROR(IF(OR(AW45="Pending",AX45="Yes"),TRUE(),FALSE()),FALSE()))</f>
        <v>0</v>
      </c>
      <c r="CR45" s="50" t="b">
        <f aca="false">IF(Configuration!$C$31="No","",IFERROR(IF(AND(N(BG45)&gt;=Configuration!$C$52,N(AP45)&gt;=1),TRUE(),FALSE()),FALSE()))</f>
        <v>0</v>
      </c>
      <c r="CS45" s="50" t="b">
        <f aca="false">IF(Configuration!$C$32="No","",IFERROR(IF(AND(N(AR45)&gt;=1,OR(AG45&lt;&gt;"",AM45&lt;&gt;"")),TRUE(),FALSE()),FALSE()))</f>
        <v>0</v>
      </c>
      <c r="CT45" s="50" t="b">
        <f aca="false">IF(Configuration!$C$33="No","",IFERROR(IF(AG45&lt;&gt;"",TRUE(),FALSE()),FALSE()))</f>
        <v>0</v>
      </c>
      <c r="CU45" s="50" t="b">
        <f aca="false">IF(Configuration!$C$34="No","",IFERROR(IF(AX45="Yes",TRUE(),FALSE()),FALSE()))</f>
        <v>0</v>
      </c>
      <c r="CV45" s="50" t="b">
        <f aca="false">IF(Configuration!$C$35="No","",IFERROR(IF(OR(BO45="Partial",BO45="Full"),TRUE(),FALSE()),FALSE()))</f>
        <v>0</v>
      </c>
      <c r="CW45" s="50" t="b">
        <f aca="false">IF(Configuration!$C$36="No","",IFERROR(IF(BM45="Survived",TRUE(),FALSE()),FALSE()))</f>
        <v>0</v>
      </c>
      <c r="CX45" s="50" t="b">
        <f aca="false">IF(Configuration!$C$37="No","",IFERROR(IF(AND(BN45="Clean",BP45="None"),TRUE(),FALSE()),FALSE()))</f>
        <v>0</v>
      </c>
      <c r="CY45" s="50" t="b">
        <f aca="false">IF(Configuration!$C$38="No","",IFERROR(IF(N(BK45)&gt;=Configuration!$C$53,TRUE(),FALSE()),FALSE()))</f>
        <v>0</v>
      </c>
      <c r="CZ45" s="50" t="b">
        <f aca="false">IF(Configuration!$C$39="No","",IFERROR(IF(AND(N(BS45)&gt;=2,N(BF45)&gt;=2),TRUE(),FALSE()),FALSE()))</f>
        <v>0</v>
      </c>
      <c r="DA45" s="50" t="b">
        <f aca="false">IF(Configuration!$C$40="No","",IFERROR(IF(OR(N(BG45)&lt;=Configuration!$C$56,N(AY45)&lt;Configuration!$C$57,N(BH45)&lt;=Configuration!$C$58),TRUE(),FALSE()),FALSE()))</f>
        <v>1</v>
      </c>
      <c r="DB45" s="50" t="b">
        <f aca="false">IF(Configuration!$C$41="No","",IFERROR(IF(AND(N(AY45)&gt;=Configuration!$C$54,N(AY45)&lt;=Configuration!$C$55),TRUE(),FALSE()),FALSE()))</f>
        <v>0</v>
      </c>
      <c r="DC45" s="50" t="b">
        <f aca="false">IF(Configuration!$C$42="No","",IFERROR(IF(AND(AG45&lt;&gt;"",AJ45&lt;&gt;""),TRUE(),FALSE()),FALSE()))</f>
        <v>0</v>
      </c>
      <c r="DD45" s="51" t="n">
        <f aca="false">COUNTIF(BW45:DC45,TRUE())</f>
        <v>2</v>
      </c>
    </row>
    <row r="46" customFormat="false" ht="15" hidden="false" customHeight="true" outlineLevel="0" collapsed="false">
      <c r="A46" s="18" t="n">
        <v>7</v>
      </c>
      <c r="B46" s="44"/>
      <c r="C46" s="44"/>
      <c r="D46" s="44"/>
      <c r="E46" s="44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6" t="str">
        <f aca="false">IFERROR(IF(F46&lt;&gt;"",F46,""),"")</f>
        <v/>
      </c>
      <c r="AF46" s="46" t="str">
        <f aca="false">IFERROR(IF(G46&lt;&gt;"",G46,""),"")</f>
        <v/>
      </c>
      <c r="AG46" s="46" t="str">
        <f aca="false">IFERROR(IF(AA46&lt;&gt;"",AA46,IF(R46&lt;&gt;"",R46,"")),"")</f>
        <v/>
      </c>
      <c r="AH46" s="46" t="str">
        <f aca="false">IFERROR(IF(AB46&lt;&gt;"",AB46,IF(S46&lt;&gt;"",S46,"")),"")</f>
        <v/>
      </c>
      <c r="AI46" s="47"/>
      <c r="AJ46" s="47"/>
      <c r="AK46" s="47"/>
      <c r="AL46" s="47"/>
      <c r="AM46" s="47"/>
      <c r="AN46" s="47"/>
      <c r="AO46" s="47"/>
      <c r="AP46" s="47"/>
      <c r="AQ46" s="46" t="str">
        <f aca="false">IFERROR(IF(Y46&lt;&gt;"",VALUE(Y46),""),"")</f>
        <v/>
      </c>
      <c r="AR46" s="47"/>
      <c r="AS46" s="47"/>
      <c r="AT46" s="47"/>
      <c r="AU46" s="47"/>
      <c r="AV46" s="46" t="str">
        <f aca="false">IFERROR(IF(T46&lt;&gt;"",VALUE(T46),""),"")</f>
        <v/>
      </c>
      <c r="AW46" s="46" t="str">
        <f aca="false">IFERROR(IF(N46="","",IF(OR(ISNUMBER(SEARCH("grant",N46)),ISNUMBER(SEARCH("B",AC46))),"Granted",IF(OR(ISNUMBER(SEARCH("pend",N46)),ISNUMBER(SEARCH("A",AC46))),"Pending",IF(ISNUMBER(SEARCH("expir",N46)),"Expired",N46)))),"")</f>
        <v/>
      </c>
      <c r="AX46" s="47"/>
      <c r="AY46" s="46" t="str">
        <f aca="true">IFERROR(IF(M46&lt;&gt;"",ROUND(VALUE(M46),1),IF(L46&lt;&gt;"",ROUND(MAX(0,(DATEVALUE(TEXT(L46,"YYYY-MM-DD"))-TODAY())/365.25),1),"")),"")</f>
        <v/>
      </c>
      <c r="AZ46" s="46" t="str">
        <f aca="false">IFERROR(IF(O46&lt;&gt;"",O46,""),"")</f>
        <v/>
      </c>
      <c r="BA46" s="46" t="str">
        <f aca="false">IFERROR(IF(U46&lt;&gt;"",SUBSTITUTE(SUBSTITUTE(U46,"; ",", "),";",","),""),"")</f>
        <v/>
      </c>
      <c r="BB46" s="47"/>
      <c r="BC46" s="47"/>
      <c r="BD46" s="47"/>
      <c r="BE46" s="47"/>
      <c r="BF46" s="47"/>
      <c r="BG46" s="47"/>
      <c r="BH46" s="47"/>
      <c r="BI46" s="47"/>
      <c r="BJ46" s="47"/>
      <c r="BK46" s="46" t="str">
        <f aca="false">IFERROR(IF(W46&lt;&gt;"",VALUE(W46),""),"")</f>
        <v/>
      </c>
      <c r="BL46" s="46" t="str">
        <f aca="false">IFERROR(IF(X46&lt;&gt;"",VALUE(X46),""),"")</f>
        <v/>
      </c>
      <c r="BM46" s="46" t="str">
        <f aca="false">IFERROR(IF(AD46="","None",IF(ISNUMBER(SEARCH("surv",AD46)),"Survived",IF(ISNUMBER(SEARCH("pend",AD46)),"Pending",IF(ISNUMBER(SEARCH("yes",AD46)),"Pending","None")))),"None")</f>
        <v>None</v>
      </c>
      <c r="BN46" s="47"/>
      <c r="BO46" s="47"/>
      <c r="BP46" s="47"/>
      <c r="BQ46" s="47"/>
      <c r="BR46" s="47"/>
      <c r="BS46" s="47"/>
      <c r="BT46" s="47"/>
      <c r="BU46" s="48" t="n">
        <f aca="false">IFERROR(COUNTA(AE46:BT46)/42,0)</f>
        <v>0.30952380952381</v>
      </c>
      <c r="BV46" s="49"/>
      <c r="BW46" s="50" t="b">
        <f aca="false">IF(Configuration!$C$10="No","",IFERROR(IF(AG46&lt;&gt;"",TRUE(),FALSE()),FALSE()))</f>
        <v>0</v>
      </c>
      <c r="BX46" s="50" t="b">
        <f aca="false">IF(Configuration!$C$11="No","",IFERROR(IF(AND(N(AL46)&gt;=Configuration!$C$44,AM46&lt;&gt;""),TRUE(),FALSE()),FALSE()))</f>
        <v>0</v>
      </c>
      <c r="BY46" s="50" t="b">
        <f aca="false">IF(Configuration!$C$12="No","",IFERROR(IF(AJ46&lt;&gt;"",TRUE(),FALSE()),FALSE()))</f>
        <v>0</v>
      </c>
      <c r="BZ46" s="50" t="b">
        <f aca="false">IF(Configuration!$C$13="No","",IFERROR(IF(AI46&lt;&gt;"",TRUE(),FALSE()),FALSE()))</f>
        <v>0</v>
      </c>
      <c r="CA46" s="50" t="b">
        <f aca="false">IF(Configuration!$C$14="No","",IFERROR(IF(AK46&lt;&gt;"",TRUE(),FALSE()),FALSE()))</f>
        <v>0</v>
      </c>
      <c r="CB46" s="50" t="b">
        <f aca="false">IF(Configuration!$C$15="No","",IFERROR(IF(AND(OR(ISNUMBER(SEARCH("process",AG46)),ISNUMBER(SEARCH("fab",AG46)),ISNUMBER(SEARCH("manufac",AG46))),AO46="Method"),TRUE(),FALSE()),FALSE()))</f>
        <v>0</v>
      </c>
      <c r="CC46" s="50" t="b">
        <f aca="false">IF(Configuration!$C$16="No","",IFERROR(IF(AND(OR(ISNUMBER(SEARCH("material",AG46)),ISNUMBER(SEARCH("chem",AG46)),ISNUMBER(SEARCH("battery",AG46)),ISNUMBER(SEARCH("electrolyte",AG46)),ISNUMBER(SEARCH("polymer",AG46))),OR(AO46="Apparatus",AO46="Method")),TRUE(),FALSE()),FALSE()))</f>
        <v>0</v>
      </c>
      <c r="CD46" s="50" t="b">
        <f aca="false">IF(Configuration!$C$17="No","",IFERROR(IF(AND(OR(AI46="App",AI46="Middleware",AI46="Cloud"),OR(AO46="Method",AO46="CRM")),TRUE(),FALSE()),FALSE()))</f>
        <v>0</v>
      </c>
      <c r="CE46" s="50" t="b">
        <f aca="false">IF(Configuration!$C$18="No","",IFERROR(IF(N(AN46)&gt;=Configuration!$C$45,TRUE(),FALSE()),FALSE()))</f>
        <v>0</v>
      </c>
      <c r="CF46" s="50" t="b">
        <f aca="false">IF(Configuration!$C$19="No","",IFERROR(IF(BE46&lt;&gt;"",TRUE(),FALSE()),FALSE()))</f>
        <v>0</v>
      </c>
      <c r="CG46" s="50" t="b">
        <f aca="false">IF(Configuration!$C$20="No","",IFERROR(IF(AO46&lt;&gt;"",TRUE(),FALSE()),FALSE()))</f>
        <v>0</v>
      </c>
      <c r="CH46" s="50" t="b">
        <f aca="false">IF(Configuration!$C$21="No","",IFERROR(IF(OR(N(AS46)&gt;=Configuration!$C$46,N(AT46)&gt;=Configuration!$C$47),TRUE(),FALSE()),FALSE()))</f>
        <v>0</v>
      </c>
      <c r="CI46" s="50" t="b">
        <f aca="false">IF(Configuration!$C$22="No","",IFERROR(IF(BB46="Yes",TRUE(),FALSE()),FALSE()))</f>
        <v>0</v>
      </c>
      <c r="CJ46" s="50" t="b">
        <f aca="false">IF(Configuration!$C$23="No","",IFERROR(IF(N(AV46)&gt;=Configuration!$C$48,TRUE(),FALSE()),FALSE()))</f>
        <v>0</v>
      </c>
      <c r="CK46" s="50" t="b">
        <f aca="false">IF(Configuration!$C$24="No","",IFERROR(IF(N(AY46)&gt;0,TRUE(),FALSE()),FALSE()))</f>
        <v>0</v>
      </c>
      <c r="CL46" s="50" t="b">
        <f aca="false">IF(Configuration!$C$25="No","",IFERROR(IF(OR(N(AP46)=3,N(AP46)&lt;=1),TRUE(),FALSE()),FALSE()))</f>
        <v>1</v>
      </c>
      <c r="CM46" s="50" t="b">
        <f aca="false">IF(Configuration!$C$26="No","",IFERROR(IF(N(BF46)&gt;=Configuration!$C$49,TRUE(),FALSE()),FALSE()))</f>
        <v>0</v>
      </c>
      <c r="CN46" s="50" t="b">
        <f aca="false">IF(Configuration!$C$27="No","",IFERROR(IF(BD46&lt;&gt;"",TRUE(),FALSE()),FALSE()))</f>
        <v>0</v>
      </c>
      <c r="CO46" s="50" t="b">
        <f aca="false">IF(Configuration!$C$28="No","",IFERROR(IF(N(AU46)&gt;=Configuration!$C$50,TRUE(),FALSE()),FALSE()))</f>
        <v>0</v>
      </c>
      <c r="CP46" s="50" t="b">
        <f aca="false">IF(Configuration!$C$29="No","",IFERROR(IF(AND(N(AR46)&gt;=Configuration!$C$51,AG46&lt;&gt;""),TRUE(),FALSE()),FALSE()))</f>
        <v>0</v>
      </c>
      <c r="CQ46" s="50" t="b">
        <f aca="false">IF(Configuration!$C$30="No","",IFERROR(IF(OR(AW46="Pending",AX46="Yes"),TRUE(),FALSE()),FALSE()))</f>
        <v>0</v>
      </c>
      <c r="CR46" s="50" t="b">
        <f aca="false">IF(Configuration!$C$31="No","",IFERROR(IF(AND(N(BG46)&gt;=Configuration!$C$52,N(AP46)&gt;=1),TRUE(),FALSE()),FALSE()))</f>
        <v>0</v>
      </c>
      <c r="CS46" s="50" t="b">
        <f aca="false">IF(Configuration!$C$32="No","",IFERROR(IF(AND(N(AR46)&gt;=1,OR(AG46&lt;&gt;"",AM46&lt;&gt;"")),TRUE(),FALSE()),FALSE()))</f>
        <v>0</v>
      </c>
      <c r="CT46" s="50" t="b">
        <f aca="false">IF(Configuration!$C$33="No","",IFERROR(IF(AG46&lt;&gt;"",TRUE(),FALSE()),FALSE()))</f>
        <v>0</v>
      </c>
      <c r="CU46" s="50" t="b">
        <f aca="false">IF(Configuration!$C$34="No","",IFERROR(IF(AX46="Yes",TRUE(),FALSE()),FALSE()))</f>
        <v>0</v>
      </c>
      <c r="CV46" s="50" t="b">
        <f aca="false">IF(Configuration!$C$35="No","",IFERROR(IF(OR(BO46="Partial",BO46="Full"),TRUE(),FALSE()),FALSE()))</f>
        <v>0</v>
      </c>
      <c r="CW46" s="50" t="b">
        <f aca="false">IF(Configuration!$C$36="No","",IFERROR(IF(BM46="Survived",TRUE(),FALSE()),FALSE()))</f>
        <v>0</v>
      </c>
      <c r="CX46" s="50" t="b">
        <f aca="false">IF(Configuration!$C$37="No","",IFERROR(IF(AND(BN46="Clean",BP46="None"),TRUE(),FALSE()),FALSE()))</f>
        <v>0</v>
      </c>
      <c r="CY46" s="50" t="b">
        <f aca="false">IF(Configuration!$C$38="No","",IFERROR(IF(N(BK46)&gt;=Configuration!$C$53,TRUE(),FALSE()),FALSE()))</f>
        <v>0</v>
      </c>
      <c r="CZ46" s="50" t="b">
        <f aca="false">IF(Configuration!$C$39="No","",IFERROR(IF(AND(N(BS46)&gt;=2,N(BF46)&gt;=2),TRUE(),FALSE()),FALSE()))</f>
        <v>0</v>
      </c>
      <c r="DA46" s="50" t="b">
        <f aca="false">IF(Configuration!$C$40="No","",IFERROR(IF(OR(N(BG46)&lt;=Configuration!$C$56,N(AY46)&lt;Configuration!$C$57,N(BH46)&lt;=Configuration!$C$58),TRUE(),FALSE()),FALSE()))</f>
        <v>1</v>
      </c>
      <c r="DB46" s="50" t="b">
        <f aca="false">IF(Configuration!$C$41="No","",IFERROR(IF(AND(N(AY46)&gt;=Configuration!$C$54,N(AY46)&lt;=Configuration!$C$55),TRUE(),FALSE()),FALSE()))</f>
        <v>0</v>
      </c>
      <c r="DC46" s="50" t="b">
        <f aca="false">IF(Configuration!$C$42="No","",IFERROR(IF(AND(AG46&lt;&gt;"",AJ46&lt;&gt;""),TRUE(),FALSE()),FALSE()))</f>
        <v>0</v>
      </c>
      <c r="DD46" s="51" t="n">
        <f aca="false">COUNTIF(BW46:DC46,TRUE())</f>
        <v>2</v>
      </c>
    </row>
    <row r="47" customFormat="false" ht="15" hidden="false" customHeight="true" outlineLevel="0" collapsed="false">
      <c r="A47" s="18" t="n">
        <v>8</v>
      </c>
      <c r="B47" s="44"/>
      <c r="C47" s="44"/>
      <c r="D47" s="44"/>
      <c r="E47" s="44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6" t="str">
        <f aca="false">IFERROR(IF(F47&lt;&gt;"",F47,""),"")</f>
        <v/>
      </c>
      <c r="AF47" s="46" t="str">
        <f aca="false">IFERROR(IF(G47&lt;&gt;"",G47,""),"")</f>
        <v/>
      </c>
      <c r="AG47" s="46" t="str">
        <f aca="false">IFERROR(IF(AA47&lt;&gt;"",AA47,IF(R47&lt;&gt;"",R47,"")),"")</f>
        <v/>
      </c>
      <c r="AH47" s="46" t="str">
        <f aca="false">IFERROR(IF(AB47&lt;&gt;"",AB47,IF(S47&lt;&gt;"",S47,"")),"")</f>
        <v/>
      </c>
      <c r="AI47" s="47"/>
      <c r="AJ47" s="47"/>
      <c r="AK47" s="47"/>
      <c r="AL47" s="47"/>
      <c r="AM47" s="47"/>
      <c r="AN47" s="47"/>
      <c r="AO47" s="47"/>
      <c r="AP47" s="47"/>
      <c r="AQ47" s="46" t="str">
        <f aca="false">IFERROR(IF(Y47&lt;&gt;"",VALUE(Y47),""),"")</f>
        <v/>
      </c>
      <c r="AR47" s="47"/>
      <c r="AS47" s="47"/>
      <c r="AT47" s="47"/>
      <c r="AU47" s="47"/>
      <c r="AV47" s="46" t="str">
        <f aca="false">IFERROR(IF(T47&lt;&gt;"",VALUE(T47),""),"")</f>
        <v/>
      </c>
      <c r="AW47" s="46" t="str">
        <f aca="false">IFERROR(IF(N47="","",IF(OR(ISNUMBER(SEARCH("grant",N47)),ISNUMBER(SEARCH("B",AC47))),"Granted",IF(OR(ISNUMBER(SEARCH("pend",N47)),ISNUMBER(SEARCH("A",AC47))),"Pending",IF(ISNUMBER(SEARCH("expir",N47)),"Expired",N47)))),"")</f>
        <v/>
      </c>
      <c r="AX47" s="47"/>
      <c r="AY47" s="46" t="str">
        <f aca="true">IFERROR(IF(M47&lt;&gt;"",ROUND(VALUE(M47),1),IF(L47&lt;&gt;"",ROUND(MAX(0,(DATEVALUE(TEXT(L47,"YYYY-MM-DD"))-TODAY())/365.25),1),"")),"")</f>
        <v/>
      </c>
      <c r="AZ47" s="46" t="str">
        <f aca="false">IFERROR(IF(O47&lt;&gt;"",O47,""),"")</f>
        <v/>
      </c>
      <c r="BA47" s="46" t="str">
        <f aca="false">IFERROR(IF(U47&lt;&gt;"",SUBSTITUTE(SUBSTITUTE(U47,"; ",", "),";",","),""),"")</f>
        <v/>
      </c>
      <c r="BB47" s="47"/>
      <c r="BC47" s="47"/>
      <c r="BD47" s="47"/>
      <c r="BE47" s="47"/>
      <c r="BF47" s="47"/>
      <c r="BG47" s="47"/>
      <c r="BH47" s="47"/>
      <c r="BI47" s="47"/>
      <c r="BJ47" s="47"/>
      <c r="BK47" s="46" t="str">
        <f aca="false">IFERROR(IF(W47&lt;&gt;"",VALUE(W47),""),"")</f>
        <v/>
      </c>
      <c r="BL47" s="46" t="str">
        <f aca="false">IFERROR(IF(X47&lt;&gt;"",VALUE(X47),""),"")</f>
        <v/>
      </c>
      <c r="BM47" s="46" t="str">
        <f aca="false">IFERROR(IF(AD47="","None",IF(ISNUMBER(SEARCH("surv",AD47)),"Survived",IF(ISNUMBER(SEARCH("pend",AD47)),"Pending",IF(ISNUMBER(SEARCH("yes",AD47)),"Pending","None")))),"None")</f>
        <v>None</v>
      </c>
      <c r="BN47" s="47"/>
      <c r="BO47" s="47"/>
      <c r="BP47" s="47"/>
      <c r="BQ47" s="47"/>
      <c r="BR47" s="47"/>
      <c r="BS47" s="47"/>
      <c r="BT47" s="47"/>
      <c r="BU47" s="48" t="n">
        <f aca="false">IFERROR(COUNTA(AE47:BT47)/42,0)</f>
        <v>0.30952380952381</v>
      </c>
      <c r="BV47" s="49"/>
      <c r="BW47" s="50" t="b">
        <f aca="false">IF(Configuration!$C$10="No","",IFERROR(IF(AG47&lt;&gt;"",TRUE(),FALSE()),FALSE()))</f>
        <v>0</v>
      </c>
      <c r="BX47" s="50" t="b">
        <f aca="false">IF(Configuration!$C$11="No","",IFERROR(IF(AND(N(AL47)&gt;=Configuration!$C$44,AM47&lt;&gt;""),TRUE(),FALSE()),FALSE()))</f>
        <v>0</v>
      </c>
      <c r="BY47" s="50" t="b">
        <f aca="false">IF(Configuration!$C$12="No","",IFERROR(IF(AJ47&lt;&gt;"",TRUE(),FALSE()),FALSE()))</f>
        <v>0</v>
      </c>
      <c r="BZ47" s="50" t="b">
        <f aca="false">IF(Configuration!$C$13="No","",IFERROR(IF(AI47&lt;&gt;"",TRUE(),FALSE()),FALSE()))</f>
        <v>0</v>
      </c>
      <c r="CA47" s="50" t="b">
        <f aca="false">IF(Configuration!$C$14="No","",IFERROR(IF(AK47&lt;&gt;"",TRUE(),FALSE()),FALSE()))</f>
        <v>0</v>
      </c>
      <c r="CB47" s="50" t="b">
        <f aca="false">IF(Configuration!$C$15="No","",IFERROR(IF(AND(OR(ISNUMBER(SEARCH("process",AG47)),ISNUMBER(SEARCH("fab",AG47)),ISNUMBER(SEARCH("manufac",AG47))),AO47="Method"),TRUE(),FALSE()),FALSE()))</f>
        <v>0</v>
      </c>
      <c r="CC47" s="50" t="b">
        <f aca="false">IF(Configuration!$C$16="No","",IFERROR(IF(AND(OR(ISNUMBER(SEARCH("material",AG47)),ISNUMBER(SEARCH("chem",AG47)),ISNUMBER(SEARCH("battery",AG47)),ISNUMBER(SEARCH("electrolyte",AG47)),ISNUMBER(SEARCH("polymer",AG47))),OR(AO47="Apparatus",AO47="Method")),TRUE(),FALSE()),FALSE()))</f>
        <v>0</v>
      </c>
      <c r="CD47" s="50" t="b">
        <f aca="false">IF(Configuration!$C$17="No","",IFERROR(IF(AND(OR(AI47="App",AI47="Middleware",AI47="Cloud"),OR(AO47="Method",AO47="CRM")),TRUE(),FALSE()),FALSE()))</f>
        <v>0</v>
      </c>
      <c r="CE47" s="50" t="b">
        <f aca="false">IF(Configuration!$C$18="No","",IFERROR(IF(N(AN47)&gt;=Configuration!$C$45,TRUE(),FALSE()),FALSE()))</f>
        <v>0</v>
      </c>
      <c r="CF47" s="50" t="b">
        <f aca="false">IF(Configuration!$C$19="No","",IFERROR(IF(BE47&lt;&gt;"",TRUE(),FALSE()),FALSE()))</f>
        <v>0</v>
      </c>
      <c r="CG47" s="50" t="b">
        <f aca="false">IF(Configuration!$C$20="No","",IFERROR(IF(AO47&lt;&gt;"",TRUE(),FALSE()),FALSE()))</f>
        <v>0</v>
      </c>
      <c r="CH47" s="50" t="b">
        <f aca="false">IF(Configuration!$C$21="No","",IFERROR(IF(OR(N(AS47)&gt;=Configuration!$C$46,N(AT47)&gt;=Configuration!$C$47),TRUE(),FALSE()),FALSE()))</f>
        <v>0</v>
      </c>
      <c r="CI47" s="50" t="b">
        <f aca="false">IF(Configuration!$C$22="No","",IFERROR(IF(BB47="Yes",TRUE(),FALSE()),FALSE()))</f>
        <v>0</v>
      </c>
      <c r="CJ47" s="50" t="b">
        <f aca="false">IF(Configuration!$C$23="No","",IFERROR(IF(N(AV47)&gt;=Configuration!$C$48,TRUE(),FALSE()),FALSE()))</f>
        <v>0</v>
      </c>
      <c r="CK47" s="50" t="b">
        <f aca="false">IF(Configuration!$C$24="No","",IFERROR(IF(N(AY47)&gt;0,TRUE(),FALSE()),FALSE()))</f>
        <v>0</v>
      </c>
      <c r="CL47" s="50" t="b">
        <f aca="false">IF(Configuration!$C$25="No","",IFERROR(IF(OR(N(AP47)=3,N(AP47)&lt;=1),TRUE(),FALSE()),FALSE()))</f>
        <v>1</v>
      </c>
      <c r="CM47" s="50" t="b">
        <f aca="false">IF(Configuration!$C$26="No","",IFERROR(IF(N(BF47)&gt;=Configuration!$C$49,TRUE(),FALSE()),FALSE()))</f>
        <v>0</v>
      </c>
      <c r="CN47" s="50" t="b">
        <f aca="false">IF(Configuration!$C$27="No","",IFERROR(IF(BD47&lt;&gt;"",TRUE(),FALSE()),FALSE()))</f>
        <v>0</v>
      </c>
      <c r="CO47" s="50" t="b">
        <f aca="false">IF(Configuration!$C$28="No","",IFERROR(IF(N(AU47)&gt;=Configuration!$C$50,TRUE(),FALSE()),FALSE()))</f>
        <v>0</v>
      </c>
      <c r="CP47" s="50" t="b">
        <f aca="false">IF(Configuration!$C$29="No","",IFERROR(IF(AND(N(AR47)&gt;=Configuration!$C$51,AG47&lt;&gt;""),TRUE(),FALSE()),FALSE()))</f>
        <v>0</v>
      </c>
      <c r="CQ47" s="50" t="b">
        <f aca="false">IF(Configuration!$C$30="No","",IFERROR(IF(OR(AW47="Pending",AX47="Yes"),TRUE(),FALSE()),FALSE()))</f>
        <v>0</v>
      </c>
      <c r="CR47" s="50" t="b">
        <f aca="false">IF(Configuration!$C$31="No","",IFERROR(IF(AND(N(BG47)&gt;=Configuration!$C$52,N(AP47)&gt;=1),TRUE(),FALSE()),FALSE()))</f>
        <v>0</v>
      </c>
      <c r="CS47" s="50" t="b">
        <f aca="false">IF(Configuration!$C$32="No","",IFERROR(IF(AND(N(AR47)&gt;=1,OR(AG47&lt;&gt;"",AM47&lt;&gt;"")),TRUE(),FALSE()),FALSE()))</f>
        <v>0</v>
      </c>
      <c r="CT47" s="50" t="b">
        <f aca="false">IF(Configuration!$C$33="No","",IFERROR(IF(AG47&lt;&gt;"",TRUE(),FALSE()),FALSE()))</f>
        <v>0</v>
      </c>
      <c r="CU47" s="50" t="b">
        <f aca="false">IF(Configuration!$C$34="No","",IFERROR(IF(AX47="Yes",TRUE(),FALSE()),FALSE()))</f>
        <v>0</v>
      </c>
      <c r="CV47" s="50" t="b">
        <f aca="false">IF(Configuration!$C$35="No","",IFERROR(IF(OR(BO47="Partial",BO47="Full"),TRUE(),FALSE()),FALSE()))</f>
        <v>0</v>
      </c>
      <c r="CW47" s="50" t="b">
        <f aca="false">IF(Configuration!$C$36="No","",IFERROR(IF(BM47="Survived",TRUE(),FALSE()),FALSE()))</f>
        <v>0</v>
      </c>
      <c r="CX47" s="50" t="b">
        <f aca="false">IF(Configuration!$C$37="No","",IFERROR(IF(AND(BN47="Clean",BP47="None"),TRUE(),FALSE()),FALSE()))</f>
        <v>0</v>
      </c>
      <c r="CY47" s="50" t="b">
        <f aca="false">IF(Configuration!$C$38="No","",IFERROR(IF(N(BK47)&gt;=Configuration!$C$53,TRUE(),FALSE()),FALSE()))</f>
        <v>0</v>
      </c>
      <c r="CZ47" s="50" t="b">
        <f aca="false">IF(Configuration!$C$39="No","",IFERROR(IF(AND(N(BS47)&gt;=2,N(BF47)&gt;=2),TRUE(),FALSE()),FALSE()))</f>
        <v>0</v>
      </c>
      <c r="DA47" s="50" t="b">
        <f aca="false">IF(Configuration!$C$40="No","",IFERROR(IF(OR(N(BG47)&lt;=Configuration!$C$56,N(AY47)&lt;Configuration!$C$57,N(BH47)&lt;=Configuration!$C$58),TRUE(),FALSE()),FALSE()))</f>
        <v>1</v>
      </c>
      <c r="DB47" s="50" t="b">
        <f aca="false">IF(Configuration!$C$41="No","",IFERROR(IF(AND(N(AY47)&gt;=Configuration!$C$54,N(AY47)&lt;=Configuration!$C$55),TRUE(),FALSE()),FALSE()))</f>
        <v>0</v>
      </c>
      <c r="DC47" s="50" t="b">
        <f aca="false">IF(Configuration!$C$42="No","",IFERROR(IF(AND(AG47&lt;&gt;"",AJ47&lt;&gt;""),TRUE(),FALSE()),FALSE()))</f>
        <v>0</v>
      </c>
      <c r="DD47" s="51" t="n">
        <f aca="false">COUNTIF(BW47:DC47,TRUE())</f>
        <v>2</v>
      </c>
    </row>
    <row r="48" customFormat="false" ht="15" hidden="false" customHeight="true" outlineLevel="0" collapsed="false">
      <c r="A48" s="18" t="n">
        <v>9</v>
      </c>
      <c r="B48" s="44"/>
      <c r="C48" s="44"/>
      <c r="D48" s="44"/>
      <c r="E48" s="44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6" t="str">
        <f aca="false">IFERROR(IF(F48&lt;&gt;"",F48,""),"")</f>
        <v/>
      </c>
      <c r="AF48" s="46" t="str">
        <f aca="false">IFERROR(IF(G48&lt;&gt;"",G48,""),"")</f>
        <v/>
      </c>
      <c r="AG48" s="46" t="str">
        <f aca="false">IFERROR(IF(AA48&lt;&gt;"",AA48,IF(R48&lt;&gt;"",R48,"")),"")</f>
        <v/>
      </c>
      <c r="AH48" s="46" t="str">
        <f aca="false">IFERROR(IF(AB48&lt;&gt;"",AB48,IF(S48&lt;&gt;"",S48,"")),"")</f>
        <v/>
      </c>
      <c r="AI48" s="47"/>
      <c r="AJ48" s="47"/>
      <c r="AK48" s="47"/>
      <c r="AL48" s="47"/>
      <c r="AM48" s="47"/>
      <c r="AN48" s="47"/>
      <c r="AO48" s="47"/>
      <c r="AP48" s="47"/>
      <c r="AQ48" s="46" t="str">
        <f aca="false">IFERROR(IF(Y48&lt;&gt;"",VALUE(Y48),""),"")</f>
        <v/>
      </c>
      <c r="AR48" s="47"/>
      <c r="AS48" s="47"/>
      <c r="AT48" s="47"/>
      <c r="AU48" s="47"/>
      <c r="AV48" s="46" t="str">
        <f aca="false">IFERROR(IF(T48&lt;&gt;"",VALUE(T48),""),"")</f>
        <v/>
      </c>
      <c r="AW48" s="46" t="str">
        <f aca="false">IFERROR(IF(N48="","",IF(OR(ISNUMBER(SEARCH("grant",N48)),ISNUMBER(SEARCH("B",AC48))),"Granted",IF(OR(ISNUMBER(SEARCH("pend",N48)),ISNUMBER(SEARCH("A",AC48))),"Pending",IF(ISNUMBER(SEARCH("expir",N48)),"Expired",N48)))),"")</f>
        <v/>
      </c>
      <c r="AX48" s="47"/>
      <c r="AY48" s="46" t="str">
        <f aca="true">IFERROR(IF(M48&lt;&gt;"",ROUND(VALUE(M48),1),IF(L48&lt;&gt;"",ROUND(MAX(0,(DATEVALUE(TEXT(L48,"YYYY-MM-DD"))-TODAY())/365.25),1),"")),"")</f>
        <v/>
      </c>
      <c r="AZ48" s="46" t="str">
        <f aca="false">IFERROR(IF(O48&lt;&gt;"",O48,""),"")</f>
        <v/>
      </c>
      <c r="BA48" s="46" t="str">
        <f aca="false">IFERROR(IF(U48&lt;&gt;"",SUBSTITUTE(SUBSTITUTE(U48,"; ",", "),";",","),""),"")</f>
        <v/>
      </c>
      <c r="BB48" s="47"/>
      <c r="BC48" s="47"/>
      <c r="BD48" s="47"/>
      <c r="BE48" s="47"/>
      <c r="BF48" s="47"/>
      <c r="BG48" s="47"/>
      <c r="BH48" s="47"/>
      <c r="BI48" s="47"/>
      <c r="BJ48" s="47"/>
      <c r="BK48" s="46" t="str">
        <f aca="false">IFERROR(IF(W48&lt;&gt;"",VALUE(W48),""),"")</f>
        <v/>
      </c>
      <c r="BL48" s="46" t="str">
        <f aca="false">IFERROR(IF(X48&lt;&gt;"",VALUE(X48),""),"")</f>
        <v/>
      </c>
      <c r="BM48" s="46" t="str">
        <f aca="false">IFERROR(IF(AD48="","None",IF(ISNUMBER(SEARCH("surv",AD48)),"Survived",IF(ISNUMBER(SEARCH("pend",AD48)),"Pending",IF(ISNUMBER(SEARCH("yes",AD48)),"Pending","None")))),"None")</f>
        <v>None</v>
      </c>
      <c r="BN48" s="47"/>
      <c r="BO48" s="47"/>
      <c r="BP48" s="47"/>
      <c r="BQ48" s="47"/>
      <c r="BR48" s="47"/>
      <c r="BS48" s="47"/>
      <c r="BT48" s="47"/>
      <c r="BU48" s="48" t="n">
        <f aca="false">IFERROR(COUNTA(AE48:BT48)/42,0)</f>
        <v>0.30952380952381</v>
      </c>
      <c r="BV48" s="49"/>
      <c r="BW48" s="50" t="b">
        <f aca="false">IF(Configuration!$C$10="No","",IFERROR(IF(AG48&lt;&gt;"",TRUE(),FALSE()),FALSE()))</f>
        <v>0</v>
      </c>
      <c r="BX48" s="50" t="b">
        <f aca="false">IF(Configuration!$C$11="No","",IFERROR(IF(AND(N(AL48)&gt;=Configuration!$C$44,AM48&lt;&gt;""),TRUE(),FALSE()),FALSE()))</f>
        <v>0</v>
      </c>
      <c r="BY48" s="50" t="b">
        <f aca="false">IF(Configuration!$C$12="No","",IFERROR(IF(AJ48&lt;&gt;"",TRUE(),FALSE()),FALSE()))</f>
        <v>0</v>
      </c>
      <c r="BZ48" s="50" t="b">
        <f aca="false">IF(Configuration!$C$13="No","",IFERROR(IF(AI48&lt;&gt;"",TRUE(),FALSE()),FALSE()))</f>
        <v>0</v>
      </c>
      <c r="CA48" s="50" t="b">
        <f aca="false">IF(Configuration!$C$14="No","",IFERROR(IF(AK48&lt;&gt;"",TRUE(),FALSE()),FALSE()))</f>
        <v>0</v>
      </c>
      <c r="CB48" s="50" t="b">
        <f aca="false">IF(Configuration!$C$15="No","",IFERROR(IF(AND(OR(ISNUMBER(SEARCH("process",AG48)),ISNUMBER(SEARCH("fab",AG48)),ISNUMBER(SEARCH("manufac",AG48))),AO48="Method"),TRUE(),FALSE()),FALSE()))</f>
        <v>0</v>
      </c>
      <c r="CC48" s="50" t="b">
        <f aca="false">IF(Configuration!$C$16="No","",IFERROR(IF(AND(OR(ISNUMBER(SEARCH("material",AG48)),ISNUMBER(SEARCH("chem",AG48)),ISNUMBER(SEARCH("battery",AG48)),ISNUMBER(SEARCH("electrolyte",AG48)),ISNUMBER(SEARCH("polymer",AG48))),OR(AO48="Apparatus",AO48="Method")),TRUE(),FALSE()),FALSE()))</f>
        <v>0</v>
      </c>
      <c r="CD48" s="50" t="b">
        <f aca="false">IF(Configuration!$C$17="No","",IFERROR(IF(AND(OR(AI48="App",AI48="Middleware",AI48="Cloud"),OR(AO48="Method",AO48="CRM")),TRUE(),FALSE()),FALSE()))</f>
        <v>0</v>
      </c>
      <c r="CE48" s="50" t="b">
        <f aca="false">IF(Configuration!$C$18="No","",IFERROR(IF(N(AN48)&gt;=Configuration!$C$45,TRUE(),FALSE()),FALSE()))</f>
        <v>0</v>
      </c>
      <c r="CF48" s="50" t="b">
        <f aca="false">IF(Configuration!$C$19="No","",IFERROR(IF(BE48&lt;&gt;"",TRUE(),FALSE()),FALSE()))</f>
        <v>0</v>
      </c>
      <c r="CG48" s="50" t="b">
        <f aca="false">IF(Configuration!$C$20="No","",IFERROR(IF(AO48&lt;&gt;"",TRUE(),FALSE()),FALSE()))</f>
        <v>0</v>
      </c>
      <c r="CH48" s="50" t="b">
        <f aca="false">IF(Configuration!$C$21="No","",IFERROR(IF(OR(N(AS48)&gt;=Configuration!$C$46,N(AT48)&gt;=Configuration!$C$47),TRUE(),FALSE()),FALSE()))</f>
        <v>0</v>
      </c>
      <c r="CI48" s="50" t="b">
        <f aca="false">IF(Configuration!$C$22="No","",IFERROR(IF(BB48="Yes",TRUE(),FALSE()),FALSE()))</f>
        <v>0</v>
      </c>
      <c r="CJ48" s="50" t="b">
        <f aca="false">IF(Configuration!$C$23="No","",IFERROR(IF(N(AV48)&gt;=Configuration!$C$48,TRUE(),FALSE()),FALSE()))</f>
        <v>0</v>
      </c>
      <c r="CK48" s="50" t="b">
        <f aca="false">IF(Configuration!$C$24="No","",IFERROR(IF(N(AY48)&gt;0,TRUE(),FALSE()),FALSE()))</f>
        <v>0</v>
      </c>
      <c r="CL48" s="50" t="b">
        <f aca="false">IF(Configuration!$C$25="No","",IFERROR(IF(OR(N(AP48)=3,N(AP48)&lt;=1),TRUE(),FALSE()),FALSE()))</f>
        <v>1</v>
      </c>
      <c r="CM48" s="50" t="b">
        <f aca="false">IF(Configuration!$C$26="No","",IFERROR(IF(N(BF48)&gt;=Configuration!$C$49,TRUE(),FALSE()),FALSE()))</f>
        <v>0</v>
      </c>
      <c r="CN48" s="50" t="b">
        <f aca="false">IF(Configuration!$C$27="No","",IFERROR(IF(BD48&lt;&gt;"",TRUE(),FALSE()),FALSE()))</f>
        <v>0</v>
      </c>
      <c r="CO48" s="50" t="b">
        <f aca="false">IF(Configuration!$C$28="No","",IFERROR(IF(N(AU48)&gt;=Configuration!$C$50,TRUE(),FALSE()),FALSE()))</f>
        <v>0</v>
      </c>
      <c r="CP48" s="50" t="b">
        <f aca="false">IF(Configuration!$C$29="No","",IFERROR(IF(AND(N(AR48)&gt;=Configuration!$C$51,AG48&lt;&gt;""),TRUE(),FALSE()),FALSE()))</f>
        <v>0</v>
      </c>
      <c r="CQ48" s="50" t="b">
        <f aca="false">IF(Configuration!$C$30="No","",IFERROR(IF(OR(AW48="Pending",AX48="Yes"),TRUE(),FALSE()),FALSE()))</f>
        <v>0</v>
      </c>
      <c r="CR48" s="50" t="b">
        <f aca="false">IF(Configuration!$C$31="No","",IFERROR(IF(AND(N(BG48)&gt;=Configuration!$C$52,N(AP48)&gt;=1),TRUE(),FALSE()),FALSE()))</f>
        <v>0</v>
      </c>
      <c r="CS48" s="50" t="b">
        <f aca="false">IF(Configuration!$C$32="No","",IFERROR(IF(AND(N(AR48)&gt;=1,OR(AG48&lt;&gt;"",AM48&lt;&gt;"")),TRUE(),FALSE()),FALSE()))</f>
        <v>0</v>
      </c>
      <c r="CT48" s="50" t="b">
        <f aca="false">IF(Configuration!$C$33="No","",IFERROR(IF(AG48&lt;&gt;"",TRUE(),FALSE()),FALSE()))</f>
        <v>0</v>
      </c>
      <c r="CU48" s="50" t="b">
        <f aca="false">IF(Configuration!$C$34="No","",IFERROR(IF(AX48="Yes",TRUE(),FALSE()),FALSE()))</f>
        <v>0</v>
      </c>
      <c r="CV48" s="50" t="b">
        <f aca="false">IF(Configuration!$C$35="No","",IFERROR(IF(OR(BO48="Partial",BO48="Full"),TRUE(),FALSE()),FALSE()))</f>
        <v>0</v>
      </c>
      <c r="CW48" s="50" t="b">
        <f aca="false">IF(Configuration!$C$36="No","",IFERROR(IF(BM48="Survived",TRUE(),FALSE()),FALSE()))</f>
        <v>0</v>
      </c>
      <c r="CX48" s="50" t="b">
        <f aca="false">IF(Configuration!$C$37="No","",IFERROR(IF(AND(BN48="Clean",BP48="None"),TRUE(),FALSE()),FALSE()))</f>
        <v>0</v>
      </c>
      <c r="CY48" s="50" t="b">
        <f aca="false">IF(Configuration!$C$38="No","",IFERROR(IF(N(BK48)&gt;=Configuration!$C$53,TRUE(),FALSE()),FALSE()))</f>
        <v>0</v>
      </c>
      <c r="CZ48" s="50" t="b">
        <f aca="false">IF(Configuration!$C$39="No","",IFERROR(IF(AND(N(BS48)&gt;=2,N(BF48)&gt;=2),TRUE(),FALSE()),FALSE()))</f>
        <v>0</v>
      </c>
      <c r="DA48" s="50" t="b">
        <f aca="false">IF(Configuration!$C$40="No","",IFERROR(IF(OR(N(BG48)&lt;=Configuration!$C$56,N(AY48)&lt;Configuration!$C$57,N(BH48)&lt;=Configuration!$C$58),TRUE(),FALSE()),FALSE()))</f>
        <v>1</v>
      </c>
      <c r="DB48" s="50" t="b">
        <f aca="false">IF(Configuration!$C$41="No","",IFERROR(IF(AND(N(AY48)&gt;=Configuration!$C$54,N(AY48)&lt;=Configuration!$C$55),TRUE(),FALSE()),FALSE()))</f>
        <v>0</v>
      </c>
      <c r="DC48" s="50" t="b">
        <f aca="false">IF(Configuration!$C$42="No","",IFERROR(IF(AND(AG48&lt;&gt;"",AJ48&lt;&gt;""),TRUE(),FALSE()),FALSE()))</f>
        <v>0</v>
      </c>
      <c r="DD48" s="51" t="n">
        <f aca="false">COUNTIF(BW48:DC48,TRUE())</f>
        <v>2</v>
      </c>
    </row>
    <row r="49" customFormat="false" ht="15" hidden="false" customHeight="true" outlineLevel="0" collapsed="false">
      <c r="A49" s="18" t="n">
        <v>10</v>
      </c>
      <c r="B49" s="44"/>
      <c r="C49" s="44"/>
      <c r="D49" s="44"/>
      <c r="E49" s="44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6" t="str">
        <f aca="false">IFERROR(IF(F49&lt;&gt;"",F49,""),"")</f>
        <v/>
      </c>
      <c r="AF49" s="46" t="str">
        <f aca="false">IFERROR(IF(G49&lt;&gt;"",G49,""),"")</f>
        <v/>
      </c>
      <c r="AG49" s="46" t="str">
        <f aca="false">IFERROR(IF(AA49&lt;&gt;"",AA49,IF(R49&lt;&gt;"",R49,"")),"")</f>
        <v/>
      </c>
      <c r="AH49" s="46" t="str">
        <f aca="false">IFERROR(IF(AB49&lt;&gt;"",AB49,IF(S49&lt;&gt;"",S49,"")),"")</f>
        <v/>
      </c>
      <c r="AI49" s="47"/>
      <c r="AJ49" s="47"/>
      <c r="AK49" s="47"/>
      <c r="AL49" s="47"/>
      <c r="AM49" s="47"/>
      <c r="AN49" s="47"/>
      <c r="AO49" s="47"/>
      <c r="AP49" s="47"/>
      <c r="AQ49" s="46" t="str">
        <f aca="false">IFERROR(IF(Y49&lt;&gt;"",VALUE(Y49),""),"")</f>
        <v/>
      </c>
      <c r="AR49" s="47"/>
      <c r="AS49" s="47"/>
      <c r="AT49" s="47"/>
      <c r="AU49" s="47"/>
      <c r="AV49" s="46" t="str">
        <f aca="false">IFERROR(IF(T49&lt;&gt;"",VALUE(T49),""),"")</f>
        <v/>
      </c>
      <c r="AW49" s="46" t="str">
        <f aca="false">IFERROR(IF(N49="","",IF(OR(ISNUMBER(SEARCH("grant",N49)),ISNUMBER(SEARCH("B",AC49))),"Granted",IF(OR(ISNUMBER(SEARCH("pend",N49)),ISNUMBER(SEARCH("A",AC49))),"Pending",IF(ISNUMBER(SEARCH("expir",N49)),"Expired",N49)))),"")</f>
        <v/>
      </c>
      <c r="AX49" s="47"/>
      <c r="AY49" s="46" t="str">
        <f aca="true">IFERROR(IF(M49&lt;&gt;"",ROUND(VALUE(M49),1),IF(L49&lt;&gt;"",ROUND(MAX(0,(DATEVALUE(TEXT(L49,"YYYY-MM-DD"))-TODAY())/365.25),1),"")),"")</f>
        <v/>
      </c>
      <c r="AZ49" s="46" t="str">
        <f aca="false">IFERROR(IF(O49&lt;&gt;"",O49,""),"")</f>
        <v/>
      </c>
      <c r="BA49" s="46" t="str">
        <f aca="false">IFERROR(IF(U49&lt;&gt;"",SUBSTITUTE(SUBSTITUTE(U49,"; ",", "),";",","),""),"")</f>
        <v/>
      </c>
      <c r="BB49" s="47"/>
      <c r="BC49" s="47"/>
      <c r="BD49" s="47"/>
      <c r="BE49" s="47"/>
      <c r="BF49" s="47"/>
      <c r="BG49" s="47"/>
      <c r="BH49" s="47"/>
      <c r="BI49" s="47"/>
      <c r="BJ49" s="47"/>
      <c r="BK49" s="46" t="str">
        <f aca="false">IFERROR(IF(W49&lt;&gt;"",VALUE(W49),""),"")</f>
        <v/>
      </c>
      <c r="BL49" s="46" t="str">
        <f aca="false">IFERROR(IF(X49&lt;&gt;"",VALUE(X49),""),"")</f>
        <v/>
      </c>
      <c r="BM49" s="46" t="str">
        <f aca="false">IFERROR(IF(AD49="","None",IF(ISNUMBER(SEARCH("surv",AD49)),"Survived",IF(ISNUMBER(SEARCH("pend",AD49)),"Pending",IF(ISNUMBER(SEARCH("yes",AD49)),"Pending","None")))),"None")</f>
        <v>None</v>
      </c>
      <c r="BN49" s="47"/>
      <c r="BO49" s="47"/>
      <c r="BP49" s="47"/>
      <c r="BQ49" s="47"/>
      <c r="BR49" s="47"/>
      <c r="BS49" s="47"/>
      <c r="BT49" s="47"/>
      <c r="BU49" s="48" t="n">
        <f aca="false">IFERROR(COUNTA(AE49:BT49)/42,0)</f>
        <v>0.30952380952381</v>
      </c>
      <c r="BV49" s="49"/>
      <c r="BW49" s="50" t="b">
        <f aca="false">IF(Configuration!$C$10="No","",IFERROR(IF(AG49&lt;&gt;"",TRUE(),FALSE()),FALSE()))</f>
        <v>0</v>
      </c>
      <c r="BX49" s="50" t="b">
        <f aca="false">IF(Configuration!$C$11="No","",IFERROR(IF(AND(N(AL49)&gt;=Configuration!$C$44,AM49&lt;&gt;""),TRUE(),FALSE()),FALSE()))</f>
        <v>0</v>
      </c>
      <c r="BY49" s="50" t="b">
        <f aca="false">IF(Configuration!$C$12="No","",IFERROR(IF(AJ49&lt;&gt;"",TRUE(),FALSE()),FALSE()))</f>
        <v>0</v>
      </c>
      <c r="BZ49" s="50" t="b">
        <f aca="false">IF(Configuration!$C$13="No","",IFERROR(IF(AI49&lt;&gt;"",TRUE(),FALSE()),FALSE()))</f>
        <v>0</v>
      </c>
      <c r="CA49" s="50" t="b">
        <f aca="false">IF(Configuration!$C$14="No","",IFERROR(IF(AK49&lt;&gt;"",TRUE(),FALSE()),FALSE()))</f>
        <v>0</v>
      </c>
      <c r="CB49" s="50" t="b">
        <f aca="false">IF(Configuration!$C$15="No","",IFERROR(IF(AND(OR(ISNUMBER(SEARCH("process",AG49)),ISNUMBER(SEARCH("fab",AG49)),ISNUMBER(SEARCH("manufac",AG49))),AO49="Method"),TRUE(),FALSE()),FALSE()))</f>
        <v>0</v>
      </c>
      <c r="CC49" s="50" t="b">
        <f aca="false">IF(Configuration!$C$16="No","",IFERROR(IF(AND(OR(ISNUMBER(SEARCH("material",AG49)),ISNUMBER(SEARCH("chem",AG49)),ISNUMBER(SEARCH("battery",AG49)),ISNUMBER(SEARCH("electrolyte",AG49)),ISNUMBER(SEARCH("polymer",AG49))),OR(AO49="Apparatus",AO49="Method")),TRUE(),FALSE()),FALSE()))</f>
        <v>0</v>
      </c>
      <c r="CD49" s="50" t="b">
        <f aca="false">IF(Configuration!$C$17="No","",IFERROR(IF(AND(OR(AI49="App",AI49="Middleware",AI49="Cloud"),OR(AO49="Method",AO49="CRM")),TRUE(),FALSE()),FALSE()))</f>
        <v>0</v>
      </c>
      <c r="CE49" s="50" t="b">
        <f aca="false">IF(Configuration!$C$18="No","",IFERROR(IF(N(AN49)&gt;=Configuration!$C$45,TRUE(),FALSE()),FALSE()))</f>
        <v>0</v>
      </c>
      <c r="CF49" s="50" t="b">
        <f aca="false">IF(Configuration!$C$19="No","",IFERROR(IF(BE49&lt;&gt;"",TRUE(),FALSE()),FALSE()))</f>
        <v>0</v>
      </c>
      <c r="CG49" s="50" t="b">
        <f aca="false">IF(Configuration!$C$20="No","",IFERROR(IF(AO49&lt;&gt;"",TRUE(),FALSE()),FALSE()))</f>
        <v>0</v>
      </c>
      <c r="CH49" s="50" t="b">
        <f aca="false">IF(Configuration!$C$21="No","",IFERROR(IF(OR(N(AS49)&gt;=Configuration!$C$46,N(AT49)&gt;=Configuration!$C$47),TRUE(),FALSE()),FALSE()))</f>
        <v>0</v>
      </c>
      <c r="CI49" s="50" t="b">
        <f aca="false">IF(Configuration!$C$22="No","",IFERROR(IF(BB49="Yes",TRUE(),FALSE()),FALSE()))</f>
        <v>0</v>
      </c>
      <c r="CJ49" s="50" t="b">
        <f aca="false">IF(Configuration!$C$23="No","",IFERROR(IF(N(AV49)&gt;=Configuration!$C$48,TRUE(),FALSE()),FALSE()))</f>
        <v>0</v>
      </c>
      <c r="CK49" s="50" t="b">
        <f aca="false">IF(Configuration!$C$24="No","",IFERROR(IF(N(AY49)&gt;0,TRUE(),FALSE()),FALSE()))</f>
        <v>0</v>
      </c>
      <c r="CL49" s="50" t="b">
        <f aca="false">IF(Configuration!$C$25="No","",IFERROR(IF(OR(N(AP49)=3,N(AP49)&lt;=1),TRUE(),FALSE()),FALSE()))</f>
        <v>1</v>
      </c>
      <c r="CM49" s="50" t="b">
        <f aca="false">IF(Configuration!$C$26="No","",IFERROR(IF(N(BF49)&gt;=Configuration!$C$49,TRUE(),FALSE()),FALSE()))</f>
        <v>0</v>
      </c>
      <c r="CN49" s="50" t="b">
        <f aca="false">IF(Configuration!$C$27="No","",IFERROR(IF(BD49&lt;&gt;"",TRUE(),FALSE()),FALSE()))</f>
        <v>0</v>
      </c>
      <c r="CO49" s="50" t="b">
        <f aca="false">IF(Configuration!$C$28="No","",IFERROR(IF(N(AU49)&gt;=Configuration!$C$50,TRUE(),FALSE()),FALSE()))</f>
        <v>0</v>
      </c>
      <c r="CP49" s="50" t="b">
        <f aca="false">IF(Configuration!$C$29="No","",IFERROR(IF(AND(N(AR49)&gt;=Configuration!$C$51,AG49&lt;&gt;""),TRUE(),FALSE()),FALSE()))</f>
        <v>0</v>
      </c>
      <c r="CQ49" s="50" t="b">
        <f aca="false">IF(Configuration!$C$30="No","",IFERROR(IF(OR(AW49="Pending",AX49="Yes"),TRUE(),FALSE()),FALSE()))</f>
        <v>0</v>
      </c>
      <c r="CR49" s="50" t="b">
        <f aca="false">IF(Configuration!$C$31="No","",IFERROR(IF(AND(N(BG49)&gt;=Configuration!$C$52,N(AP49)&gt;=1),TRUE(),FALSE()),FALSE()))</f>
        <v>0</v>
      </c>
      <c r="CS49" s="50" t="b">
        <f aca="false">IF(Configuration!$C$32="No","",IFERROR(IF(AND(N(AR49)&gt;=1,OR(AG49&lt;&gt;"",AM49&lt;&gt;"")),TRUE(),FALSE()),FALSE()))</f>
        <v>0</v>
      </c>
      <c r="CT49" s="50" t="b">
        <f aca="false">IF(Configuration!$C$33="No","",IFERROR(IF(AG49&lt;&gt;"",TRUE(),FALSE()),FALSE()))</f>
        <v>0</v>
      </c>
      <c r="CU49" s="50" t="b">
        <f aca="false">IF(Configuration!$C$34="No","",IFERROR(IF(AX49="Yes",TRUE(),FALSE()),FALSE()))</f>
        <v>0</v>
      </c>
      <c r="CV49" s="50" t="b">
        <f aca="false">IF(Configuration!$C$35="No","",IFERROR(IF(OR(BO49="Partial",BO49="Full"),TRUE(),FALSE()),FALSE()))</f>
        <v>0</v>
      </c>
      <c r="CW49" s="50" t="b">
        <f aca="false">IF(Configuration!$C$36="No","",IFERROR(IF(BM49="Survived",TRUE(),FALSE()),FALSE()))</f>
        <v>0</v>
      </c>
      <c r="CX49" s="50" t="b">
        <f aca="false">IF(Configuration!$C$37="No","",IFERROR(IF(AND(BN49="Clean",BP49="None"),TRUE(),FALSE()),FALSE()))</f>
        <v>0</v>
      </c>
      <c r="CY49" s="50" t="b">
        <f aca="false">IF(Configuration!$C$38="No","",IFERROR(IF(N(BK49)&gt;=Configuration!$C$53,TRUE(),FALSE()),FALSE()))</f>
        <v>0</v>
      </c>
      <c r="CZ49" s="50" t="b">
        <f aca="false">IF(Configuration!$C$39="No","",IFERROR(IF(AND(N(BS49)&gt;=2,N(BF49)&gt;=2),TRUE(),FALSE()),FALSE()))</f>
        <v>0</v>
      </c>
      <c r="DA49" s="50" t="b">
        <f aca="false">IF(Configuration!$C$40="No","",IFERROR(IF(OR(N(BG49)&lt;=Configuration!$C$56,N(AY49)&lt;Configuration!$C$57,N(BH49)&lt;=Configuration!$C$58),TRUE(),FALSE()),FALSE()))</f>
        <v>1</v>
      </c>
      <c r="DB49" s="50" t="b">
        <f aca="false">IF(Configuration!$C$41="No","",IFERROR(IF(AND(N(AY49)&gt;=Configuration!$C$54,N(AY49)&lt;=Configuration!$C$55),TRUE(),FALSE()),FALSE()))</f>
        <v>0</v>
      </c>
      <c r="DC49" s="50" t="b">
        <f aca="false">IF(Configuration!$C$42="No","",IFERROR(IF(AND(AG49&lt;&gt;"",AJ49&lt;&gt;""),TRUE(),FALSE()),FALSE()))</f>
        <v>0</v>
      </c>
      <c r="DD49" s="51" t="n">
        <f aca="false">COUNTIF(BW49:DC49,TRUE())</f>
        <v>2</v>
      </c>
    </row>
    <row r="50" customFormat="false" ht="15" hidden="false" customHeight="true" outlineLevel="0" collapsed="false">
      <c r="A50" s="18" t="n">
        <v>11</v>
      </c>
      <c r="B50" s="44"/>
      <c r="C50" s="44"/>
      <c r="D50" s="44"/>
      <c r="E50" s="44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6" t="str">
        <f aca="false">IFERROR(IF(F50&lt;&gt;"",F50,""),"")</f>
        <v/>
      </c>
      <c r="AF50" s="46" t="str">
        <f aca="false">IFERROR(IF(G50&lt;&gt;"",G50,""),"")</f>
        <v/>
      </c>
      <c r="AG50" s="46" t="str">
        <f aca="false">IFERROR(IF(AA50&lt;&gt;"",AA50,IF(R50&lt;&gt;"",R50,"")),"")</f>
        <v/>
      </c>
      <c r="AH50" s="46" t="str">
        <f aca="false">IFERROR(IF(AB50&lt;&gt;"",AB50,IF(S50&lt;&gt;"",S50,"")),"")</f>
        <v/>
      </c>
      <c r="AI50" s="47"/>
      <c r="AJ50" s="47"/>
      <c r="AK50" s="47"/>
      <c r="AL50" s="47"/>
      <c r="AM50" s="47"/>
      <c r="AN50" s="47"/>
      <c r="AO50" s="47"/>
      <c r="AP50" s="47"/>
      <c r="AQ50" s="46" t="str">
        <f aca="false">IFERROR(IF(Y50&lt;&gt;"",VALUE(Y50),""),"")</f>
        <v/>
      </c>
      <c r="AR50" s="47"/>
      <c r="AS50" s="47"/>
      <c r="AT50" s="47"/>
      <c r="AU50" s="47"/>
      <c r="AV50" s="46" t="str">
        <f aca="false">IFERROR(IF(T50&lt;&gt;"",VALUE(T50),""),"")</f>
        <v/>
      </c>
      <c r="AW50" s="46" t="str">
        <f aca="false">IFERROR(IF(N50="","",IF(OR(ISNUMBER(SEARCH("grant",N50)),ISNUMBER(SEARCH("B",AC50))),"Granted",IF(OR(ISNUMBER(SEARCH("pend",N50)),ISNUMBER(SEARCH("A",AC50))),"Pending",IF(ISNUMBER(SEARCH("expir",N50)),"Expired",N50)))),"")</f>
        <v/>
      </c>
      <c r="AX50" s="47"/>
      <c r="AY50" s="46" t="str">
        <f aca="true">IFERROR(IF(M50&lt;&gt;"",ROUND(VALUE(M50),1),IF(L50&lt;&gt;"",ROUND(MAX(0,(DATEVALUE(TEXT(L50,"YYYY-MM-DD"))-TODAY())/365.25),1),"")),"")</f>
        <v/>
      </c>
      <c r="AZ50" s="46" t="str">
        <f aca="false">IFERROR(IF(O50&lt;&gt;"",O50,""),"")</f>
        <v/>
      </c>
      <c r="BA50" s="46" t="str">
        <f aca="false">IFERROR(IF(U50&lt;&gt;"",SUBSTITUTE(SUBSTITUTE(U50,"; ",", "),";",","),""),"")</f>
        <v/>
      </c>
      <c r="BB50" s="47"/>
      <c r="BC50" s="47"/>
      <c r="BD50" s="47"/>
      <c r="BE50" s="47"/>
      <c r="BF50" s="47"/>
      <c r="BG50" s="47"/>
      <c r="BH50" s="47"/>
      <c r="BI50" s="47"/>
      <c r="BJ50" s="47"/>
      <c r="BK50" s="46" t="str">
        <f aca="false">IFERROR(IF(W50&lt;&gt;"",VALUE(W50),""),"")</f>
        <v/>
      </c>
      <c r="BL50" s="46" t="str">
        <f aca="false">IFERROR(IF(X50&lt;&gt;"",VALUE(X50),""),"")</f>
        <v/>
      </c>
      <c r="BM50" s="46" t="str">
        <f aca="false">IFERROR(IF(AD50="","None",IF(ISNUMBER(SEARCH("surv",AD50)),"Survived",IF(ISNUMBER(SEARCH("pend",AD50)),"Pending",IF(ISNUMBER(SEARCH("yes",AD50)),"Pending","None")))),"None")</f>
        <v>None</v>
      </c>
      <c r="BN50" s="47"/>
      <c r="BO50" s="47"/>
      <c r="BP50" s="47"/>
      <c r="BQ50" s="47"/>
      <c r="BR50" s="47"/>
      <c r="BS50" s="47"/>
      <c r="BT50" s="47"/>
      <c r="BU50" s="48" t="n">
        <f aca="false">IFERROR(COUNTA(AE50:BT50)/42,0)</f>
        <v>0.30952380952381</v>
      </c>
      <c r="BV50" s="49"/>
      <c r="BW50" s="50" t="b">
        <f aca="false">IF(Configuration!$C$10="No","",IFERROR(IF(AG50&lt;&gt;"",TRUE(),FALSE()),FALSE()))</f>
        <v>0</v>
      </c>
      <c r="BX50" s="50" t="b">
        <f aca="false">IF(Configuration!$C$11="No","",IFERROR(IF(AND(N(AL50)&gt;=Configuration!$C$44,AM50&lt;&gt;""),TRUE(),FALSE()),FALSE()))</f>
        <v>0</v>
      </c>
      <c r="BY50" s="50" t="b">
        <f aca="false">IF(Configuration!$C$12="No","",IFERROR(IF(AJ50&lt;&gt;"",TRUE(),FALSE()),FALSE()))</f>
        <v>0</v>
      </c>
      <c r="BZ50" s="50" t="b">
        <f aca="false">IF(Configuration!$C$13="No","",IFERROR(IF(AI50&lt;&gt;"",TRUE(),FALSE()),FALSE()))</f>
        <v>0</v>
      </c>
      <c r="CA50" s="50" t="b">
        <f aca="false">IF(Configuration!$C$14="No","",IFERROR(IF(AK50&lt;&gt;"",TRUE(),FALSE()),FALSE()))</f>
        <v>0</v>
      </c>
      <c r="CB50" s="50" t="b">
        <f aca="false">IF(Configuration!$C$15="No","",IFERROR(IF(AND(OR(ISNUMBER(SEARCH("process",AG50)),ISNUMBER(SEARCH("fab",AG50)),ISNUMBER(SEARCH("manufac",AG50))),AO50="Method"),TRUE(),FALSE()),FALSE()))</f>
        <v>0</v>
      </c>
      <c r="CC50" s="50" t="b">
        <f aca="false">IF(Configuration!$C$16="No","",IFERROR(IF(AND(OR(ISNUMBER(SEARCH("material",AG50)),ISNUMBER(SEARCH("chem",AG50)),ISNUMBER(SEARCH("battery",AG50)),ISNUMBER(SEARCH("electrolyte",AG50)),ISNUMBER(SEARCH("polymer",AG50))),OR(AO50="Apparatus",AO50="Method")),TRUE(),FALSE()),FALSE()))</f>
        <v>0</v>
      </c>
      <c r="CD50" s="50" t="b">
        <f aca="false">IF(Configuration!$C$17="No","",IFERROR(IF(AND(OR(AI50="App",AI50="Middleware",AI50="Cloud"),OR(AO50="Method",AO50="CRM")),TRUE(),FALSE()),FALSE()))</f>
        <v>0</v>
      </c>
      <c r="CE50" s="50" t="b">
        <f aca="false">IF(Configuration!$C$18="No","",IFERROR(IF(N(AN50)&gt;=Configuration!$C$45,TRUE(),FALSE()),FALSE()))</f>
        <v>0</v>
      </c>
      <c r="CF50" s="50" t="b">
        <f aca="false">IF(Configuration!$C$19="No","",IFERROR(IF(BE50&lt;&gt;"",TRUE(),FALSE()),FALSE()))</f>
        <v>0</v>
      </c>
      <c r="CG50" s="50" t="b">
        <f aca="false">IF(Configuration!$C$20="No","",IFERROR(IF(AO50&lt;&gt;"",TRUE(),FALSE()),FALSE()))</f>
        <v>0</v>
      </c>
      <c r="CH50" s="50" t="b">
        <f aca="false">IF(Configuration!$C$21="No","",IFERROR(IF(OR(N(AS50)&gt;=Configuration!$C$46,N(AT50)&gt;=Configuration!$C$47),TRUE(),FALSE()),FALSE()))</f>
        <v>0</v>
      </c>
      <c r="CI50" s="50" t="b">
        <f aca="false">IF(Configuration!$C$22="No","",IFERROR(IF(BB50="Yes",TRUE(),FALSE()),FALSE()))</f>
        <v>0</v>
      </c>
      <c r="CJ50" s="50" t="b">
        <f aca="false">IF(Configuration!$C$23="No","",IFERROR(IF(N(AV50)&gt;=Configuration!$C$48,TRUE(),FALSE()),FALSE()))</f>
        <v>0</v>
      </c>
      <c r="CK50" s="50" t="b">
        <f aca="false">IF(Configuration!$C$24="No","",IFERROR(IF(N(AY50)&gt;0,TRUE(),FALSE()),FALSE()))</f>
        <v>0</v>
      </c>
      <c r="CL50" s="50" t="b">
        <f aca="false">IF(Configuration!$C$25="No","",IFERROR(IF(OR(N(AP50)=3,N(AP50)&lt;=1),TRUE(),FALSE()),FALSE()))</f>
        <v>1</v>
      </c>
      <c r="CM50" s="50" t="b">
        <f aca="false">IF(Configuration!$C$26="No","",IFERROR(IF(N(BF50)&gt;=Configuration!$C$49,TRUE(),FALSE()),FALSE()))</f>
        <v>0</v>
      </c>
      <c r="CN50" s="50" t="b">
        <f aca="false">IF(Configuration!$C$27="No","",IFERROR(IF(BD50&lt;&gt;"",TRUE(),FALSE()),FALSE()))</f>
        <v>0</v>
      </c>
      <c r="CO50" s="50" t="b">
        <f aca="false">IF(Configuration!$C$28="No","",IFERROR(IF(N(AU50)&gt;=Configuration!$C$50,TRUE(),FALSE()),FALSE()))</f>
        <v>0</v>
      </c>
      <c r="CP50" s="50" t="b">
        <f aca="false">IF(Configuration!$C$29="No","",IFERROR(IF(AND(N(AR50)&gt;=Configuration!$C$51,AG50&lt;&gt;""),TRUE(),FALSE()),FALSE()))</f>
        <v>0</v>
      </c>
      <c r="CQ50" s="50" t="b">
        <f aca="false">IF(Configuration!$C$30="No","",IFERROR(IF(OR(AW50="Pending",AX50="Yes"),TRUE(),FALSE()),FALSE()))</f>
        <v>0</v>
      </c>
      <c r="CR50" s="50" t="b">
        <f aca="false">IF(Configuration!$C$31="No","",IFERROR(IF(AND(N(BG50)&gt;=Configuration!$C$52,N(AP50)&gt;=1),TRUE(),FALSE()),FALSE()))</f>
        <v>0</v>
      </c>
      <c r="CS50" s="50" t="b">
        <f aca="false">IF(Configuration!$C$32="No","",IFERROR(IF(AND(N(AR50)&gt;=1,OR(AG50&lt;&gt;"",AM50&lt;&gt;"")),TRUE(),FALSE()),FALSE()))</f>
        <v>0</v>
      </c>
      <c r="CT50" s="50" t="b">
        <f aca="false">IF(Configuration!$C$33="No","",IFERROR(IF(AG50&lt;&gt;"",TRUE(),FALSE()),FALSE()))</f>
        <v>0</v>
      </c>
      <c r="CU50" s="50" t="b">
        <f aca="false">IF(Configuration!$C$34="No","",IFERROR(IF(AX50="Yes",TRUE(),FALSE()),FALSE()))</f>
        <v>0</v>
      </c>
      <c r="CV50" s="50" t="b">
        <f aca="false">IF(Configuration!$C$35="No","",IFERROR(IF(OR(BO50="Partial",BO50="Full"),TRUE(),FALSE()),FALSE()))</f>
        <v>0</v>
      </c>
      <c r="CW50" s="50" t="b">
        <f aca="false">IF(Configuration!$C$36="No","",IFERROR(IF(BM50="Survived",TRUE(),FALSE()),FALSE()))</f>
        <v>0</v>
      </c>
      <c r="CX50" s="50" t="b">
        <f aca="false">IF(Configuration!$C$37="No","",IFERROR(IF(AND(BN50="Clean",BP50="None"),TRUE(),FALSE()),FALSE()))</f>
        <v>0</v>
      </c>
      <c r="CY50" s="50" t="b">
        <f aca="false">IF(Configuration!$C$38="No","",IFERROR(IF(N(BK50)&gt;=Configuration!$C$53,TRUE(),FALSE()),FALSE()))</f>
        <v>0</v>
      </c>
      <c r="CZ50" s="50" t="b">
        <f aca="false">IF(Configuration!$C$39="No","",IFERROR(IF(AND(N(BS50)&gt;=2,N(BF50)&gt;=2),TRUE(),FALSE()),FALSE()))</f>
        <v>0</v>
      </c>
      <c r="DA50" s="50" t="b">
        <f aca="false">IF(Configuration!$C$40="No","",IFERROR(IF(OR(N(BG50)&lt;=Configuration!$C$56,N(AY50)&lt;Configuration!$C$57,N(BH50)&lt;=Configuration!$C$58),TRUE(),FALSE()),FALSE()))</f>
        <v>1</v>
      </c>
      <c r="DB50" s="50" t="b">
        <f aca="false">IF(Configuration!$C$41="No","",IFERROR(IF(AND(N(AY50)&gt;=Configuration!$C$54,N(AY50)&lt;=Configuration!$C$55),TRUE(),FALSE()),FALSE()))</f>
        <v>0</v>
      </c>
      <c r="DC50" s="50" t="b">
        <f aca="false">IF(Configuration!$C$42="No","",IFERROR(IF(AND(AG50&lt;&gt;"",AJ50&lt;&gt;""),TRUE(),FALSE()),FALSE()))</f>
        <v>0</v>
      </c>
      <c r="DD50" s="51" t="n">
        <f aca="false">COUNTIF(BW50:DC50,TRUE())</f>
        <v>2</v>
      </c>
    </row>
    <row r="51" customFormat="false" ht="15" hidden="false" customHeight="true" outlineLevel="0" collapsed="false">
      <c r="A51" s="18" t="n">
        <v>12</v>
      </c>
      <c r="B51" s="44"/>
      <c r="C51" s="44"/>
      <c r="D51" s="44"/>
      <c r="E51" s="44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6" t="str">
        <f aca="false">IFERROR(IF(F51&lt;&gt;"",F51,""),"")</f>
        <v/>
      </c>
      <c r="AF51" s="46" t="str">
        <f aca="false">IFERROR(IF(G51&lt;&gt;"",G51,""),"")</f>
        <v/>
      </c>
      <c r="AG51" s="46" t="str">
        <f aca="false">IFERROR(IF(AA51&lt;&gt;"",AA51,IF(R51&lt;&gt;"",R51,"")),"")</f>
        <v/>
      </c>
      <c r="AH51" s="46" t="str">
        <f aca="false">IFERROR(IF(AB51&lt;&gt;"",AB51,IF(S51&lt;&gt;"",S51,"")),"")</f>
        <v/>
      </c>
      <c r="AI51" s="47"/>
      <c r="AJ51" s="47"/>
      <c r="AK51" s="47"/>
      <c r="AL51" s="47"/>
      <c r="AM51" s="47"/>
      <c r="AN51" s="47"/>
      <c r="AO51" s="47"/>
      <c r="AP51" s="47"/>
      <c r="AQ51" s="46" t="str">
        <f aca="false">IFERROR(IF(Y51&lt;&gt;"",VALUE(Y51),""),"")</f>
        <v/>
      </c>
      <c r="AR51" s="47"/>
      <c r="AS51" s="47"/>
      <c r="AT51" s="47"/>
      <c r="AU51" s="47"/>
      <c r="AV51" s="46" t="str">
        <f aca="false">IFERROR(IF(T51&lt;&gt;"",VALUE(T51),""),"")</f>
        <v/>
      </c>
      <c r="AW51" s="46" t="str">
        <f aca="false">IFERROR(IF(N51="","",IF(OR(ISNUMBER(SEARCH("grant",N51)),ISNUMBER(SEARCH("B",AC51))),"Granted",IF(OR(ISNUMBER(SEARCH("pend",N51)),ISNUMBER(SEARCH("A",AC51))),"Pending",IF(ISNUMBER(SEARCH("expir",N51)),"Expired",N51)))),"")</f>
        <v/>
      </c>
      <c r="AX51" s="47"/>
      <c r="AY51" s="46" t="str">
        <f aca="true">IFERROR(IF(M51&lt;&gt;"",ROUND(VALUE(M51),1),IF(L51&lt;&gt;"",ROUND(MAX(0,(DATEVALUE(TEXT(L51,"YYYY-MM-DD"))-TODAY())/365.25),1),"")),"")</f>
        <v/>
      </c>
      <c r="AZ51" s="46" t="str">
        <f aca="false">IFERROR(IF(O51&lt;&gt;"",O51,""),"")</f>
        <v/>
      </c>
      <c r="BA51" s="46" t="str">
        <f aca="false">IFERROR(IF(U51&lt;&gt;"",SUBSTITUTE(SUBSTITUTE(U51,"; ",", "),";",","),""),"")</f>
        <v/>
      </c>
      <c r="BB51" s="47"/>
      <c r="BC51" s="47"/>
      <c r="BD51" s="47"/>
      <c r="BE51" s="47"/>
      <c r="BF51" s="47"/>
      <c r="BG51" s="47"/>
      <c r="BH51" s="47"/>
      <c r="BI51" s="47"/>
      <c r="BJ51" s="47"/>
      <c r="BK51" s="46" t="str">
        <f aca="false">IFERROR(IF(W51&lt;&gt;"",VALUE(W51),""),"")</f>
        <v/>
      </c>
      <c r="BL51" s="46" t="str">
        <f aca="false">IFERROR(IF(X51&lt;&gt;"",VALUE(X51),""),"")</f>
        <v/>
      </c>
      <c r="BM51" s="46" t="str">
        <f aca="false">IFERROR(IF(AD51="","None",IF(ISNUMBER(SEARCH("surv",AD51)),"Survived",IF(ISNUMBER(SEARCH("pend",AD51)),"Pending",IF(ISNUMBER(SEARCH("yes",AD51)),"Pending","None")))),"None")</f>
        <v>None</v>
      </c>
      <c r="BN51" s="47"/>
      <c r="BO51" s="47"/>
      <c r="BP51" s="47"/>
      <c r="BQ51" s="47"/>
      <c r="BR51" s="47"/>
      <c r="BS51" s="47"/>
      <c r="BT51" s="47"/>
      <c r="BU51" s="48" t="n">
        <f aca="false">IFERROR(COUNTA(AE51:BT51)/42,0)</f>
        <v>0.30952380952381</v>
      </c>
      <c r="BV51" s="49"/>
      <c r="BW51" s="50" t="b">
        <f aca="false">IF(Configuration!$C$10="No","",IFERROR(IF(AG51&lt;&gt;"",TRUE(),FALSE()),FALSE()))</f>
        <v>0</v>
      </c>
      <c r="BX51" s="50" t="b">
        <f aca="false">IF(Configuration!$C$11="No","",IFERROR(IF(AND(N(AL51)&gt;=Configuration!$C$44,AM51&lt;&gt;""),TRUE(),FALSE()),FALSE()))</f>
        <v>0</v>
      </c>
      <c r="BY51" s="50" t="b">
        <f aca="false">IF(Configuration!$C$12="No","",IFERROR(IF(AJ51&lt;&gt;"",TRUE(),FALSE()),FALSE()))</f>
        <v>0</v>
      </c>
      <c r="BZ51" s="50" t="b">
        <f aca="false">IF(Configuration!$C$13="No","",IFERROR(IF(AI51&lt;&gt;"",TRUE(),FALSE()),FALSE()))</f>
        <v>0</v>
      </c>
      <c r="CA51" s="50" t="b">
        <f aca="false">IF(Configuration!$C$14="No","",IFERROR(IF(AK51&lt;&gt;"",TRUE(),FALSE()),FALSE()))</f>
        <v>0</v>
      </c>
      <c r="CB51" s="50" t="b">
        <f aca="false">IF(Configuration!$C$15="No","",IFERROR(IF(AND(OR(ISNUMBER(SEARCH("process",AG51)),ISNUMBER(SEARCH("fab",AG51)),ISNUMBER(SEARCH("manufac",AG51))),AO51="Method"),TRUE(),FALSE()),FALSE()))</f>
        <v>0</v>
      </c>
      <c r="CC51" s="50" t="b">
        <f aca="false">IF(Configuration!$C$16="No","",IFERROR(IF(AND(OR(ISNUMBER(SEARCH("material",AG51)),ISNUMBER(SEARCH("chem",AG51)),ISNUMBER(SEARCH("battery",AG51)),ISNUMBER(SEARCH("electrolyte",AG51)),ISNUMBER(SEARCH("polymer",AG51))),OR(AO51="Apparatus",AO51="Method")),TRUE(),FALSE()),FALSE()))</f>
        <v>0</v>
      </c>
      <c r="CD51" s="50" t="b">
        <f aca="false">IF(Configuration!$C$17="No","",IFERROR(IF(AND(OR(AI51="App",AI51="Middleware",AI51="Cloud"),OR(AO51="Method",AO51="CRM")),TRUE(),FALSE()),FALSE()))</f>
        <v>0</v>
      </c>
      <c r="CE51" s="50" t="b">
        <f aca="false">IF(Configuration!$C$18="No","",IFERROR(IF(N(AN51)&gt;=Configuration!$C$45,TRUE(),FALSE()),FALSE()))</f>
        <v>0</v>
      </c>
      <c r="CF51" s="50" t="b">
        <f aca="false">IF(Configuration!$C$19="No","",IFERROR(IF(BE51&lt;&gt;"",TRUE(),FALSE()),FALSE()))</f>
        <v>0</v>
      </c>
      <c r="CG51" s="50" t="b">
        <f aca="false">IF(Configuration!$C$20="No","",IFERROR(IF(AO51&lt;&gt;"",TRUE(),FALSE()),FALSE()))</f>
        <v>0</v>
      </c>
      <c r="CH51" s="50" t="b">
        <f aca="false">IF(Configuration!$C$21="No","",IFERROR(IF(OR(N(AS51)&gt;=Configuration!$C$46,N(AT51)&gt;=Configuration!$C$47),TRUE(),FALSE()),FALSE()))</f>
        <v>0</v>
      </c>
      <c r="CI51" s="50" t="b">
        <f aca="false">IF(Configuration!$C$22="No","",IFERROR(IF(BB51="Yes",TRUE(),FALSE()),FALSE()))</f>
        <v>0</v>
      </c>
      <c r="CJ51" s="50" t="b">
        <f aca="false">IF(Configuration!$C$23="No","",IFERROR(IF(N(AV51)&gt;=Configuration!$C$48,TRUE(),FALSE()),FALSE()))</f>
        <v>0</v>
      </c>
      <c r="CK51" s="50" t="b">
        <f aca="false">IF(Configuration!$C$24="No","",IFERROR(IF(N(AY51)&gt;0,TRUE(),FALSE()),FALSE()))</f>
        <v>0</v>
      </c>
      <c r="CL51" s="50" t="b">
        <f aca="false">IF(Configuration!$C$25="No","",IFERROR(IF(OR(N(AP51)=3,N(AP51)&lt;=1),TRUE(),FALSE()),FALSE()))</f>
        <v>1</v>
      </c>
      <c r="CM51" s="50" t="b">
        <f aca="false">IF(Configuration!$C$26="No","",IFERROR(IF(N(BF51)&gt;=Configuration!$C$49,TRUE(),FALSE()),FALSE()))</f>
        <v>0</v>
      </c>
      <c r="CN51" s="50" t="b">
        <f aca="false">IF(Configuration!$C$27="No","",IFERROR(IF(BD51&lt;&gt;"",TRUE(),FALSE()),FALSE()))</f>
        <v>0</v>
      </c>
      <c r="CO51" s="50" t="b">
        <f aca="false">IF(Configuration!$C$28="No","",IFERROR(IF(N(AU51)&gt;=Configuration!$C$50,TRUE(),FALSE()),FALSE()))</f>
        <v>0</v>
      </c>
      <c r="CP51" s="50" t="b">
        <f aca="false">IF(Configuration!$C$29="No","",IFERROR(IF(AND(N(AR51)&gt;=Configuration!$C$51,AG51&lt;&gt;""),TRUE(),FALSE()),FALSE()))</f>
        <v>0</v>
      </c>
      <c r="CQ51" s="50" t="b">
        <f aca="false">IF(Configuration!$C$30="No","",IFERROR(IF(OR(AW51="Pending",AX51="Yes"),TRUE(),FALSE()),FALSE()))</f>
        <v>0</v>
      </c>
      <c r="CR51" s="50" t="b">
        <f aca="false">IF(Configuration!$C$31="No","",IFERROR(IF(AND(N(BG51)&gt;=Configuration!$C$52,N(AP51)&gt;=1),TRUE(),FALSE()),FALSE()))</f>
        <v>0</v>
      </c>
      <c r="CS51" s="50" t="b">
        <f aca="false">IF(Configuration!$C$32="No","",IFERROR(IF(AND(N(AR51)&gt;=1,OR(AG51&lt;&gt;"",AM51&lt;&gt;"")),TRUE(),FALSE()),FALSE()))</f>
        <v>0</v>
      </c>
      <c r="CT51" s="50" t="b">
        <f aca="false">IF(Configuration!$C$33="No","",IFERROR(IF(AG51&lt;&gt;"",TRUE(),FALSE()),FALSE()))</f>
        <v>0</v>
      </c>
      <c r="CU51" s="50" t="b">
        <f aca="false">IF(Configuration!$C$34="No","",IFERROR(IF(AX51="Yes",TRUE(),FALSE()),FALSE()))</f>
        <v>0</v>
      </c>
      <c r="CV51" s="50" t="b">
        <f aca="false">IF(Configuration!$C$35="No","",IFERROR(IF(OR(BO51="Partial",BO51="Full"),TRUE(),FALSE()),FALSE()))</f>
        <v>0</v>
      </c>
      <c r="CW51" s="50" t="b">
        <f aca="false">IF(Configuration!$C$36="No","",IFERROR(IF(BM51="Survived",TRUE(),FALSE()),FALSE()))</f>
        <v>0</v>
      </c>
      <c r="CX51" s="50" t="b">
        <f aca="false">IF(Configuration!$C$37="No","",IFERROR(IF(AND(BN51="Clean",BP51="None"),TRUE(),FALSE()),FALSE()))</f>
        <v>0</v>
      </c>
      <c r="CY51" s="50" t="b">
        <f aca="false">IF(Configuration!$C$38="No","",IFERROR(IF(N(BK51)&gt;=Configuration!$C$53,TRUE(),FALSE()),FALSE()))</f>
        <v>0</v>
      </c>
      <c r="CZ51" s="50" t="b">
        <f aca="false">IF(Configuration!$C$39="No","",IFERROR(IF(AND(N(BS51)&gt;=2,N(BF51)&gt;=2),TRUE(),FALSE()),FALSE()))</f>
        <v>0</v>
      </c>
      <c r="DA51" s="50" t="b">
        <f aca="false">IF(Configuration!$C$40="No","",IFERROR(IF(OR(N(BG51)&lt;=Configuration!$C$56,N(AY51)&lt;Configuration!$C$57,N(BH51)&lt;=Configuration!$C$58),TRUE(),FALSE()),FALSE()))</f>
        <v>1</v>
      </c>
      <c r="DB51" s="50" t="b">
        <f aca="false">IF(Configuration!$C$41="No","",IFERROR(IF(AND(N(AY51)&gt;=Configuration!$C$54,N(AY51)&lt;=Configuration!$C$55),TRUE(),FALSE()),FALSE()))</f>
        <v>0</v>
      </c>
      <c r="DC51" s="50" t="b">
        <f aca="false">IF(Configuration!$C$42="No","",IFERROR(IF(AND(AG51&lt;&gt;"",AJ51&lt;&gt;""),TRUE(),FALSE()),FALSE()))</f>
        <v>0</v>
      </c>
      <c r="DD51" s="51" t="n">
        <f aca="false">COUNTIF(BW51:DC51,TRUE())</f>
        <v>2</v>
      </c>
    </row>
    <row r="52" customFormat="false" ht="15" hidden="false" customHeight="true" outlineLevel="0" collapsed="false">
      <c r="A52" s="18" t="n">
        <v>13</v>
      </c>
      <c r="B52" s="44"/>
      <c r="C52" s="44"/>
      <c r="D52" s="44"/>
      <c r="E52" s="44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6" t="str">
        <f aca="false">IFERROR(IF(F52&lt;&gt;"",F52,""),"")</f>
        <v/>
      </c>
      <c r="AF52" s="46" t="str">
        <f aca="false">IFERROR(IF(G52&lt;&gt;"",G52,""),"")</f>
        <v/>
      </c>
      <c r="AG52" s="46" t="str">
        <f aca="false">IFERROR(IF(AA52&lt;&gt;"",AA52,IF(R52&lt;&gt;"",R52,"")),"")</f>
        <v/>
      </c>
      <c r="AH52" s="46" t="str">
        <f aca="false">IFERROR(IF(AB52&lt;&gt;"",AB52,IF(S52&lt;&gt;"",S52,"")),"")</f>
        <v/>
      </c>
      <c r="AI52" s="47"/>
      <c r="AJ52" s="47"/>
      <c r="AK52" s="47"/>
      <c r="AL52" s="47"/>
      <c r="AM52" s="47"/>
      <c r="AN52" s="47"/>
      <c r="AO52" s="47"/>
      <c r="AP52" s="47"/>
      <c r="AQ52" s="46" t="str">
        <f aca="false">IFERROR(IF(Y52&lt;&gt;"",VALUE(Y52),""),"")</f>
        <v/>
      </c>
      <c r="AR52" s="47"/>
      <c r="AS52" s="47"/>
      <c r="AT52" s="47"/>
      <c r="AU52" s="47"/>
      <c r="AV52" s="46" t="str">
        <f aca="false">IFERROR(IF(T52&lt;&gt;"",VALUE(T52),""),"")</f>
        <v/>
      </c>
      <c r="AW52" s="46" t="str">
        <f aca="false">IFERROR(IF(N52="","",IF(OR(ISNUMBER(SEARCH("grant",N52)),ISNUMBER(SEARCH("B",AC52))),"Granted",IF(OR(ISNUMBER(SEARCH("pend",N52)),ISNUMBER(SEARCH("A",AC52))),"Pending",IF(ISNUMBER(SEARCH("expir",N52)),"Expired",N52)))),"")</f>
        <v/>
      </c>
      <c r="AX52" s="47"/>
      <c r="AY52" s="46" t="str">
        <f aca="true">IFERROR(IF(M52&lt;&gt;"",ROUND(VALUE(M52),1),IF(L52&lt;&gt;"",ROUND(MAX(0,(DATEVALUE(TEXT(L52,"YYYY-MM-DD"))-TODAY())/365.25),1),"")),"")</f>
        <v/>
      </c>
      <c r="AZ52" s="46" t="str">
        <f aca="false">IFERROR(IF(O52&lt;&gt;"",O52,""),"")</f>
        <v/>
      </c>
      <c r="BA52" s="46" t="str">
        <f aca="false">IFERROR(IF(U52&lt;&gt;"",SUBSTITUTE(SUBSTITUTE(U52,"; ",", "),";",","),""),"")</f>
        <v/>
      </c>
      <c r="BB52" s="47"/>
      <c r="BC52" s="47"/>
      <c r="BD52" s="47"/>
      <c r="BE52" s="47"/>
      <c r="BF52" s="47"/>
      <c r="BG52" s="47"/>
      <c r="BH52" s="47"/>
      <c r="BI52" s="47"/>
      <c r="BJ52" s="47"/>
      <c r="BK52" s="46" t="str">
        <f aca="false">IFERROR(IF(W52&lt;&gt;"",VALUE(W52),""),"")</f>
        <v/>
      </c>
      <c r="BL52" s="46" t="str">
        <f aca="false">IFERROR(IF(X52&lt;&gt;"",VALUE(X52),""),"")</f>
        <v/>
      </c>
      <c r="BM52" s="46" t="str">
        <f aca="false">IFERROR(IF(AD52="","None",IF(ISNUMBER(SEARCH("surv",AD52)),"Survived",IF(ISNUMBER(SEARCH("pend",AD52)),"Pending",IF(ISNUMBER(SEARCH("yes",AD52)),"Pending","None")))),"None")</f>
        <v>None</v>
      </c>
      <c r="BN52" s="47"/>
      <c r="BO52" s="47"/>
      <c r="BP52" s="47"/>
      <c r="BQ52" s="47"/>
      <c r="BR52" s="47"/>
      <c r="BS52" s="47"/>
      <c r="BT52" s="47"/>
      <c r="BU52" s="48" t="n">
        <f aca="false">IFERROR(COUNTA(AE52:BT52)/42,0)</f>
        <v>0.30952380952381</v>
      </c>
      <c r="BV52" s="49"/>
      <c r="BW52" s="50" t="b">
        <f aca="false">IF(Configuration!$C$10="No","",IFERROR(IF(AG52&lt;&gt;"",TRUE(),FALSE()),FALSE()))</f>
        <v>0</v>
      </c>
      <c r="BX52" s="50" t="b">
        <f aca="false">IF(Configuration!$C$11="No","",IFERROR(IF(AND(N(AL52)&gt;=Configuration!$C$44,AM52&lt;&gt;""),TRUE(),FALSE()),FALSE()))</f>
        <v>0</v>
      </c>
      <c r="BY52" s="50" t="b">
        <f aca="false">IF(Configuration!$C$12="No","",IFERROR(IF(AJ52&lt;&gt;"",TRUE(),FALSE()),FALSE()))</f>
        <v>0</v>
      </c>
      <c r="BZ52" s="50" t="b">
        <f aca="false">IF(Configuration!$C$13="No","",IFERROR(IF(AI52&lt;&gt;"",TRUE(),FALSE()),FALSE()))</f>
        <v>0</v>
      </c>
      <c r="CA52" s="50" t="b">
        <f aca="false">IF(Configuration!$C$14="No","",IFERROR(IF(AK52&lt;&gt;"",TRUE(),FALSE()),FALSE()))</f>
        <v>0</v>
      </c>
      <c r="CB52" s="50" t="b">
        <f aca="false">IF(Configuration!$C$15="No","",IFERROR(IF(AND(OR(ISNUMBER(SEARCH("process",AG52)),ISNUMBER(SEARCH("fab",AG52)),ISNUMBER(SEARCH("manufac",AG52))),AO52="Method"),TRUE(),FALSE()),FALSE()))</f>
        <v>0</v>
      </c>
      <c r="CC52" s="50" t="b">
        <f aca="false">IF(Configuration!$C$16="No","",IFERROR(IF(AND(OR(ISNUMBER(SEARCH("material",AG52)),ISNUMBER(SEARCH("chem",AG52)),ISNUMBER(SEARCH("battery",AG52)),ISNUMBER(SEARCH("electrolyte",AG52)),ISNUMBER(SEARCH("polymer",AG52))),OR(AO52="Apparatus",AO52="Method")),TRUE(),FALSE()),FALSE()))</f>
        <v>0</v>
      </c>
      <c r="CD52" s="50" t="b">
        <f aca="false">IF(Configuration!$C$17="No","",IFERROR(IF(AND(OR(AI52="App",AI52="Middleware",AI52="Cloud"),OR(AO52="Method",AO52="CRM")),TRUE(),FALSE()),FALSE()))</f>
        <v>0</v>
      </c>
      <c r="CE52" s="50" t="b">
        <f aca="false">IF(Configuration!$C$18="No","",IFERROR(IF(N(AN52)&gt;=Configuration!$C$45,TRUE(),FALSE()),FALSE()))</f>
        <v>0</v>
      </c>
      <c r="CF52" s="50" t="b">
        <f aca="false">IF(Configuration!$C$19="No","",IFERROR(IF(BE52&lt;&gt;"",TRUE(),FALSE()),FALSE()))</f>
        <v>0</v>
      </c>
      <c r="CG52" s="50" t="b">
        <f aca="false">IF(Configuration!$C$20="No","",IFERROR(IF(AO52&lt;&gt;"",TRUE(),FALSE()),FALSE()))</f>
        <v>0</v>
      </c>
      <c r="CH52" s="50" t="b">
        <f aca="false">IF(Configuration!$C$21="No","",IFERROR(IF(OR(N(AS52)&gt;=Configuration!$C$46,N(AT52)&gt;=Configuration!$C$47),TRUE(),FALSE()),FALSE()))</f>
        <v>0</v>
      </c>
      <c r="CI52" s="50" t="b">
        <f aca="false">IF(Configuration!$C$22="No","",IFERROR(IF(BB52="Yes",TRUE(),FALSE()),FALSE()))</f>
        <v>0</v>
      </c>
      <c r="CJ52" s="50" t="b">
        <f aca="false">IF(Configuration!$C$23="No","",IFERROR(IF(N(AV52)&gt;=Configuration!$C$48,TRUE(),FALSE()),FALSE()))</f>
        <v>0</v>
      </c>
      <c r="CK52" s="50" t="b">
        <f aca="false">IF(Configuration!$C$24="No","",IFERROR(IF(N(AY52)&gt;0,TRUE(),FALSE()),FALSE()))</f>
        <v>0</v>
      </c>
      <c r="CL52" s="50" t="b">
        <f aca="false">IF(Configuration!$C$25="No","",IFERROR(IF(OR(N(AP52)=3,N(AP52)&lt;=1),TRUE(),FALSE()),FALSE()))</f>
        <v>1</v>
      </c>
      <c r="CM52" s="50" t="b">
        <f aca="false">IF(Configuration!$C$26="No","",IFERROR(IF(N(BF52)&gt;=Configuration!$C$49,TRUE(),FALSE()),FALSE()))</f>
        <v>0</v>
      </c>
      <c r="CN52" s="50" t="b">
        <f aca="false">IF(Configuration!$C$27="No","",IFERROR(IF(BD52&lt;&gt;"",TRUE(),FALSE()),FALSE()))</f>
        <v>0</v>
      </c>
      <c r="CO52" s="50" t="b">
        <f aca="false">IF(Configuration!$C$28="No","",IFERROR(IF(N(AU52)&gt;=Configuration!$C$50,TRUE(),FALSE()),FALSE()))</f>
        <v>0</v>
      </c>
      <c r="CP52" s="50" t="b">
        <f aca="false">IF(Configuration!$C$29="No","",IFERROR(IF(AND(N(AR52)&gt;=Configuration!$C$51,AG52&lt;&gt;""),TRUE(),FALSE()),FALSE()))</f>
        <v>0</v>
      </c>
      <c r="CQ52" s="50" t="b">
        <f aca="false">IF(Configuration!$C$30="No","",IFERROR(IF(OR(AW52="Pending",AX52="Yes"),TRUE(),FALSE()),FALSE()))</f>
        <v>0</v>
      </c>
      <c r="CR52" s="50" t="b">
        <f aca="false">IF(Configuration!$C$31="No","",IFERROR(IF(AND(N(BG52)&gt;=Configuration!$C$52,N(AP52)&gt;=1),TRUE(),FALSE()),FALSE()))</f>
        <v>0</v>
      </c>
      <c r="CS52" s="50" t="b">
        <f aca="false">IF(Configuration!$C$32="No","",IFERROR(IF(AND(N(AR52)&gt;=1,OR(AG52&lt;&gt;"",AM52&lt;&gt;"")),TRUE(),FALSE()),FALSE()))</f>
        <v>0</v>
      </c>
      <c r="CT52" s="50" t="b">
        <f aca="false">IF(Configuration!$C$33="No","",IFERROR(IF(AG52&lt;&gt;"",TRUE(),FALSE()),FALSE()))</f>
        <v>0</v>
      </c>
      <c r="CU52" s="50" t="b">
        <f aca="false">IF(Configuration!$C$34="No","",IFERROR(IF(AX52="Yes",TRUE(),FALSE()),FALSE()))</f>
        <v>0</v>
      </c>
      <c r="CV52" s="50" t="b">
        <f aca="false">IF(Configuration!$C$35="No","",IFERROR(IF(OR(BO52="Partial",BO52="Full"),TRUE(),FALSE()),FALSE()))</f>
        <v>0</v>
      </c>
      <c r="CW52" s="50" t="b">
        <f aca="false">IF(Configuration!$C$36="No","",IFERROR(IF(BM52="Survived",TRUE(),FALSE()),FALSE()))</f>
        <v>0</v>
      </c>
      <c r="CX52" s="50" t="b">
        <f aca="false">IF(Configuration!$C$37="No","",IFERROR(IF(AND(BN52="Clean",BP52="None"),TRUE(),FALSE()),FALSE()))</f>
        <v>0</v>
      </c>
      <c r="CY52" s="50" t="b">
        <f aca="false">IF(Configuration!$C$38="No","",IFERROR(IF(N(BK52)&gt;=Configuration!$C$53,TRUE(),FALSE()),FALSE()))</f>
        <v>0</v>
      </c>
      <c r="CZ52" s="50" t="b">
        <f aca="false">IF(Configuration!$C$39="No","",IFERROR(IF(AND(N(BS52)&gt;=2,N(BF52)&gt;=2),TRUE(),FALSE()),FALSE()))</f>
        <v>0</v>
      </c>
      <c r="DA52" s="50" t="b">
        <f aca="false">IF(Configuration!$C$40="No","",IFERROR(IF(OR(N(BG52)&lt;=Configuration!$C$56,N(AY52)&lt;Configuration!$C$57,N(BH52)&lt;=Configuration!$C$58),TRUE(),FALSE()),FALSE()))</f>
        <v>1</v>
      </c>
      <c r="DB52" s="50" t="b">
        <f aca="false">IF(Configuration!$C$41="No","",IFERROR(IF(AND(N(AY52)&gt;=Configuration!$C$54,N(AY52)&lt;=Configuration!$C$55),TRUE(),FALSE()),FALSE()))</f>
        <v>0</v>
      </c>
      <c r="DC52" s="50" t="b">
        <f aca="false">IF(Configuration!$C$42="No","",IFERROR(IF(AND(AG52&lt;&gt;"",AJ52&lt;&gt;""),TRUE(),FALSE()),FALSE()))</f>
        <v>0</v>
      </c>
      <c r="DD52" s="51" t="n">
        <f aca="false">COUNTIF(BW52:DC52,TRUE())</f>
        <v>2</v>
      </c>
    </row>
    <row r="53" customFormat="false" ht="15" hidden="false" customHeight="true" outlineLevel="0" collapsed="false">
      <c r="A53" s="18" t="n">
        <v>14</v>
      </c>
      <c r="B53" s="44"/>
      <c r="C53" s="44"/>
      <c r="D53" s="44"/>
      <c r="E53" s="44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6" t="str">
        <f aca="false">IFERROR(IF(F53&lt;&gt;"",F53,""),"")</f>
        <v/>
      </c>
      <c r="AF53" s="46" t="str">
        <f aca="false">IFERROR(IF(G53&lt;&gt;"",G53,""),"")</f>
        <v/>
      </c>
      <c r="AG53" s="46" t="str">
        <f aca="false">IFERROR(IF(AA53&lt;&gt;"",AA53,IF(R53&lt;&gt;"",R53,"")),"")</f>
        <v/>
      </c>
      <c r="AH53" s="46" t="str">
        <f aca="false">IFERROR(IF(AB53&lt;&gt;"",AB53,IF(S53&lt;&gt;"",S53,"")),"")</f>
        <v/>
      </c>
      <c r="AI53" s="47"/>
      <c r="AJ53" s="47"/>
      <c r="AK53" s="47"/>
      <c r="AL53" s="47"/>
      <c r="AM53" s="47"/>
      <c r="AN53" s="47"/>
      <c r="AO53" s="47"/>
      <c r="AP53" s="47"/>
      <c r="AQ53" s="46" t="str">
        <f aca="false">IFERROR(IF(Y53&lt;&gt;"",VALUE(Y53),""),"")</f>
        <v/>
      </c>
      <c r="AR53" s="47"/>
      <c r="AS53" s="47"/>
      <c r="AT53" s="47"/>
      <c r="AU53" s="47"/>
      <c r="AV53" s="46" t="str">
        <f aca="false">IFERROR(IF(T53&lt;&gt;"",VALUE(T53),""),"")</f>
        <v/>
      </c>
      <c r="AW53" s="46" t="str">
        <f aca="false">IFERROR(IF(N53="","",IF(OR(ISNUMBER(SEARCH("grant",N53)),ISNUMBER(SEARCH("B",AC53))),"Granted",IF(OR(ISNUMBER(SEARCH("pend",N53)),ISNUMBER(SEARCH("A",AC53))),"Pending",IF(ISNUMBER(SEARCH("expir",N53)),"Expired",N53)))),"")</f>
        <v/>
      </c>
      <c r="AX53" s="47"/>
      <c r="AY53" s="46" t="str">
        <f aca="true">IFERROR(IF(M53&lt;&gt;"",ROUND(VALUE(M53),1),IF(L53&lt;&gt;"",ROUND(MAX(0,(DATEVALUE(TEXT(L53,"YYYY-MM-DD"))-TODAY())/365.25),1),"")),"")</f>
        <v/>
      </c>
      <c r="AZ53" s="46" t="str">
        <f aca="false">IFERROR(IF(O53&lt;&gt;"",O53,""),"")</f>
        <v/>
      </c>
      <c r="BA53" s="46" t="str">
        <f aca="false">IFERROR(IF(U53&lt;&gt;"",SUBSTITUTE(SUBSTITUTE(U53,"; ",", "),";",","),""),"")</f>
        <v/>
      </c>
      <c r="BB53" s="47"/>
      <c r="BC53" s="47"/>
      <c r="BD53" s="47"/>
      <c r="BE53" s="47"/>
      <c r="BF53" s="47"/>
      <c r="BG53" s="47"/>
      <c r="BH53" s="47"/>
      <c r="BI53" s="47"/>
      <c r="BJ53" s="47"/>
      <c r="BK53" s="46" t="str">
        <f aca="false">IFERROR(IF(W53&lt;&gt;"",VALUE(W53),""),"")</f>
        <v/>
      </c>
      <c r="BL53" s="46" t="str">
        <f aca="false">IFERROR(IF(X53&lt;&gt;"",VALUE(X53),""),"")</f>
        <v/>
      </c>
      <c r="BM53" s="46" t="str">
        <f aca="false">IFERROR(IF(AD53="","None",IF(ISNUMBER(SEARCH("surv",AD53)),"Survived",IF(ISNUMBER(SEARCH("pend",AD53)),"Pending",IF(ISNUMBER(SEARCH("yes",AD53)),"Pending","None")))),"None")</f>
        <v>None</v>
      </c>
      <c r="BN53" s="47"/>
      <c r="BO53" s="47"/>
      <c r="BP53" s="47"/>
      <c r="BQ53" s="47"/>
      <c r="BR53" s="47"/>
      <c r="BS53" s="47"/>
      <c r="BT53" s="47"/>
      <c r="BU53" s="48" t="n">
        <f aca="false">IFERROR(COUNTA(AE53:BT53)/42,0)</f>
        <v>0.30952380952381</v>
      </c>
      <c r="BV53" s="49"/>
      <c r="BW53" s="50" t="b">
        <f aca="false">IF(Configuration!$C$10="No","",IFERROR(IF(AG53&lt;&gt;"",TRUE(),FALSE()),FALSE()))</f>
        <v>0</v>
      </c>
      <c r="BX53" s="50" t="b">
        <f aca="false">IF(Configuration!$C$11="No","",IFERROR(IF(AND(N(AL53)&gt;=Configuration!$C$44,AM53&lt;&gt;""),TRUE(),FALSE()),FALSE()))</f>
        <v>0</v>
      </c>
      <c r="BY53" s="50" t="b">
        <f aca="false">IF(Configuration!$C$12="No","",IFERROR(IF(AJ53&lt;&gt;"",TRUE(),FALSE()),FALSE()))</f>
        <v>0</v>
      </c>
      <c r="BZ53" s="50" t="b">
        <f aca="false">IF(Configuration!$C$13="No","",IFERROR(IF(AI53&lt;&gt;"",TRUE(),FALSE()),FALSE()))</f>
        <v>0</v>
      </c>
      <c r="CA53" s="50" t="b">
        <f aca="false">IF(Configuration!$C$14="No","",IFERROR(IF(AK53&lt;&gt;"",TRUE(),FALSE()),FALSE()))</f>
        <v>0</v>
      </c>
      <c r="CB53" s="50" t="b">
        <f aca="false">IF(Configuration!$C$15="No","",IFERROR(IF(AND(OR(ISNUMBER(SEARCH("process",AG53)),ISNUMBER(SEARCH("fab",AG53)),ISNUMBER(SEARCH("manufac",AG53))),AO53="Method"),TRUE(),FALSE()),FALSE()))</f>
        <v>0</v>
      </c>
      <c r="CC53" s="50" t="b">
        <f aca="false">IF(Configuration!$C$16="No","",IFERROR(IF(AND(OR(ISNUMBER(SEARCH("material",AG53)),ISNUMBER(SEARCH("chem",AG53)),ISNUMBER(SEARCH("battery",AG53)),ISNUMBER(SEARCH("electrolyte",AG53)),ISNUMBER(SEARCH("polymer",AG53))),OR(AO53="Apparatus",AO53="Method")),TRUE(),FALSE()),FALSE()))</f>
        <v>0</v>
      </c>
      <c r="CD53" s="50" t="b">
        <f aca="false">IF(Configuration!$C$17="No","",IFERROR(IF(AND(OR(AI53="App",AI53="Middleware",AI53="Cloud"),OR(AO53="Method",AO53="CRM")),TRUE(),FALSE()),FALSE()))</f>
        <v>0</v>
      </c>
      <c r="CE53" s="50" t="b">
        <f aca="false">IF(Configuration!$C$18="No","",IFERROR(IF(N(AN53)&gt;=Configuration!$C$45,TRUE(),FALSE()),FALSE()))</f>
        <v>0</v>
      </c>
      <c r="CF53" s="50" t="b">
        <f aca="false">IF(Configuration!$C$19="No","",IFERROR(IF(BE53&lt;&gt;"",TRUE(),FALSE()),FALSE()))</f>
        <v>0</v>
      </c>
      <c r="CG53" s="50" t="b">
        <f aca="false">IF(Configuration!$C$20="No","",IFERROR(IF(AO53&lt;&gt;"",TRUE(),FALSE()),FALSE()))</f>
        <v>0</v>
      </c>
      <c r="CH53" s="50" t="b">
        <f aca="false">IF(Configuration!$C$21="No","",IFERROR(IF(OR(N(AS53)&gt;=Configuration!$C$46,N(AT53)&gt;=Configuration!$C$47),TRUE(),FALSE()),FALSE()))</f>
        <v>0</v>
      </c>
      <c r="CI53" s="50" t="b">
        <f aca="false">IF(Configuration!$C$22="No","",IFERROR(IF(BB53="Yes",TRUE(),FALSE()),FALSE()))</f>
        <v>0</v>
      </c>
      <c r="CJ53" s="50" t="b">
        <f aca="false">IF(Configuration!$C$23="No","",IFERROR(IF(N(AV53)&gt;=Configuration!$C$48,TRUE(),FALSE()),FALSE()))</f>
        <v>0</v>
      </c>
      <c r="CK53" s="50" t="b">
        <f aca="false">IF(Configuration!$C$24="No","",IFERROR(IF(N(AY53)&gt;0,TRUE(),FALSE()),FALSE()))</f>
        <v>0</v>
      </c>
      <c r="CL53" s="50" t="b">
        <f aca="false">IF(Configuration!$C$25="No","",IFERROR(IF(OR(N(AP53)=3,N(AP53)&lt;=1),TRUE(),FALSE()),FALSE()))</f>
        <v>1</v>
      </c>
      <c r="CM53" s="50" t="b">
        <f aca="false">IF(Configuration!$C$26="No","",IFERROR(IF(N(BF53)&gt;=Configuration!$C$49,TRUE(),FALSE()),FALSE()))</f>
        <v>0</v>
      </c>
      <c r="CN53" s="50" t="b">
        <f aca="false">IF(Configuration!$C$27="No","",IFERROR(IF(BD53&lt;&gt;"",TRUE(),FALSE()),FALSE()))</f>
        <v>0</v>
      </c>
      <c r="CO53" s="50" t="b">
        <f aca="false">IF(Configuration!$C$28="No","",IFERROR(IF(N(AU53)&gt;=Configuration!$C$50,TRUE(),FALSE()),FALSE()))</f>
        <v>0</v>
      </c>
      <c r="CP53" s="50" t="b">
        <f aca="false">IF(Configuration!$C$29="No","",IFERROR(IF(AND(N(AR53)&gt;=Configuration!$C$51,AG53&lt;&gt;""),TRUE(),FALSE()),FALSE()))</f>
        <v>0</v>
      </c>
      <c r="CQ53" s="50" t="b">
        <f aca="false">IF(Configuration!$C$30="No","",IFERROR(IF(OR(AW53="Pending",AX53="Yes"),TRUE(),FALSE()),FALSE()))</f>
        <v>0</v>
      </c>
      <c r="CR53" s="50" t="b">
        <f aca="false">IF(Configuration!$C$31="No","",IFERROR(IF(AND(N(BG53)&gt;=Configuration!$C$52,N(AP53)&gt;=1),TRUE(),FALSE()),FALSE()))</f>
        <v>0</v>
      </c>
      <c r="CS53" s="50" t="b">
        <f aca="false">IF(Configuration!$C$32="No","",IFERROR(IF(AND(N(AR53)&gt;=1,OR(AG53&lt;&gt;"",AM53&lt;&gt;"")),TRUE(),FALSE()),FALSE()))</f>
        <v>0</v>
      </c>
      <c r="CT53" s="50" t="b">
        <f aca="false">IF(Configuration!$C$33="No","",IFERROR(IF(AG53&lt;&gt;"",TRUE(),FALSE()),FALSE()))</f>
        <v>0</v>
      </c>
      <c r="CU53" s="50" t="b">
        <f aca="false">IF(Configuration!$C$34="No","",IFERROR(IF(AX53="Yes",TRUE(),FALSE()),FALSE()))</f>
        <v>0</v>
      </c>
      <c r="CV53" s="50" t="b">
        <f aca="false">IF(Configuration!$C$35="No","",IFERROR(IF(OR(BO53="Partial",BO53="Full"),TRUE(),FALSE()),FALSE()))</f>
        <v>0</v>
      </c>
      <c r="CW53" s="50" t="b">
        <f aca="false">IF(Configuration!$C$36="No","",IFERROR(IF(BM53="Survived",TRUE(),FALSE()),FALSE()))</f>
        <v>0</v>
      </c>
      <c r="CX53" s="50" t="b">
        <f aca="false">IF(Configuration!$C$37="No","",IFERROR(IF(AND(BN53="Clean",BP53="None"),TRUE(),FALSE()),FALSE()))</f>
        <v>0</v>
      </c>
      <c r="CY53" s="50" t="b">
        <f aca="false">IF(Configuration!$C$38="No","",IFERROR(IF(N(BK53)&gt;=Configuration!$C$53,TRUE(),FALSE()),FALSE()))</f>
        <v>0</v>
      </c>
      <c r="CZ53" s="50" t="b">
        <f aca="false">IF(Configuration!$C$39="No","",IFERROR(IF(AND(N(BS53)&gt;=2,N(BF53)&gt;=2),TRUE(),FALSE()),FALSE()))</f>
        <v>0</v>
      </c>
      <c r="DA53" s="50" t="b">
        <f aca="false">IF(Configuration!$C$40="No","",IFERROR(IF(OR(N(BG53)&lt;=Configuration!$C$56,N(AY53)&lt;Configuration!$C$57,N(BH53)&lt;=Configuration!$C$58),TRUE(),FALSE()),FALSE()))</f>
        <v>1</v>
      </c>
      <c r="DB53" s="50" t="b">
        <f aca="false">IF(Configuration!$C$41="No","",IFERROR(IF(AND(N(AY53)&gt;=Configuration!$C$54,N(AY53)&lt;=Configuration!$C$55),TRUE(),FALSE()),FALSE()))</f>
        <v>0</v>
      </c>
      <c r="DC53" s="50" t="b">
        <f aca="false">IF(Configuration!$C$42="No","",IFERROR(IF(AND(AG53&lt;&gt;"",AJ53&lt;&gt;""),TRUE(),FALSE()),FALSE()))</f>
        <v>0</v>
      </c>
      <c r="DD53" s="51" t="n">
        <f aca="false">COUNTIF(BW53:DC53,TRUE())</f>
        <v>2</v>
      </c>
    </row>
    <row r="54" customFormat="false" ht="15" hidden="false" customHeight="true" outlineLevel="0" collapsed="false">
      <c r="A54" s="18" t="n">
        <v>15</v>
      </c>
      <c r="B54" s="44"/>
      <c r="C54" s="44"/>
      <c r="D54" s="44"/>
      <c r="E54" s="44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6" t="str">
        <f aca="false">IFERROR(IF(F54&lt;&gt;"",F54,""),"")</f>
        <v/>
      </c>
      <c r="AF54" s="46" t="str">
        <f aca="false">IFERROR(IF(G54&lt;&gt;"",G54,""),"")</f>
        <v/>
      </c>
      <c r="AG54" s="46" t="str">
        <f aca="false">IFERROR(IF(AA54&lt;&gt;"",AA54,IF(R54&lt;&gt;"",R54,"")),"")</f>
        <v/>
      </c>
      <c r="AH54" s="46" t="str">
        <f aca="false">IFERROR(IF(AB54&lt;&gt;"",AB54,IF(S54&lt;&gt;"",S54,"")),"")</f>
        <v/>
      </c>
      <c r="AI54" s="47"/>
      <c r="AJ54" s="47"/>
      <c r="AK54" s="47"/>
      <c r="AL54" s="47"/>
      <c r="AM54" s="47"/>
      <c r="AN54" s="47"/>
      <c r="AO54" s="47"/>
      <c r="AP54" s="47"/>
      <c r="AQ54" s="46" t="str">
        <f aca="false">IFERROR(IF(Y54&lt;&gt;"",VALUE(Y54),""),"")</f>
        <v/>
      </c>
      <c r="AR54" s="47"/>
      <c r="AS54" s="47"/>
      <c r="AT54" s="47"/>
      <c r="AU54" s="47"/>
      <c r="AV54" s="46" t="str">
        <f aca="false">IFERROR(IF(T54&lt;&gt;"",VALUE(T54),""),"")</f>
        <v/>
      </c>
      <c r="AW54" s="46" t="str">
        <f aca="false">IFERROR(IF(N54="","",IF(OR(ISNUMBER(SEARCH("grant",N54)),ISNUMBER(SEARCH("B",AC54))),"Granted",IF(OR(ISNUMBER(SEARCH("pend",N54)),ISNUMBER(SEARCH("A",AC54))),"Pending",IF(ISNUMBER(SEARCH("expir",N54)),"Expired",N54)))),"")</f>
        <v/>
      </c>
      <c r="AX54" s="47"/>
      <c r="AY54" s="46" t="str">
        <f aca="true">IFERROR(IF(M54&lt;&gt;"",ROUND(VALUE(M54),1),IF(L54&lt;&gt;"",ROUND(MAX(0,(DATEVALUE(TEXT(L54,"YYYY-MM-DD"))-TODAY())/365.25),1),"")),"")</f>
        <v/>
      </c>
      <c r="AZ54" s="46" t="str">
        <f aca="false">IFERROR(IF(O54&lt;&gt;"",O54,""),"")</f>
        <v/>
      </c>
      <c r="BA54" s="46" t="str">
        <f aca="false">IFERROR(IF(U54&lt;&gt;"",SUBSTITUTE(SUBSTITUTE(U54,"; ",", "),";",","),""),"")</f>
        <v/>
      </c>
      <c r="BB54" s="47"/>
      <c r="BC54" s="47"/>
      <c r="BD54" s="47"/>
      <c r="BE54" s="47"/>
      <c r="BF54" s="47"/>
      <c r="BG54" s="47"/>
      <c r="BH54" s="47"/>
      <c r="BI54" s="47"/>
      <c r="BJ54" s="47"/>
      <c r="BK54" s="46" t="str">
        <f aca="false">IFERROR(IF(W54&lt;&gt;"",VALUE(W54),""),"")</f>
        <v/>
      </c>
      <c r="BL54" s="46" t="str">
        <f aca="false">IFERROR(IF(X54&lt;&gt;"",VALUE(X54),""),"")</f>
        <v/>
      </c>
      <c r="BM54" s="46" t="str">
        <f aca="false">IFERROR(IF(AD54="","None",IF(ISNUMBER(SEARCH("surv",AD54)),"Survived",IF(ISNUMBER(SEARCH("pend",AD54)),"Pending",IF(ISNUMBER(SEARCH("yes",AD54)),"Pending","None")))),"None")</f>
        <v>None</v>
      </c>
      <c r="BN54" s="47"/>
      <c r="BO54" s="47"/>
      <c r="BP54" s="47"/>
      <c r="BQ54" s="47"/>
      <c r="BR54" s="47"/>
      <c r="BS54" s="47"/>
      <c r="BT54" s="47"/>
      <c r="BU54" s="48" t="n">
        <f aca="false">IFERROR(COUNTA(AE54:BT54)/42,0)</f>
        <v>0.30952380952381</v>
      </c>
      <c r="BV54" s="49"/>
      <c r="BW54" s="50" t="b">
        <f aca="false">IF(Configuration!$C$10="No","",IFERROR(IF(AG54&lt;&gt;"",TRUE(),FALSE()),FALSE()))</f>
        <v>0</v>
      </c>
      <c r="BX54" s="50" t="b">
        <f aca="false">IF(Configuration!$C$11="No","",IFERROR(IF(AND(N(AL54)&gt;=Configuration!$C$44,AM54&lt;&gt;""),TRUE(),FALSE()),FALSE()))</f>
        <v>0</v>
      </c>
      <c r="BY54" s="50" t="b">
        <f aca="false">IF(Configuration!$C$12="No","",IFERROR(IF(AJ54&lt;&gt;"",TRUE(),FALSE()),FALSE()))</f>
        <v>0</v>
      </c>
      <c r="BZ54" s="50" t="b">
        <f aca="false">IF(Configuration!$C$13="No","",IFERROR(IF(AI54&lt;&gt;"",TRUE(),FALSE()),FALSE()))</f>
        <v>0</v>
      </c>
      <c r="CA54" s="50" t="b">
        <f aca="false">IF(Configuration!$C$14="No","",IFERROR(IF(AK54&lt;&gt;"",TRUE(),FALSE()),FALSE()))</f>
        <v>0</v>
      </c>
      <c r="CB54" s="50" t="b">
        <f aca="false">IF(Configuration!$C$15="No","",IFERROR(IF(AND(OR(ISNUMBER(SEARCH("process",AG54)),ISNUMBER(SEARCH("fab",AG54)),ISNUMBER(SEARCH("manufac",AG54))),AO54="Method"),TRUE(),FALSE()),FALSE()))</f>
        <v>0</v>
      </c>
      <c r="CC54" s="50" t="b">
        <f aca="false">IF(Configuration!$C$16="No","",IFERROR(IF(AND(OR(ISNUMBER(SEARCH("material",AG54)),ISNUMBER(SEARCH("chem",AG54)),ISNUMBER(SEARCH("battery",AG54)),ISNUMBER(SEARCH("electrolyte",AG54)),ISNUMBER(SEARCH("polymer",AG54))),OR(AO54="Apparatus",AO54="Method")),TRUE(),FALSE()),FALSE()))</f>
        <v>0</v>
      </c>
      <c r="CD54" s="50" t="b">
        <f aca="false">IF(Configuration!$C$17="No","",IFERROR(IF(AND(OR(AI54="App",AI54="Middleware",AI54="Cloud"),OR(AO54="Method",AO54="CRM")),TRUE(),FALSE()),FALSE()))</f>
        <v>0</v>
      </c>
      <c r="CE54" s="50" t="b">
        <f aca="false">IF(Configuration!$C$18="No","",IFERROR(IF(N(AN54)&gt;=Configuration!$C$45,TRUE(),FALSE()),FALSE()))</f>
        <v>0</v>
      </c>
      <c r="CF54" s="50" t="b">
        <f aca="false">IF(Configuration!$C$19="No","",IFERROR(IF(BE54&lt;&gt;"",TRUE(),FALSE()),FALSE()))</f>
        <v>0</v>
      </c>
      <c r="CG54" s="50" t="b">
        <f aca="false">IF(Configuration!$C$20="No","",IFERROR(IF(AO54&lt;&gt;"",TRUE(),FALSE()),FALSE()))</f>
        <v>0</v>
      </c>
      <c r="CH54" s="50" t="b">
        <f aca="false">IF(Configuration!$C$21="No","",IFERROR(IF(OR(N(AS54)&gt;=Configuration!$C$46,N(AT54)&gt;=Configuration!$C$47),TRUE(),FALSE()),FALSE()))</f>
        <v>0</v>
      </c>
      <c r="CI54" s="50" t="b">
        <f aca="false">IF(Configuration!$C$22="No","",IFERROR(IF(BB54="Yes",TRUE(),FALSE()),FALSE()))</f>
        <v>0</v>
      </c>
      <c r="CJ54" s="50" t="b">
        <f aca="false">IF(Configuration!$C$23="No","",IFERROR(IF(N(AV54)&gt;=Configuration!$C$48,TRUE(),FALSE()),FALSE()))</f>
        <v>0</v>
      </c>
      <c r="CK54" s="50" t="b">
        <f aca="false">IF(Configuration!$C$24="No","",IFERROR(IF(N(AY54)&gt;0,TRUE(),FALSE()),FALSE()))</f>
        <v>0</v>
      </c>
      <c r="CL54" s="50" t="b">
        <f aca="false">IF(Configuration!$C$25="No","",IFERROR(IF(OR(N(AP54)=3,N(AP54)&lt;=1),TRUE(),FALSE()),FALSE()))</f>
        <v>1</v>
      </c>
      <c r="CM54" s="50" t="b">
        <f aca="false">IF(Configuration!$C$26="No","",IFERROR(IF(N(BF54)&gt;=Configuration!$C$49,TRUE(),FALSE()),FALSE()))</f>
        <v>0</v>
      </c>
      <c r="CN54" s="50" t="b">
        <f aca="false">IF(Configuration!$C$27="No","",IFERROR(IF(BD54&lt;&gt;"",TRUE(),FALSE()),FALSE()))</f>
        <v>0</v>
      </c>
      <c r="CO54" s="50" t="b">
        <f aca="false">IF(Configuration!$C$28="No","",IFERROR(IF(N(AU54)&gt;=Configuration!$C$50,TRUE(),FALSE()),FALSE()))</f>
        <v>0</v>
      </c>
      <c r="CP54" s="50" t="b">
        <f aca="false">IF(Configuration!$C$29="No","",IFERROR(IF(AND(N(AR54)&gt;=Configuration!$C$51,AG54&lt;&gt;""),TRUE(),FALSE()),FALSE()))</f>
        <v>0</v>
      </c>
      <c r="CQ54" s="50" t="b">
        <f aca="false">IF(Configuration!$C$30="No","",IFERROR(IF(OR(AW54="Pending",AX54="Yes"),TRUE(),FALSE()),FALSE()))</f>
        <v>0</v>
      </c>
      <c r="CR54" s="50" t="b">
        <f aca="false">IF(Configuration!$C$31="No","",IFERROR(IF(AND(N(BG54)&gt;=Configuration!$C$52,N(AP54)&gt;=1),TRUE(),FALSE()),FALSE()))</f>
        <v>0</v>
      </c>
      <c r="CS54" s="50" t="b">
        <f aca="false">IF(Configuration!$C$32="No","",IFERROR(IF(AND(N(AR54)&gt;=1,OR(AG54&lt;&gt;"",AM54&lt;&gt;"")),TRUE(),FALSE()),FALSE()))</f>
        <v>0</v>
      </c>
      <c r="CT54" s="50" t="b">
        <f aca="false">IF(Configuration!$C$33="No","",IFERROR(IF(AG54&lt;&gt;"",TRUE(),FALSE()),FALSE()))</f>
        <v>0</v>
      </c>
      <c r="CU54" s="50" t="b">
        <f aca="false">IF(Configuration!$C$34="No","",IFERROR(IF(AX54="Yes",TRUE(),FALSE()),FALSE()))</f>
        <v>0</v>
      </c>
      <c r="CV54" s="50" t="b">
        <f aca="false">IF(Configuration!$C$35="No","",IFERROR(IF(OR(BO54="Partial",BO54="Full"),TRUE(),FALSE()),FALSE()))</f>
        <v>0</v>
      </c>
      <c r="CW54" s="50" t="b">
        <f aca="false">IF(Configuration!$C$36="No","",IFERROR(IF(BM54="Survived",TRUE(),FALSE()),FALSE()))</f>
        <v>0</v>
      </c>
      <c r="CX54" s="50" t="b">
        <f aca="false">IF(Configuration!$C$37="No","",IFERROR(IF(AND(BN54="Clean",BP54="None"),TRUE(),FALSE()),FALSE()))</f>
        <v>0</v>
      </c>
      <c r="CY54" s="50" t="b">
        <f aca="false">IF(Configuration!$C$38="No","",IFERROR(IF(N(BK54)&gt;=Configuration!$C$53,TRUE(),FALSE()),FALSE()))</f>
        <v>0</v>
      </c>
      <c r="CZ54" s="50" t="b">
        <f aca="false">IF(Configuration!$C$39="No","",IFERROR(IF(AND(N(BS54)&gt;=2,N(BF54)&gt;=2),TRUE(),FALSE()),FALSE()))</f>
        <v>0</v>
      </c>
      <c r="DA54" s="50" t="b">
        <f aca="false">IF(Configuration!$C$40="No","",IFERROR(IF(OR(N(BG54)&lt;=Configuration!$C$56,N(AY54)&lt;Configuration!$C$57,N(BH54)&lt;=Configuration!$C$58),TRUE(),FALSE()),FALSE()))</f>
        <v>1</v>
      </c>
      <c r="DB54" s="50" t="b">
        <f aca="false">IF(Configuration!$C$41="No","",IFERROR(IF(AND(N(AY54)&gt;=Configuration!$C$54,N(AY54)&lt;=Configuration!$C$55),TRUE(),FALSE()),FALSE()))</f>
        <v>0</v>
      </c>
      <c r="DC54" s="50" t="b">
        <f aca="false">IF(Configuration!$C$42="No","",IFERROR(IF(AND(AG54&lt;&gt;"",AJ54&lt;&gt;""),TRUE(),FALSE()),FALSE()))</f>
        <v>0</v>
      </c>
      <c r="DD54" s="51" t="n">
        <f aca="false">COUNTIF(BW54:DC54,TRUE())</f>
        <v>2</v>
      </c>
    </row>
    <row r="55" customFormat="false" ht="15" hidden="false" customHeight="true" outlineLevel="0" collapsed="false">
      <c r="A55" s="18" t="n">
        <v>16</v>
      </c>
      <c r="B55" s="44"/>
      <c r="C55" s="44"/>
      <c r="D55" s="44"/>
      <c r="E55" s="44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6" t="str">
        <f aca="false">IFERROR(IF(F55&lt;&gt;"",F55,""),"")</f>
        <v/>
      </c>
      <c r="AF55" s="46" t="str">
        <f aca="false">IFERROR(IF(G55&lt;&gt;"",G55,""),"")</f>
        <v/>
      </c>
      <c r="AG55" s="46" t="str">
        <f aca="false">IFERROR(IF(AA55&lt;&gt;"",AA55,IF(R55&lt;&gt;"",R55,"")),"")</f>
        <v/>
      </c>
      <c r="AH55" s="46" t="str">
        <f aca="false">IFERROR(IF(AB55&lt;&gt;"",AB55,IF(S55&lt;&gt;"",S55,"")),"")</f>
        <v/>
      </c>
      <c r="AI55" s="47"/>
      <c r="AJ55" s="47"/>
      <c r="AK55" s="47"/>
      <c r="AL55" s="47"/>
      <c r="AM55" s="47"/>
      <c r="AN55" s="47"/>
      <c r="AO55" s="47"/>
      <c r="AP55" s="47"/>
      <c r="AQ55" s="46" t="str">
        <f aca="false">IFERROR(IF(Y55&lt;&gt;"",VALUE(Y55),""),"")</f>
        <v/>
      </c>
      <c r="AR55" s="47"/>
      <c r="AS55" s="47"/>
      <c r="AT55" s="47"/>
      <c r="AU55" s="47"/>
      <c r="AV55" s="46" t="str">
        <f aca="false">IFERROR(IF(T55&lt;&gt;"",VALUE(T55),""),"")</f>
        <v/>
      </c>
      <c r="AW55" s="46" t="str">
        <f aca="false">IFERROR(IF(N55="","",IF(OR(ISNUMBER(SEARCH("grant",N55)),ISNUMBER(SEARCH("B",AC55))),"Granted",IF(OR(ISNUMBER(SEARCH("pend",N55)),ISNUMBER(SEARCH("A",AC55))),"Pending",IF(ISNUMBER(SEARCH("expir",N55)),"Expired",N55)))),"")</f>
        <v/>
      </c>
      <c r="AX55" s="47"/>
      <c r="AY55" s="46" t="str">
        <f aca="true">IFERROR(IF(M55&lt;&gt;"",ROUND(VALUE(M55),1),IF(L55&lt;&gt;"",ROUND(MAX(0,(DATEVALUE(TEXT(L55,"YYYY-MM-DD"))-TODAY())/365.25),1),"")),"")</f>
        <v/>
      </c>
      <c r="AZ55" s="46" t="str">
        <f aca="false">IFERROR(IF(O55&lt;&gt;"",O55,""),"")</f>
        <v/>
      </c>
      <c r="BA55" s="46" t="str">
        <f aca="false">IFERROR(IF(U55&lt;&gt;"",SUBSTITUTE(SUBSTITUTE(U55,"; ",", "),";",","),""),"")</f>
        <v/>
      </c>
      <c r="BB55" s="47"/>
      <c r="BC55" s="47"/>
      <c r="BD55" s="47"/>
      <c r="BE55" s="47"/>
      <c r="BF55" s="47"/>
      <c r="BG55" s="47"/>
      <c r="BH55" s="47"/>
      <c r="BI55" s="47"/>
      <c r="BJ55" s="47"/>
      <c r="BK55" s="46" t="str">
        <f aca="false">IFERROR(IF(W55&lt;&gt;"",VALUE(W55),""),"")</f>
        <v/>
      </c>
      <c r="BL55" s="46" t="str">
        <f aca="false">IFERROR(IF(X55&lt;&gt;"",VALUE(X55),""),"")</f>
        <v/>
      </c>
      <c r="BM55" s="46" t="str">
        <f aca="false">IFERROR(IF(AD55="","None",IF(ISNUMBER(SEARCH("surv",AD55)),"Survived",IF(ISNUMBER(SEARCH("pend",AD55)),"Pending",IF(ISNUMBER(SEARCH("yes",AD55)),"Pending","None")))),"None")</f>
        <v>None</v>
      </c>
      <c r="BN55" s="47"/>
      <c r="BO55" s="47"/>
      <c r="BP55" s="47"/>
      <c r="BQ55" s="47"/>
      <c r="BR55" s="47"/>
      <c r="BS55" s="47"/>
      <c r="BT55" s="47"/>
      <c r="BU55" s="48" t="n">
        <f aca="false">IFERROR(COUNTA(AE55:BT55)/42,0)</f>
        <v>0.30952380952381</v>
      </c>
      <c r="BV55" s="49"/>
      <c r="BW55" s="50" t="b">
        <f aca="false">IF(Configuration!$C$10="No","",IFERROR(IF(AG55&lt;&gt;"",TRUE(),FALSE()),FALSE()))</f>
        <v>0</v>
      </c>
      <c r="BX55" s="50" t="b">
        <f aca="false">IF(Configuration!$C$11="No","",IFERROR(IF(AND(N(AL55)&gt;=Configuration!$C$44,AM55&lt;&gt;""),TRUE(),FALSE()),FALSE()))</f>
        <v>0</v>
      </c>
      <c r="BY55" s="50" t="b">
        <f aca="false">IF(Configuration!$C$12="No","",IFERROR(IF(AJ55&lt;&gt;"",TRUE(),FALSE()),FALSE()))</f>
        <v>0</v>
      </c>
      <c r="BZ55" s="50" t="b">
        <f aca="false">IF(Configuration!$C$13="No","",IFERROR(IF(AI55&lt;&gt;"",TRUE(),FALSE()),FALSE()))</f>
        <v>0</v>
      </c>
      <c r="CA55" s="50" t="b">
        <f aca="false">IF(Configuration!$C$14="No","",IFERROR(IF(AK55&lt;&gt;"",TRUE(),FALSE()),FALSE()))</f>
        <v>0</v>
      </c>
      <c r="CB55" s="50" t="b">
        <f aca="false">IF(Configuration!$C$15="No","",IFERROR(IF(AND(OR(ISNUMBER(SEARCH("process",AG55)),ISNUMBER(SEARCH("fab",AG55)),ISNUMBER(SEARCH("manufac",AG55))),AO55="Method"),TRUE(),FALSE()),FALSE()))</f>
        <v>0</v>
      </c>
      <c r="CC55" s="50" t="b">
        <f aca="false">IF(Configuration!$C$16="No","",IFERROR(IF(AND(OR(ISNUMBER(SEARCH("material",AG55)),ISNUMBER(SEARCH("chem",AG55)),ISNUMBER(SEARCH("battery",AG55)),ISNUMBER(SEARCH("electrolyte",AG55)),ISNUMBER(SEARCH("polymer",AG55))),OR(AO55="Apparatus",AO55="Method")),TRUE(),FALSE()),FALSE()))</f>
        <v>0</v>
      </c>
      <c r="CD55" s="50" t="b">
        <f aca="false">IF(Configuration!$C$17="No","",IFERROR(IF(AND(OR(AI55="App",AI55="Middleware",AI55="Cloud"),OR(AO55="Method",AO55="CRM")),TRUE(),FALSE()),FALSE()))</f>
        <v>0</v>
      </c>
      <c r="CE55" s="50" t="b">
        <f aca="false">IF(Configuration!$C$18="No","",IFERROR(IF(N(AN55)&gt;=Configuration!$C$45,TRUE(),FALSE()),FALSE()))</f>
        <v>0</v>
      </c>
      <c r="CF55" s="50" t="b">
        <f aca="false">IF(Configuration!$C$19="No","",IFERROR(IF(BE55&lt;&gt;"",TRUE(),FALSE()),FALSE()))</f>
        <v>0</v>
      </c>
      <c r="CG55" s="50" t="b">
        <f aca="false">IF(Configuration!$C$20="No","",IFERROR(IF(AO55&lt;&gt;"",TRUE(),FALSE()),FALSE()))</f>
        <v>0</v>
      </c>
      <c r="CH55" s="50" t="b">
        <f aca="false">IF(Configuration!$C$21="No","",IFERROR(IF(OR(N(AS55)&gt;=Configuration!$C$46,N(AT55)&gt;=Configuration!$C$47),TRUE(),FALSE()),FALSE()))</f>
        <v>0</v>
      </c>
      <c r="CI55" s="50" t="b">
        <f aca="false">IF(Configuration!$C$22="No","",IFERROR(IF(BB55="Yes",TRUE(),FALSE()),FALSE()))</f>
        <v>0</v>
      </c>
      <c r="CJ55" s="50" t="b">
        <f aca="false">IF(Configuration!$C$23="No","",IFERROR(IF(N(AV55)&gt;=Configuration!$C$48,TRUE(),FALSE()),FALSE()))</f>
        <v>0</v>
      </c>
      <c r="CK55" s="50" t="b">
        <f aca="false">IF(Configuration!$C$24="No","",IFERROR(IF(N(AY55)&gt;0,TRUE(),FALSE()),FALSE()))</f>
        <v>0</v>
      </c>
      <c r="CL55" s="50" t="b">
        <f aca="false">IF(Configuration!$C$25="No","",IFERROR(IF(OR(N(AP55)=3,N(AP55)&lt;=1),TRUE(),FALSE()),FALSE()))</f>
        <v>1</v>
      </c>
      <c r="CM55" s="50" t="b">
        <f aca="false">IF(Configuration!$C$26="No","",IFERROR(IF(N(BF55)&gt;=Configuration!$C$49,TRUE(),FALSE()),FALSE()))</f>
        <v>0</v>
      </c>
      <c r="CN55" s="50" t="b">
        <f aca="false">IF(Configuration!$C$27="No","",IFERROR(IF(BD55&lt;&gt;"",TRUE(),FALSE()),FALSE()))</f>
        <v>0</v>
      </c>
      <c r="CO55" s="50" t="b">
        <f aca="false">IF(Configuration!$C$28="No","",IFERROR(IF(N(AU55)&gt;=Configuration!$C$50,TRUE(),FALSE()),FALSE()))</f>
        <v>0</v>
      </c>
      <c r="CP55" s="50" t="b">
        <f aca="false">IF(Configuration!$C$29="No","",IFERROR(IF(AND(N(AR55)&gt;=Configuration!$C$51,AG55&lt;&gt;""),TRUE(),FALSE()),FALSE()))</f>
        <v>0</v>
      </c>
      <c r="CQ55" s="50" t="b">
        <f aca="false">IF(Configuration!$C$30="No","",IFERROR(IF(OR(AW55="Pending",AX55="Yes"),TRUE(),FALSE()),FALSE()))</f>
        <v>0</v>
      </c>
      <c r="CR55" s="50" t="b">
        <f aca="false">IF(Configuration!$C$31="No","",IFERROR(IF(AND(N(BG55)&gt;=Configuration!$C$52,N(AP55)&gt;=1),TRUE(),FALSE()),FALSE()))</f>
        <v>0</v>
      </c>
      <c r="CS55" s="50" t="b">
        <f aca="false">IF(Configuration!$C$32="No","",IFERROR(IF(AND(N(AR55)&gt;=1,OR(AG55&lt;&gt;"",AM55&lt;&gt;"")),TRUE(),FALSE()),FALSE()))</f>
        <v>0</v>
      </c>
      <c r="CT55" s="50" t="b">
        <f aca="false">IF(Configuration!$C$33="No","",IFERROR(IF(AG55&lt;&gt;"",TRUE(),FALSE()),FALSE()))</f>
        <v>0</v>
      </c>
      <c r="CU55" s="50" t="b">
        <f aca="false">IF(Configuration!$C$34="No","",IFERROR(IF(AX55="Yes",TRUE(),FALSE()),FALSE()))</f>
        <v>0</v>
      </c>
      <c r="CV55" s="50" t="b">
        <f aca="false">IF(Configuration!$C$35="No","",IFERROR(IF(OR(BO55="Partial",BO55="Full"),TRUE(),FALSE()),FALSE()))</f>
        <v>0</v>
      </c>
      <c r="CW55" s="50" t="b">
        <f aca="false">IF(Configuration!$C$36="No","",IFERROR(IF(BM55="Survived",TRUE(),FALSE()),FALSE()))</f>
        <v>0</v>
      </c>
      <c r="CX55" s="50" t="b">
        <f aca="false">IF(Configuration!$C$37="No","",IFERROR(IF(AND(BN55="Clean",BP55="None"),TRUE(),FALSE()),FALSE()))</f>
        <v>0</v>
      </c>
      <c r="CY55" s="50" t="b">
        <f aca="false">IF(Configuration!$C$38="No","",IFERROR(IF(N(BK55)&gt;=Configuration!$C$53,TRUE(),FALSE()),FALSE()))</f>
        <v>0</v>
      </c>
      <c r="CZ55" s="50" t="b">
        <f aca="false">IF(Configuration!$C$39="No","",IFERROR(IF(AND(N(BS55)&gt;=2,N(BF55)&gt;=2),TRUE(),FALSE()),FALSE()))</f>
        <v>0</v>
      </c>
      <c r="DA55" s="50" t="b">
        <f aca="false">IF(Configuration!$C$40="No","",IFERROR(IF(OR(N(BG55)&lt;=Configuration!$C$56,N(AY55)&lt;Configuration!$C$57,N(BH55)&lt;=Configuration!$C$58),TRUE(),FALSE()),FALSE()))</f>
        <v>1</v>
      </c>
      <c r="DB55" s="50" t="b">
        <f aca="false">IF(Configuration!$C$41="No","",IFERROR(IF(AND(N(AY55)&gt;=Configuration!$C$54,N(AY55)&lt;=Configuration!$C$55),TRUE(),FALSE()),FALSE()))</f>
        <v>0</v>
      </c>
      <c r="DC55" s="50" t="b">
        <f aca="false">IF(Configuration!$C$42="No","",IFERROR(IF(AND(AG55&lt;&gt;"",AJ55&lt;&gt;""),TRUE(),FALSE()),FALSE()))</f>
        <v>0</v>
      </c>
      <c r="DD55" s="51" t="n">
        <f aca="false">COUNTIF(BW55:DC55,TRUE())</f>
        <v>2</v>
      </c>
    </row>
    <row r="56" customFormat="false" ht="15" hidden="false" customHeight="true" outlineLevel="0" collapsed="false">
      <c r="A56" s="18" t="n">
        <v>17</v>
      </c>
      <c r="B56" s="44"/>
      <c r="C56" s="44"/>
      <c r="D56" s="44"/>
      <c r="E56" s="44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6" t="str">
        <f aca="false">IFERROR(IF(F56&lt;&gt;"",F56,""),"")</f>
        <v/>
      </c>
      <c r="AF56" s="46" t="str">
        <f aca="false">IFERROR(IF(G56&lt;&gt;"",G56,""),"")</f>
        <v/>
      </c>
      <c r="AG56" s="46" t="str">
        <f aca="false">IFERROR(IF(AA56&lt;&gt;"",AA56,IF(R56&lt;&gt;"",R56,"")),"")</f>
        <v/>
      </c>
      <c r="AH56" s="46" t="str">
        <f aca="false">IFERROR(IF(AB56&lt;&gt;"",AB56,IF(S56&lt;&gt;"",S56,"")),"")</f>
        <v/>
      </c>
      <c r="AI56" s="47"/>
      <c r="AJ56" s="47"/>
      <c r="AK56" s="47"/>
      <c r="AL56" s="47"/>
      <c r="AM56" s="47"/>
      <c r="AN56" s="47"/>
      <c r="AO56" s="47"/>
      <c r="AP56" s="47"/>
      <c r="AQ56" s="46" t="str">
        <f aca="false">IFERROR(IF(Y56&lt;&gt;"",VALUE(Y56),""),"")</f>
        <v/>
      </c>
      <c r="AR56" s="47"/>
      <c r="AS56" s="47"/>
      <c r="AT56" s="47"/>
      <c r="AU56" s="47"/>
      <c r="AV56" s="46" t="str">
        <f aca="false">IFERROR(IF(T56&lt;&gt;"",VALUE(T56),""),"")</f>
        <v/>
      </c>
      <c r="AW56" s="46" t="str">
        <f aca="false">IFERROR(IF(N56="","",IF(OR(ISNUMBER(SEARCH("grant",N56)),ISNUMBER(SEARCH("B",AC56))),"Granted",IF(OR(ISNUMBER(SEARCH("pend",N56)),ISNUMBER(SEARCH("A",AC56))),"Pending",IF(ISNUMBER(SEARCH("expir",N56)),"Expired",N56)))),"")</f>
        <v/>
      </c>
      <c r="AX56" s="47"/>
      <c r="AY56" s="46" t="str">
        <f aca="true">IFERROR(IF(M56&lt;&gt;"",ROUND(VALUE(M56),1),IF(L56&lt;&gt;"",ROUND(MAX(0,(DATEVALUE(TEXT(L56,"YYYY-MM-DD"))-TODAY())/365.25),1),"")),"")</f>
        <v/>
      </c>
      <c r="AZ56" s="46" t="str">
        <f aca="false">IFERROR(IF(O56&lt;&gt;"",O56,""),"")</f>
        <v/>
      </c>
      <c r="BA56" s="46" t="str">
        <f aca="false">IFERROR(IF(U56&lt;&gt;"",SUBSTITUTE(SUBSTITUTE(U56,"; ",", "),";",","),""),"")</f>
        <v/>
      </c>
      <c r="BB56" s="47"/>
      <c r="BC56" s="47"/>
      <c r="BD56" s="47"/>
      <c r="BE56" s="47"/>
      <c r="BF56" s="47"/>
      <c r="BG56" s="47"/>
      <c r="BH56" s="47"/>
      <c r="BI56" s="47"/>
      <c r="BJ56" s="47"/>
      <c r="BK56" s="46" t="str">
        <f aca="false">IFERROR(IF(W56&lt;&gt;"",VALUE(W56),""),"")</f>
        <v/>
      </c>
      <c r="BL56" s="46" t="str">
        <f aca="false">IFERROR(IF(X56&lt;&gt;"",VALUE(X56),""),"")</f>
        <v/>
      </c>
      <c r="BM56" s="46" t="str">
        <f aca="false">IFERROR(IF(AD56="","None",IF(ISNUMBER(SEARCH("surv",AD56)),"Survived",IF(ISNUMBER(SEARCH("pend",AD56)),"Pending",IF(ISNUMBER(SEARCH("yes",AD56)),"Pending","None")))),"None")</f>
        <v>None</v>
      </c>
      <c r="BN56" s="47"/>
      <c r="BO56" s="47"/>
      <c r="BP56" s="47"/>
      <c r="BQ56" s="47"/>
      <c r="BR56" s="47"/>
      <c r="BS56" s="47"/>
      <c r="BT56" s="47"/>
      <c r="BU56" s="48" t="n">
        <f aca="false">IFERROR(COUNTA(AE56:BT56)/42,0)</f>
        <v>0.30952380952381</v>
      </c>
      <c r="BV56" s="49"/>
      <c r="BW56" s="50" t="b">
        <f aca="false">IF(Configuration!$C$10="No","",IFERROR(IF(AG56&lt;&gt;"",TRUE(),FALSE()),FALSE()))</f>
        <v>0</v>
      </c>
      <c r="BX56" s="50" t="b">
        <f aca="false">IF(Configuration!$C$11="No","",IFERROR(IF(AND(N(AL56)&gt;=Configuration!$C$44,AM56&lt;&gt;""),TRUE(),FALSE()),FALSE()))</f>
        <v>0</v>
      </c>
      <c r="BY56" s="50" t="b">
        <f aca="false">IF(Configuration!$C$12="No","",IFERROR(IF(AJ56&lt;&gt;"",TRUE(),FALSE()),FALSE()))</f>
        <v>0</v>
      </c>
      <c r="BZ56" s="50" t="b">
        <f aca="false">IF(Configuration!$C$13="No","",IFERROR(IF(AI56&lt;&gt;"",TRUE(),FALSE()),FALSE()))</f>
        <v>0</v>
      </c>
      <c r="CA56" s="50" t="b">
        <f aca="false">IF(Configuration!$C$14="No","",IFERROR(IF(AK56&lt;&gt;"",TRUE(),FALSE()),FALSE()))</f>
        <v>0</v>
      </c>
      <c r="CB56" s="50" t="b">
        <f aca="false">IF(Configuration!$C$15="No","",IFERROR(IF(AND(OR(ISNUMBER(SEARCH("process",AG56)),ISNUMBER(SEARCH("fab",AG56)),ISNUMBER(SEARCH("manufac",AG56))),AO56="Method"),TRUE(),FALSE()),FALSE()))</f>
        <v>0</v>
      </c>
      <c r="CC56" s="50" t="b">
        <f aca="false">IF(Configuration!$C$16="No","",IFERROR(IF(AND(OR(ISNUMBER(SEARCH("material",AG56)),ISNUMBER(SEARCH("chem",AG56)),ISNUMBER(SEARCH("battery",AG56)),ISNUMBER(SEARCH("electrolyte",AG56)),ISNUMBER(SEARCH("polymer",AG56))),OR(AO56="Apparatus",AO56="Method")),TRUE(),FALSE()),FALSE()))</f>
        <v>0</v>
      </c>
      <c r="CD56" s="50" t="b">
        <f aca="false">IF(Configuration!$C$17="No","",IFERROR(IF(AND(OR(AI56="App",AI56="Middleware",AI56="Cloud"),OR(AO56="Method",AO56="CRM")),TRUE(),FALSE()),FALSE()))</f>
        <v>0</v>
      </c>
      <c r="CE56" s="50" t="b">
        <f aca="false">IF(Configuration!$C$18="No","",IFERROR(IF(N(AN56)&gt;=Configuration!$C$45,TRUE(),FALSE()),FALSE()))</f>
        <v>0</v>
      </c>
      <c r="CF56" s="50" t="b">
        <f aca="false">IF(Configuration!$C$19="No","",IFERROR(IF(BE56&lt;&gt;"",TRUE(),FALSE()),FALSE()))</f>
        <v>0</v>
      </c>
      <c r="CG56" s="50" t="b">
        <f aca="false">IF(Configuration!$C$20="No","",IFERROR(IF(AO56&lt;&gt;"",TRUE(),FALSE()),FALSE()))</f>
        <v>0</v>
      </c>
      <c r="CH56" s="50" t="b">
        <f aca="false">IF(Configuration!$C$21="No","",IFERROR(IF(OR(N(AS56)&gt;=Configuration!$C$46,N(AT56)&gt;=Configuration!$C$47),TRUE(),FALSE()),FALSE()))</f>
        <v>0</v>
      </c>
      <c r="CI56" s="50" t="b">
        <f aca="false">IF(Configuration!$C$22="No","",IFERROR(IF(BB56="Yes",TRUE(),FALSE()),FALSE()))</f>
        <v>0</v>
      </c>
      <c r="CJ56" s="50" t="b">
        <f aca="false">IF(Configuration!$C$23="No","",IFERROR(IF(N(AV56)&gt;=Configuration!$C$48,TRUE(),FALSE()),FALSE()))</f>
        <v>0</v>
      </c>
      <c r="CK56" s="50" t="b">
        <f aca="false">IF(Configuration!$C$24="No","",IFERROR(IF(N(AY56)&gt;0,TRUE(),FALSE()),FALSE()))</f>
        <v>0</v>
      </c>
      <c r="CL56" s="50" t="b">
        <f aca="false">IF(Configuration!$C$25="No","",IFERROR(IF(OR(N(AP56)=3,N(AP56)&lt;=1),TRUE(),FALSE()),FALSE()))</f>
        <v>1</v>
      </c>
      <c r="CM56" s="50" t="b">
        <f aca="false">IF(Configuration!$C$26="No","",IFERROR(IF(N(BF56)&gt;=Configuration!$C$49,TRUE(),FALSE()),FALSE()))</f>
        <v>0</v>
      </c>
      <c r="CN56" s="50" t="b">
        <f aca="false">IF(Configuration!$C$27="No","",IFERROR(IF(BD56&lt;&gt;"",TRUE(),FALSE()),FALSE()))</f>
        <v>0</v>
      </c>
      <c r="CO56" s="50" t="b">
        <f aca="false">IF(Configuration!$C$28="No","",IFERROR(IF(N(AU56)&gt;=Configuration!$C$50,TRUE(),FALSE()),FALSE()))</f>
        <v>0</v>
      </c>
      <c r="CP56" s="50" t="b">
        <f aca="false">IF(Configuration!$C$29="No","",IFERROR(IF(AND(N(AR56)&gt;=Configuration!$C$51,AG56&lt;&gt;""),TRUE(),FALSE()),FALSE()))</f>
        <v>0</v>
      </c>
      <c r="CQ56" s="50" t="b">
        <f aca="false">IF(Configuration!$C$30="No","",IFERROR(IF(OR(AW56="Pending",AX56="Yes"),TRUE(),FALSE()),FALSE()))</f>
        <v>0</v>
      </c>
      <c r="CR56" s="50" t="b">
        <f aca="false">IF(Configuration!$C$31="No","",IFERROR(IF(AND(N(BG56)&gt;=Configuration!$C$52,N(AP56)&gt;=1),TRUE(),FALSE()),FALSE()))</f>
        <v>0</v>
      </c>
      <c r="CS56" s="50" t="b">
        <f aca="false">IF(Configuration!$C$32="No","",IFERROR(IF(AND(N(AR56)&gt;=1,OR(AG56&lt;&gt;"",AM56&lt;&gt;"")),TRUE(),FALSE()),FALSE()))</f>
        <v>0</v>
      </c>
      <c r="CT56" s="50" t="b">
        <f aca="false">IF(Configuration!$C$33="No","",IFERROR(IF(AG56&lt;&gt;"",TRUE(),FALSE()),FALSE()))</f>
        <v>0</v>
      </c>
      <c r="CU56" s="50" t="b">
        <f aca="false">IF(Configuration!$C$34="No","",IFERROR(IF(AX56="Yes",TRUE(),FALSE()),FALSE()))</f>
        <v>0</v>
      </c>
      <c r="CV56" s="50" t="b">
        <f aca="false">IF(Configuration!$C$35="No","",IFERROR(IF(OR(BO56="Partial",BO56="Full"),TRUE(),FALSE()),FALSE()))</f>
        <v>0</v>
      </c>
      <c r="CW56" s="50" t="b">
        <f aca="false">IF(Configuration!$C$36="No","",IFERROR(IF(BM56="Survived",TRUE(),FALSE()),FALSE()))</f>
        <v>0</v>
      </c>
      <c r="CX56" s="50" t="b">
        <f aca="false">IF(Configuration!$C$37="No","",IFERROR(IF(AND(BN56="Clean",BP56="None"),TRUE(),FALSE()),FALSE()))</f>
        <v>0</v>
      </c>
      <c r="CY56" s="50" t="b">
        <f aca="false">IF(Configuration!$C$38="No","",IFERROR(IF(N(BK56)&gt;=Configuration!$C$53,TRUE(),FALSE()),FALSE()))</f>
        <v>0</v>
      </c>
      <c r="CZ56" s="50" t="b">
        <f aca="false">IF(Configuration!$C$39="No","",IFERROR(IF(AND(N(BS56)&gt;=2,N(BF56)&gt;=2),TRUE(),FALSE()),FALSE()))</f>
        <v>0</v>
      </c>
      <c r="DA56" s="50" t="b">
        <f aca="false">IF(Configuration!$C$40="No","",IFERROR(IF(OR(N(BG56)&lt;=Configuration!$C$56,N(AY56)&lt;Configuration!$C$57,N(BH56)&lt;=Configuration!$C$58),TRUE(),FALSE()),FALSE()))</f>
        <v>1</v>
      </c>
      <c r="DB56" s="50" t="b">
        <f aca="false">IF(Configuration!$C$41="No","",IFERROR(IF(AND(N(AY56)&gt;=Configuration!$C$54,N(AY56)&lt;=Configuration!$C$55),TRUE(),FALSE()),FALSE()))</f>
        <v>0</v>
      </c>
      <c r="DC56" s="50" t="b">
        <f aca="false">IF(Configuration!$C$42="No","",IFERROR(IF(AND(AG56&lt;&gt;"",AJ56&lt;&gt;""),TRUE(),FALSE()),FALSE()))</f>
        <v>0</v>
      </c>
      <c r="DD56" s="51" t="n">
        <f aca="false">COUNTIF(BW56:DC56,TRUE())</f>
        <v>2</v>
      </c>
    </row>
    <row r="57" customFormat="false" ht="15" hidden="false" customHeight="true" outlineLevel="0" collapsed="false">
      <c r="A57" s="18" t="n">
        <v>18</v>
      </c>
      <c r="B57" s="44"/>
      <c r="C57" s="44"/>
      <c r="D57" s="44"/>
      <c r="E57" s="44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6" t="str">
        <f aca="false">IFERROR(IF(F57&lt;&gt;"",F57,""),"")</f>
        <v/>
      </c>
      <c r="AF57" s="46" t="str">
        <f aca="false">IFERROR(IF(G57&lt;&gt;"",G57,""),"")</f>
        <v/>
      </c>
      <c r="AG57" s="46" t="str">
        <f aca="false">IFERROR(IF(AA57&lt;&gt;"",AA57,IF(R57&lt;&gt;"",R57,"")),"")</f>
        <v/>
      </c>
      <c r="AH57" s="46" t="str">
        <f aca="false">IFERROR(IF(AB57&lt;&gt;"",AB57,IF(S57&lt;&gt;"",S57,"")),"")</f>
        <v/>
      </c>
      <c r="AI57" s="47"/>
      <c r="AJ57" s="47"/>
      <c r="AK57" s="47"/>
      <c r="AL57" s="47"/>
      <c r="AM57" s="47"/>
      <c r="AN57" s="47"/>
      <c r="AO57" s="47"/>
      <c r="AP57" s="47"/>
      <c r="AQ57" s="46" t="str">
        <f aca="false">IFERROR(IF(Y57&lt;&gt;"",VALUE(Y57),""),"")</f>
        <v/>
      </c>
      <c r="AR57" s="47"/>
      <c r="AS57" s="47"/>
      <c r="AT57" s="47"/>
      <c r="AU57" s="47"/>
      <c r="AV57" s="46" t="str">
        <f aca="false">IFERROR(IF(T57&lt;&gt;"",VALUE(T57),""),"")</f>
        <v/>
      </c>
      <c r="AW57" s="46" t="str">
        <f aca="false">IFERROR(IF(N57="","",IF(OR(ISNUMBER(SEARCH("grant",N57)),ISNUMBER(SEARCH("B",AC57))),"Granted",IF(OR(ISNUMBER(SEARCH("pend",N57)),ISNUMBER(SEARCH("A",AC57))),"Pending",IF(ISNUMBER(SEARCH("expir",N57)),"Expired",N57)))),"")</f>
        <v/>
      </c>
      <c r="AX57" s="47"/>
      <c r="AY57" s="46" t="str">
        <f aca="true">IFERROR(IF(M57&lt;&gt;"",ROUND(VALUE(M57),1),IF(L57&lt;&gt;"",ROUND(MAX(0,(DATEVALUE(TEXT(L57,"YYYY-MM-DD"))-TODAY())/365.25),1),"")),"")</f>
        <v/>
      </c>
      <c r="AZ57" s="46" t="str">
        <f aca="false">IFERROR(IF(O57&lt;&gt;"",O57,""),"")</f>
        <v/>
      </c>
      <c r="BA57" s="46" t="str">
        <f aca="false">IFERROR(IF(U57&lt;&gt;"",SUBSTITUTE(SUBSTITUTE(U57,"; ",", "),";",","),""),"")</f>
        <v/>
      </c>
      <c r="BB57" s="47"/>
      <c r="BC57" s="47"/>
      <c r="BD57" s="47"/>
      <c r="BE57" s="47"/>
      <c r="BF57" s="47"/>
      <c r="BG57" s="47"/>
      <c r="BH57" s="47"/>
      <c r="BI57" s="47"/>
      <c r="BJ57" s="47"/>
      <c r="BK57" s="46" t="str">
        <f aca="false">IFERROR(IF(W57&lt;&gt;"",VALUE(W57),""),"")</f>
        <v/>
      </c>
      <c r="BL57" s="46" t="str">
        <f aca="false">IFERROR(IF(X57&lt;&gt;"",VALUE(X57),""),"")</f>
        <v/>
      </c>
      <c r="BM57" s="46" t="str">
        <f aca="false">IFERROR(IF(AD57="","None",IF(ISNUMBER(SEARCH("surv",AD57)),"Survived",IF(ISNUMBER(SEARCH("pend",AD57)),"Pending",IF(ISNUMBER(SEARCH("yes",AD57)),"Pending","None")))),"None")</f>
        <v>None</v>
      </c>
      <c r="BN57" s="47"/>
      <c r="BO57" s="47"/>
      <c r="BP57" s="47"/>
      <c r="BQ57" s="47"/>
      <c r="BR57" s="47"/>
      <c r="BS57" s="47"/>
      <c r="BT57" s="47"/>
      <c r="BU57" s="48" t="n">
        <f aca="false">IFERROR(COUNTA(AE57:BT57)/42,0)</f>
        <v>0.30952380952381</v>
      </c>
      <c r="BV57" s="49"/>
      <c r="BW57" s="50" t="b">
        <f aca="false">IF(Configuration!$C$10="No","",IFERROR(IF(AG57&lt;&gt;"",TRUE(),FALSE()),FALSE()))</f>
        <v>0</v>
      </c>
      <c r="BX57" s="50" t="b">
        <f aca="false">IF(Configuration!$C$11="No","",IFERROR(IF(AND(N(AL57)&gt;=Configuration!$C$44,AM57&lt;&gt;""),TRUE(),FALSE()),FALSE()))</f>
        <v>0</v>
      </c>
      <c r="BY57" s="50" t="b">
        <f aca="false">IF(Configuration!$C$12="No","",IFERROR(IF(AJ57&lt;&gt;"",TRUE(),FALSE()),FALSE()))</f>
        <v>0</v>
      </c>
      <c r="BZ57" s="50" t="b">
        <f aca="false">IF(Configuration!$C$13="No","",IFERROR(IF(AI57&lt;&gt;"",TRUE(),FALSE()),FALSE()))</f>
        <v>0</v>
      </c>
      <c r="CA57" s="50" t="b">
        <f aca="false">IF(Configuration!$C$14="No","",IFERROR(IF(AK57&lt;&gt;"",TRUE(),FALSE()),FALSE()))</f>
        <v>0</v>
      </c>
      <c r="CB57" s="50" t="b">
        <f aca="false">IF(Configuration!$C$15="No","",IFERROR(IF(AND(OR(ISNUMBER(SEARCH("process",AG57)),ISNUMBER(SEARCH("fab",AG57)),ISNUMBER(SEARCH("manufac",AG57))),AO57="Method"),TRUE(),FALSE()),FALSE()))</f>
        <v>0</v>
      </c>
      <c r="CC57" s="50" t="b">
        <f aca="false">IF(Configuration!$C$16="No","",IFERROR(IF(AND(OR(ISNUMBER(SEARCH("material",AG57)),ISNUMBER(SEARCH("chem",AG57)),ISNUMBER(SEARCH("battery",AG57)),ISNUMBER(SEARCH("electrolyte",AG57)),ISNUMBER(SEARCH("polymer",AG57))),OR(AO57="Apparatus",AO57="Method")),TRUE(),FALSE()),FALSE()))</f>
        <v>0</v>
      </c>
      <c r="CD57" s="50" t="b">
        <f aca="false">IF(Configuration!$C$17="No","",IFERROR(IF(AND(OR(AI57="App",AI57="Middleware",AI57="Cloud"),OR(AO57="Method",AO57="CRM")),TRUE(),FALSE()),FALSE()))</f>
        <v>0</v>
      </c>
      <c r="CE57" s="50" t="b">
        <f aca="false">IF(Configuration!$C$18="No","",IFERROR(IF(N(AN57)&gt;=Configuration!$C$45,TRUE(),FALSE()),FALSE()))</f>
        <v>0</v>
      </c>
      <c r="CF57" s="50" t="b">
        <f aca="false">IF(Configuration!$C$19="No","",IFERROR(IF(BE57&lt;&gt;"",TRUE(),FALSE()),FALSE()))</f>
        <v>0</v>
      </c>
      <c r="CG57" s="50" t="b">
        <f aca="false">IF(Configuration!$C$20="No","",IFERROR(IF(AO57&lt;&gt;"",TRUE(),FALSE()),FALSE()))</f>
        <v>0</v>
      </c>
      <c r="CH57" s="50" t="b">
        <f aca="false">IF(Configuration!$C$21="No","",IFERROR(IF(OR(N(AS57)&gt;=Configuration!$C$46,N(AT57)&gt;=Configuration!$C$47),TRUE(),FALSE()),FALSE()))</f>
        <v>0</v>
      </c>
      <c r="CI57" s="50" t="b">
        <f aca="false">IF(Configuration!$C$22="No","",IFERROR(IF(BB57="Yes",TRUE(),FALSE()),FALSE()))</f>
        <v>0</v>
      </c>
      <c r="CJ57" s="50" t="b">
        <f aca="false">IF(Configuration!$C$23="No","",IFERROR(IF(N(AV57)&gt;=Configuration!$C$48,TRUE(),FALSE()),FALSE()))</f>
        <v>0</v>
      </c>
      <c r="CK57" s="50" t="b">
        <f aca="false">IF(Configuration!$C$24="No","",IFERROR(IF(N(AY57)&gt;0,TRUE(),FALSE()),FALSE()))</f>
        <v>0</v>
      </c>
      <c r="CL57" s="50" t="b">
        <f aca="false">IF(Configuration!$C$25="No","",IFERROR(IF(OR(N(AP57)=3,N(AP57)&lt;=1),TRUE(),FALSE()),FALSE()))</f>
        <v>1</v>
      </c>
      <c r="CM57" s="50" t="b">
        <f aca="false">IF(Configuration!$C$26="No","",IFERROR(IF(N(BF57)&gt;=Configuration!$C$49,TRUE(),FALSE()),FALSE()))</f>
        <v>0</v>
      </c>
      <c r="CN57" s="50" t="b">
        <f aca="false">IF(Configuration!$C$27="No","",IFERROR(IF(BD57&lt;&gt;"",TRUE(),FALSE()),FALSE()))</f>
        <v>0</v>
      </c>
      <c r="CO57" s="50" t="b">
        <f aca="false">IF(Configuration!$C$28="No","",IFERROR(IF(N(AU57)&gt;=Configuration!$C$50,TRUE(),FALSE()),FALSE()))</f>
        <v>0</v>
      </c>
      <c r="CP57" s="50" t="b">
        <f aca="false">IF(Configuration!$C$29="No","",IFERROR(IF(AND(N(AR57)&gt;=Configuration!$C$51,AG57&lt;&gt;""),TRUE(),FALSE()),FALSE()))</f>
        <v>0</v>
      </c>
      <c r="CQ57" s="50" t="b">
        <f aca="false">IF(Configuration!$C$30="No","",IFERROR(IF(OR(AW57="Pending",AX57="Yes"),TRUE(),FALSE()),FALSE()))</f>
        <v>0</v>
      </c>
      <c r="CR57" s="50" t="b">
        <f aca="false">IF(Configuration!$C$31="No","",IFERROR(IF(AND(N(BG57)&gt;=Configuration!$C$52,N(AP57)&gt;=1),TRUE(),FALSE()),FALSE()))</f>
        <v>0</v>
      </c>
      <c r="CS57" s="50" t="b">
        <f aca="false">IF(Configuration!$C$32="No","",IFERROR(IF(AND(N(AR57)&gt;=1,OR(AG57&lt;&gt;"",AM57&lt;&gt;"")),TRUE(),FALSE()),FALSE()))</f>
        <v>0</v>
      </c>
      <c r="CT57" s="50" t="b">
        <f aca="false">IF(Configuration!$C$33="No","",IFERROR(IF(AG57&lt;&gt;"",TRUE(),FALSE()),FALSE()))</f>
        <v>0</v>
      </c>
      <c r="CU57" s="50" t="b">
        <f aca="false">IF(Configuration!$C$34="No","",IFERROR(IF(AX57="Yes",TRUE(),FALSE()),FALSE()))</f>
        <v>0</v>
      </c>
      <c r="CV57" s="50" t="b">
        <f aca="false">IF(Configuration!$C$35="No","",IFERROR(IF(OR(BO57="Partial",BO57="Full"),TRUE(),FALSE()),FALSE()))</f>
        <v>0</v>
      </c>
      <c r="CW57" s="50" t="b">
        <f aca="false">IF(Configuration!$C$36="No","",IFERROR(IF(BM57="Survived",TRUE(),FALSE()),FALSE()))</f>
        <v>0</v>
      </c>
      <c r="CX57" s="50" t="b">
        <f aca="false">IF(Configuration!$C$37="No","",IFERROR(IF(AND(BN57="Clean",BP57="None"),TRUE(),FALSE()),FALSE()))</f>
        <v>0</v>
      </c>
      <c r="CY57" s="50" t="b">
        <f aca="false">IF(Configuration!$C$38="No","",IFERROR(IF(N(BK57)&gt;=Configuration!$C$53,TRUE(),FALSE()),FALSE()))</f>
        <v>0</v>
      </c>
      <c r="CZ57" s="50" t="b">
        <f aca="false">IF(Configuration!$C$39="No","",IFERROR(IF(AND(N(BS57)&gt;=2,N(BF57)&gt;=2),TRUE(),FALSE()),FALSE()))</f>
        <v>0</v>
      </c>
      <c r="DA57" s="50" t="b">
        <f aca="false">IF(Configuration!$C$40="No","",IFERROR(IF(OR(N(BG57)&lt;=Configuration!$C$56,N(AY57)&lt;Configuration!$C$57,N(BH57)&lt;=Configuration!$C$58),TRUE(),FALSE()),FALSE()))</f>
        <v>1</v>
      </c>
      <c r="DB57" s="50" t="b">
        <f aca="false">IF(Configuration!$C$41="No","",IFERROR(IF(AND(N(AY57)&gt;=Configuration!$C$54,N(AY57)&lt;=Configuration!$C$55),TRUE(),FALSE()),FALSE()))</f>
        <v>0</v>
      </c>
      <c r="DC57" s="50" t="b">
        <f aca="false">IF(Configuration!$C$42="No","",IFERROR(IF(AND(AG57&lt;&gt;"",AJ57&lt;&gt;""),TRUE(),FALSE()),FALSE()))</f>
        <v>0</v>
      </c>
      <c r="DD57" s="51" t="n">
        <f aca="false">COUNTIF(BW57:DC57,TRUE())</f>
        <v>2</v>
      </c>
    </row>
    <row r="58" customFormat="false" ht="15" hidden="false" customHeight="true" outlineLevel="0" collapsed="false">
      <c r="A58" s="18" t="n">
        <v>19</v>
      </c>
      <c r="B58" s="44"/>
      <c r="C58" s="44"/>
      <c r="D58" s="44"/>
      <c r="E58" s="44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6" t="str">
        <f aca="false">IFERROR(IF(F58&lt;&gt;"",F58,""),"")</f>
        <v/>
      </c>
      <c r="AF58" s="46" t="str">
        <f aca="false">IFERROR(IF(G58&lt;&gt;"",G58,""),"")</f>
        <v/>
      </c>
      <c r="AG58" s="46" t="str">
        <f aca="false">IFERROR(IF(AA58&lt;&gt;"",AA58,IF(R58&lt;&gt;"",R58,"")),"")</f>
        <v/>
      </c>
      <c r="AH58" s="46" t="str">
        <f aca="false">IFERROR(IF(AB58&lt;&gt;"",AB58,IF(S58&lt;&gt;"",S58,"")),"")</f>
        <v/>
      </c>
      <c r="AI58" s="47"/>
      <c r="AJ58" s="47"/>
      <c r="AK58" s="47"/>
      <c r="AL58" s="47"/>
      <c r="AM58" s="47"/>
      <c r="AN58" s="47"/>
      <c r="AO58" s="47"/>
      <c r="AP58" s="47"/>
      <c r="AQ58" s="46" t="str">
        <f aca="false">IFERROR(IF(Y58&lt;&gt;"",VALUE(Y58),""),"")</f>
        <v/>
      </c>
      <c r="AR58" s="47"/>
      <c r="AS58" s="47"/>
      <c r="AT58" s="47"/>
      <c r="AU58" s="47"/>
      <c r="AV58" s="46" t="str">
        <f aca="false">IFERROR(IF(T58&lt;&gt;"",VALUE(T58),""),"")</f>
        <v/>
      </c>
      <c r="AW58" s="46" t="str">
        <f aca="false">IFERROR(IF(N58="","",IF(OR(ISNUMBER(SEARCH("grant",N58)),ISNUMBER(SEARCH("B",AC58))),"Granted",IF(OR(ISNUMBER(SEARCH("pend",N58)),ISNUMBER(SEARCH("A",AC58))),"Pending",IF(ISNUMBER(SEARCH("expir",N58)),"Expired",N58)))),"")</f>
        <v/>
      </c>
      <c r="AX58" s="47"/>
      <c r="AY58" s="46" t="str">
        <f aca="true">IFERROR(IF(M58&lt;&gt;"",ROUND(VALUE(M58),1),IF(L58&lt;&gt;"",ROUND(MAX(0,(DATEVALUE(TEXT(L58,"YYYY-MM-DD"))-TODAY())/365.25),1),"")),"")</f>
        <v/>
      </c>
      <c r="AZ58" s="46" t="str">
        <f aca="false">IFERROR(IF(O58&lt;&gt;"",O58,""),"")</f>
        <v/>
      </c>
      <c r="BA58" s="46" t="str">
        <f aca="false">IFERROR(IF(U58&lt;&gt;"",SUBSTITUTE(SUBSTITUTE(U58,"; ",", "),";",","),""),"")</f>
        <v/>
      </c>
      <c r="BB58" s="47"/>
      <c r="BC58" s="47"/>
      <c r="BD58" s="47"/>
      <c r="BE58" s="47"/>
      <c r="BF58" s="47"/>
      <c r="BG58" s="47"/>
      <c r="BH58" s="47"/>
      <c r="BI58" s="47"/>
      <c r="BJ58" s="47"/>
      <c r="BK58" s="46" t="str">
        <f aca="false">IFERROR(IF(W58&lt;&gt;"",VALUE(W58),""),"")</f>
        <v/>
      </c>
      <c r="BL58" s="46" t="str">
        <f aca="false">IFERROR(IF(X58&lt;&gt;"",VALUE(X58),""),"")</f>
        <v/>
      </c>
      <c r="BM58" s="46" t="str">
        <f aca="false">IFERROR(IF(AD58="","None",IF(ISNUMBER(SEARCH("surv",AD58)),"Survived",IF(ISNUMBER(SEARCH("pend",AD58)),"Pending",IF(ISNUMBER(SEARCH("yes",AD58)),"Pending","None")))),"None")</f>
        <v>None</v>
      </c>
      <c r="BN58" s="47"/>
      <c r="BO58" s="47"/>
      <c r="BP58" s="47"/>
      <c r="BQ58" s="47"/>
      <c r="BR58" s="47"/>
      <c r="BS58" s="47"/>
      <c r="BT58" s="47"/>
      <c r="BU58" s="48" t="n">
        <f aca="false">IFERROR(COUNTA(AE58:BT58)/42,0)</f>
        <v>0.30952380952381</v>
      </c>
      <c r="BV58" s="49"/>
      <c r="BW58" s="50" t="b">
        <f aca="false">IF(Configuration!$C$10="No","",IFERROR(IF(AG58&lt;&gt;"",TRUE(),FALSE()),FALSE()))</f>
        <v>0</v>
      </c>
      <c r="BX58" s="50" t="b">
        <f aca="false">IF(Configuration!$C$11="No","",IFERROR(IF(AND(N(AL58)&gt;=Configuration!$C$44,AM58&lt;&gt;""),TRUE(),FALSE()),FALSE()))</f>
        <v>0</v>
      </c>
      <c r="BY58" s="50" t="b">
        <f aca="false">IF(Configuration!$C$12="No","",IFERROR(IF(AJ58&lt;&gt;"",TRUE(),FALSE()),FALSE()))</f>
        <v>0</v>
      </c>
      <c r="BZ58" s="50" t="b">
        <f aca="false">IF(Configuration!$C$13="No","",IFERROR(IF(AI58&lt;&gt;"",TRUE(),FALSE()),FALSE()))</f>
        <v>0</v>
      </c>
      <c r="CA58" s="50" t="b">
        <f aca="false">IF(Configuration!$C$14="No","",IFERROR(IF(AK58&lt;&gt;"",TRUE(),FALSE()),FALSE()))</f>
        <v>0</v>
      </c>
      <c r="CB58" s="50" t="b">
        <f aca="false">IF(Configuration!$C$15="No","",IFERROR(IF(AND(OR(ISNUMBER(SEARCH("process",AG58)),ISNUMBER(SEARCH("fab",AG58)),ISNUMBER(SEARCH("manufac",AG58))),AO58="Method"),TRUE(),FALSE()),FALSE()))</f>
        <v>0</v>
      </c>
      <c r="CC58" s="50" t="b">
        <f aca="false">IF(Configuration!$C$16="No","",IFERROR(IF(AND(OR(ISNUMBER(SEARCH("material",AG58)),ISNUMBER(SEARCH("chem",AG58)),ISNUMBER(SEARCH("battery",AG58)),ISNUMBER(SEARCH("electrolyte",AG58)),ISNUMBER(SEARCH("polymer",AG58))),OR(AO58="Apparatus",AO58="Method")),TRUE(),FALSE()),FALSE()))</f>
        <v>0</v>
      </c>
      <c r="CD58" s="50" t="b">
        <f aca="false">IF(Configuration!$C$17="No","",IFERROR(IF(AND(OR(AI58="App",AI58="Middleware",AI58="Cloud"),OR(AO58="Method",AO58="CRM")),TRUE(),FALSE()),FALSE()))</f>
        <v>0</v>
      </c>
      <c r="CE58" s="50" t="b">
        <f aca="false">IF(Configuration!$C$18="No","",IFERROR(IF(N(AN58)&gt;=Configuration!$C$45,TRUE(),FALSE()),FALSE()))</f>
        <v>0</v>
      </c>
      <c r="CF58" s="50" t="b">
        <f aca="false">IF(Configuration!$C$19="No","",IFERROR(IF(BE58&lt;&gt;"",TRUE(),FALSE()),FALSE()))</f>
        <v>0</v>
      </c>
      <c r="CG58" s="50" t="b">
        <f aca="false">IF(Configuration!$C$20="No","",IFERROR(IF(AO58&lt;&gt;"",TRUE(),FALSE()),FALSE()))</f>
        <v>0</v>
      </c>
      <c r="CH58" s="50" t="b">
        <f aca="false">IF(Configuration!$C$21="No","",IFERROR(IF(OR(N(AS58)&gt;=Configuration!$C$46,N(AT58)&gt;=Configuration!$C$47),TRUE(),FALSE()),FALSE()))</f>
        <v>0</v>
      </c>
      <c r="CI58" s="50" t="b">
        <f aca="false">IF(Configuration!$C$22="No","",IFERROR(IF(BB58="Yes",TRUE(),FALSE()),FALSE()))</f>
        <v>0</v>
      </c>
      <c r="CJ58" s="50" t="b">
        <f aca="false">IF(Configuration!$C$23="No","",IFERROR(IF(N(AV58)&gt;=Configuration!$C$48,TRUE(),FALSE()),FALSE()))</f>
        <v>0</v>
      </c>
      <c r="CK58" s="50" t="b">
        <f aca="false">IF(Configuration!$C$24="No","",IFERROR(IF(N(AY58)&gt;0,TRUE(),FALSE()),FALSE()))</f>
        <v>0</v>
      </c>
      <c r="CL58" s="50" t="b">
        <f aca="false">IF(Configuration!$C$25="No","",IFERROR(IF(OR(N(AP58)=3,N(AP58)&lt;=1),TRUE(),FALSE()),FALSE()))</f>
        <v>1</v>
      </c>
      <c r="CM58" s="50" t="b">
        <f aca="false">IF(Configuration!$C$26="No","",IFERROR(IF(N(BF58)&gt;=Configuration!$C$49,TRUE(),FALSE()),FALSE()))</f>
        <v>0</v>
      </c>
      <c r="CN58" s="50" t="b">
        <f aca="false">IF(Configuration!$C$27="No","",IFERROR(IF(BD58&lt;&gt;"",TRUE(),FALSE()),FALSE()))</f>
        <v>0</v>
      </c>
      <c r="CO58" s="50" t="b">
        <f aca="false">IF(Configuration!$C$28="No","",IFERROR(IF(N(AU58)&gt;=Configuration!$C$50,TRUE(),FALSE()),FALSE()))</f>
        <v>0</v>
      </c>
      <c r="CP58" s="50" t="b">
        <f aca="false">IF(Configuration!$C$29="No","",IFERROR(IF(AND(N(AR58)&gt;=Configuration!$C$51,AG58&lt;&gt;""),TRUE(),FALSE()),FALSE()))</f>
        <v>0</v>
      </c>
      <c r="CQ58" s="50" t="b">
        <f aca="false">IF(Configuration!$C$30="No","",IFERROR(IF(OR(AW58="Pending",AX58="Yes"),TRUE(),FALSE()),FALSE()))</f>
        <v>0</v>
      </c>
      <c r="CR58" s="50" t="b">
        <f aca="false">IF(Configuration!$C$31="No","",IFERROR(IF(AND(N(BG58)&gt;=Configuration!$C$52,N(AP58)&gt;=1),TRUE(),FALSE()),FALSE()))</f>
        <v>0</v>
      </c>
      <c r="CS58" s="50" t="b">
        <f aca="false">IF(Configuration!$C$32="No","",IFERROR(IF(AND(N(AR58)&gt;=1,OR(AG58&lt;&gt;"",AM58&lt;&gt;"")),TRUE(),FALSE()),FALSE()))</f>
        <v>0</v>
      </c>
      <c r="CT58" s="50" t="b">
        <f aca="false">IF(Configuration!$C$33="No","",IFERROR(IF(AG58&lt;&gt;"",TRUE(),FALSE()),FALSE()))</f>
        <v>0</v>
      </c>
      <c r="CU58" s="50" t="b">
        <f aca="false">IF(Configuration!$C$34="No","",IFERROR(IF(AX58="Yes",TRUE(),FALSE()),FALSE()))</f>
        <v>0</v>
      </c>
      <c r="CV58" s="50" t="b">
        <f aca="false">IF(Configuration!$C$35="No","",IFERROR(IF(OR(BO58="Partial",BO58="Full"),TRUE(),FALSE()),FALSE()))</f>
        <v>0</v>
      </c>
      <c r="CW58" s="50" t="b">
        <f aca="false">IF(Configuration!$C$36="No","",IFERROR(IF(BM58="Survived",TRUE(),FALSE()),FALSE()))</f>
        <v>0</v>
      </c>
      <c r="CX58" s="50" t="b">
        <f aca="false">IF(Configuration!$C$37="No","",IFERROR(IF(AND(BN58="Clean",BP58="None"),TRUE(),FALSE()),FALSE()))</f>
        <v>0</v>
      </c>
      <c r="CY58" s="50" t="b">
        <f aca="false">IF(Configuration!$C$38="No","",IFERROR(IF(N(BK58)&gt;=Configuration!$C$53,TRUE(),FALSE()),FALSE()))</f>
        <v>0</v>
      </c>
      <c r="CZ58" s="50" t="b">
        <f aca="false">IF(Configuration!$C$39="No","",IFERROR(IF(AND(N(BS58)&gt;=2,N(BF58)&gt;=2),TRUE(),FALSE()),FALSE()))</f>
        <v>0</v>
      </c>
      <c r="DA58" s="50" t="b">
        <f aca="false">IF(Configuration!$C$40="No","",IFERROR(IF(OR(N(BG58)&lt;=Configuration!$C$56,N(AY58)&lt;Configuration!$C$57,N(BH58)&lt;=Configuration!$C$58),TRUE(),FALSE()),FALSE()))</f>
        <v>1</v>
      </c>
      <c r="DB58" s="50" t="b">
        <f aca="false">IF(Configuration!$C$41="No","",IFERROR(IF(AND(N(AY58)&gt;=Configuration!$C$54,N(AY58)&lt;=Configuration!$C$55),TRUE(),FALSE()),FALSE()))</f>
        <v>0</v>
      </c>
      <c r="DC58" s="50" t="b">
        <f aca="false">IF(Configuration!$C$42="No","",IFERROR(IF(AND(AG58&lt;&gt;"",AJ58&lt;&gt;""),TRUE(),FALSE()),FALSE()))</f>
        <v>0</v>
      </c>
      <c r="DD58" s="51" t="n">
        <f aca="false">COUNTIF(BW58:DC58,TRUE())</f>
        <v>2</v>
      </c>
    </row>
    <row r="59" customFormat="false" ht="15" hidden="false" customHeight="true" outlineLevel="0" collapsed="false">
      <c r="A59" s="18" t="n">
        <v>20</v>
      </c>
      <c r="B59" s="44"/>
      <c r="C59" s="44"/>
      <c r="D59" s="44"/>
      <c r="E59" s="44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6" t="str">
        <f aca="false">IFERROR(IF(F59&lt;&gt;"",F59,""),"")</f>
        <v/>
      </c>
      <c r="AF59" s="46" t="str">
        <f aca="false">IFERROR(IF(G59&lt;&gt;"",G59,""),"")</f>
        <v/>
      </c>
      <c r="AG59" s="46" t="str">
        <f aca="false">IFERROR(IF(AA59&lt;&gt;"",AA59,IF(R59&lt;&gt;"",R59,"")),"")</f>
        <v/>
      </c>
      <c r="AH59" s="46" t="str">
        <f aca="false">IFERROR(IF(AB59&lt;&gt;"",AB59,IF(S59&lt;&gt;"",S59,"")),"")</f>
        <v/>
      </c>
      <c r="AI59" s="47"/>
      <c r="AJ59" s="47"/>
      <c r="AK59" s="47"/>
      <c r="AL59" s="47"/>
      <c r="AM59" s="47"/>
      <c r="AN59" s="47"/>
      <c r="AO59" s="47"/>
      <c r="AP59" s="47"/>
      <c r="AQ59" s="46" t="str">
        <f aca="false">IFERROR(IF(Y59&lt;&gt;"",VALUE(Y59),""),"")</f>
        <v/>
      </c>
      <c r="AR59" s="47"/>
      <c r="AS59" s="47"/>
      <c r="AT59" s="47"/>
      <c r="AU59" s="47"/>
      <c r="AV59" s="46" t="str">
        <f aca="false">IFERROR(IF(T59&lt;&gt;"",VALUE(T59),""),"")</f>
        <v/>
      </c>
      <c r="AW59" s="46" t="str">
        <f aca="false">IFERROR(IF(N59="","",IF(OR(ISNUMBER(SEARCH("grant",N59)),ISNUMBER(SEARCH("B",AC59))),"Granted",IF(OR(ISNUMBER(SEARCH("pend",N59)),ISNUMBER(SEARCH("A",AC59))),"Pending",IF(ISNUMBER(SEARCH("expir",N59)),"Expired",N59)))),"")</f>
        <v/>
      </c>
      <c r="AX59" s="47"/>
      <c r="AY59" s="46" t="str">
        <f aca="true">IFERROR(IF(M59&lt;&gt;"",ROUND(VALUE(M59),1),IF(L59&lt;&gt;"",ROUND(MAX(0,(DATEVALUE(TEXT(L59,"YYYY-MM-DD"))-TODAY())/365.25),1),"")),"")</f>
        <v/>
      </c>
      <c r="AZ59" s="46" t="str">
        <f aca="false">IFERROR(IF(O59&lt;&gt;"",O59,""),"")</f>
        <v/>
      </c>
      <c r="BA59" s="46" t="str">
        <f aca="false">IFERROR(IF(U59&lt;&gt;"",SUBSTITUTE(SUBSTITUTE(U59,"; ",", "),";",","),""),"")</f>
        <v/>
      </c>
      <c r="BB59" s="47"/>
      <c r="BC59" s="47"/>
      <c r="BD59" s="47"/>
      <c r="BE59" s="47"/>
      <c r="BF59" s="47"/>
      <c r="BG59" s="47"/>
      <c r="BH59" s="47"/>
      <c r="BI59" s="47"/>
      <c r="BJ59" s="47"/>
      <c r="BK59" s="46" t="str">
        <f aca="false">IFERROR(IF(W59&lt;&gt;"",VALUE(W59),""),"")</f>
        <v/>
      </c>
      <c r="BL59" s="46" t="str">
        <f aca="false">IFERROR(IF(X59&lt;&gt;"",VALUE(X59),""),"")</f>
        <v/>
      </c>
      <c r="BM59" s="46" t="str">
        <f aca="false">IFERROR(IF(AD59="","None",IF(ISNUMBER(SEARCH("surv",AD59)),"Survived",IF(ISNUMBER(SEARCH("pend",AD59)),"Pending",IF(ISNUMBER(SEARCH("yes",AD59)),"Pending","None")))),"None")</f>
        <v>None</v>
      </c>
      <c r="BN59" s="47"/>
      <c r="BO59" s="47"/>
      <c r="BP59" s="47"/>
      <c r="BQ59" s="47"/>
      <c r="BR59" s="47"/>
      <c r="BS59" s="47"/>
      <c r="BT59" s="47"/>
      <c r="BU59" s="48" t="n">
        <f aca="false">IFERROR(COUNTA(AE59:BT59)/42,0)</f>
        <v>0.30952380952381</v>
      </c>
      <c r="BV59" s="49"/>
      <c r="BW59" s="50" t="b">
        <f aca="false">IF(Configuration!$C$10="No","",IFERROR(IF(AG59&lt;&gt;"",TRUE(),FALSE()),FALSE()))</f>
        <v>0</v>
      </c>
      <c r="BX59" s="50" t="b">
        <f aca="false">IF(Configuration!$C$11="No","",IFERROR(IF(AND(N(AL59)&gt;=Configuration!$C$44,AM59&lt;&gt;""),TRUE(),FALSE()),FALSE()))</f>
        <v>0</v>
      </c>
      <c r="BY59" s="50" t="b">
        <f aca="false">IF(Configuration!$C$12="No","",IFERROR(IF(AJ59&lt;&gt;"",TRUE(),FALSE()),FALSE()))</f>
        <v>0</v>
      </c>
      <c r="BZ59" s="50" t="b">
        <f aca="false">IF(Configuration!$C$13="No","",IFERROR(IF(AI59&lt;&gt;"",TRUE(),FALSE()),FALSE()))</f>
        <v>0</v>
      </c>
      <c r="CA59" s="50" t="b">
        <f aca="false">IF(Configuration!$C$14="No","",IFERROR(IF(AK59&lt;&gt;"",TRUE(),FALSE()),FALSE()))</f>
        <v>0</v>
      </c>
      <c r="CB59" s="50" t="b">
        <f aca="false">IF(Configuration!$C$15="No","",IFERROR(IF(AND(OR(ISNUMBER(SEARCH("process",AG59)),ISNUMBER(SEARCH("fab",AG59)),ISNUMBER(SEARCH("manufac",AG59))),AO59="Method"),TRUE(),FALSE()),FALSE()))</f>
        <v>0</v>
      </c>
      <c r="CC59" s="50" t="b">
        <f aca="false">IF(Configuration!$C$16="No","",IFERROR(IF(AND(OR(ISNUMBER(SEARCH("material",AG59)),ISNUMBER(SEARCH("chem",AG59)),ISNUMBER(SEARCH("battery",AG59)),ISNUMBER(SEARCH("electrolyte",AG59)),ISNUMBER(SEARCH("polymer",AG59))),OR(AO59="Apparatus",AO59="Method")),TRUE(),FALSE()),FALSE()))</f>
        <v>0</v>
      </c>
      <c r="CD59" s="50" t="b">
        <f aca="false">IF(Configuration!$C$17="No","",IFERROR(IF(AND(OR(AI59="App",AI59="Middleware",AI59="Cloud"),OR(AO59="Method",AO59="CRM")),TRUE(),FALSE()),FALSE()))</f>
        <v>0</v>
      </c>
      <c r="CE59" s="50" t="b">
        <f aca="false">IF(Configuration!$C$18="No","",IFERROR(IF(N(AN59)&gt;=Configuration!$C$45,TRUE(),FALSE()),FALSE()))</f>
        <v>0</v>
      </c>
      <c r="CF59" s="50" t="b">
        <f aca="false">IF(Configuration!$C$19="No","",IFERROR(IF(BE59&lt;&gt;"",TRUE(),FALSE()),FALSE()))</f>
        <v>0</v>
      </c>
      <c r="CG59" s="50" t="b">
        <f aca="false">IF(Configuration!$C$20="No","",IFERROR(IF(AO59&lt;&gt;"",TRUE(),FALSE()),FALSE()))</f>
        <v>0</v>
      </c>
      <c r="CH59" s="50" t="b">
        <f aca="false">IF(Configuration!$C$21="No","",IFERROR(IF(OR(N(AS59)&gt;=Configuration!$C$46,N(AT59)&gt;=Configuration!$C$47),TRUE(),FALSE()),FALSE()))</f>
        <v>0</v>
      </c>
      <c r="CI59" s="50" t="b">
        <f aca="false">IF(Configuration!$C$22="No","",IFERROR(IF(BB59="Yes",TRUE(),FALSE()),FALSE()))</f>
        <v>0</v>
      </c>
      <c r="CJ59" s="50" t="b">
        <f aca="false">IF(Configuration!$C$23="No","",IFERROR(IF(N(AV59)&gt;=Configuration!$C$48,TRUE(),FALSE()),FALSE()))</f>
        <v>0</v>
      </c>
      <c r="CK59" s="50" t="b">
        <f aca="false">IF(Configuration!$C$24="No","",IFERROR(IF(N(AY59)&gt;0,TRUE(),FALSE()),FALSE()))</f>
        <v>0</v>
      </c>
      <c r="CL59" s="50" t="b">
        <f aca="false">IF(Configuration!$C$25="No","",IFERROR(IF(OR(N(AP59)=3,N(AP59)&lt;=1),TRUE(),FALSE()),FALSE()))</f>
        <v>1</v>
      </c>
      <c r="CM59" s="50" t="b">
        <f aca="false">IF(Configuration!$C$26="No","",IFERROR(IF(N(BF59)&gt;=Configuration!$C$49,TRUE(),FALSE()),FALSE()))</f>
        <v>0</v>
      </c>
      <c r="CN59" s="50" t="b">
        <f aca="false">IF(Configuration!$C$27="No","",IFERROR(IF(BD59&lt;&gt;"",TRUE(),FALSE()),FALSE()))</f>
        <v>0</v>
      </c>
      <c r="CO59" s="50" t="b">
        <f aca="false">IF(Configuration!$C$28="No","",IFERROR(IF(N(AU59)&gt;=Configuration!$C$50,TRUE(),FALSE()),FALSE()))</f>
        <v>0</v>
      </c>
      <c r="CP59" s="50" t="b">
        <f aca="false">IF(Configuration!$C$29="No","",IFERROR(IF(AND(N(AR59)&gt;=Configuration!$C$51,AG59&lt;&gt;""),TRUE(),FALSE()),FALSE()))</f>
        <v>0</v>
      </c>
      <c r="CQ59" s="50" t="b">
        <f aca="false">IF(Configuration!$C$30="No","",IFERROR(IF(OR(AW59="Pending",AX59="Yes"),TRUE(),FALSE()),FALSE()))</f>
        <v>0</v>
      </c>
      <c r="CR59" s="50" t="b">
        <f aca="false">IF(Configuration!$C$31="No","",IFERROR(IF(AND(N(BG59)&gt;=Configuration!$C$52,N(AP59)&gt;=1),TRUE(),FALSE()),FALSE()))</f>
        <v>0</v>
      </c>
      <c r="CS59" s="50" t="b">
        <f aca="false">IF(Configuration!$C$32="No","",IFERROR(IF(AND(N(AR59)&gt;=1,OR(AG59&lt;&gt;"",AM59&lt;&gt;"")),TRUE(),FALSE()),FALSE()))</f>
        <v>0</v>
      </c>
      <c r="CT59" s="50" t="b">
        <f aca="false">IF(Configuration!$C$33="No","",IFERROR(IF(AG59&lt;&gt;"",TRUE(),FALSE()),FALSE()))</f>
        <v>0</v>
      </c>
      <c r="CU59" s="50" t="b">
        <f aca="false">IF(Configuration!$C$34="No","",IFERROR(IF(AX59="Yes",TRUE(),FALSE()),FALSE()))</f>
        <v>0</v>
      </c>
      <c r="CV59" s="50" t="b">
        <f aca="false">IF(Configuration!$C$35="No","",IFERROR(IF(OR(BO59="Partial",BO59="Full"),TRUE(),FALSE()),FALSE()))</f>
        <v>0</v>
      </c>
      <c r="CW59" s="50" t="b">
        <f aca="false">IF(Configuration!$C$36="No","",IFERROR(IF(BM59="Survived",TRUE(),FALSE()),FALSE()))</f>
        <v>0</v>
      </c>
      <c r="CX59" s="50" t="b">
        <f aca="false">IF(Configuration!$C$37="No","",IFERROR(IF(AND(BN59="Clean",BP59="None"),TRUE(),FALSE()),FALSE()))</f>
        <v>0</v>
      </c>
      <c r="CY59" s="50" t="b">
        <f aca="false">IF(Configuration!$C$38="No","",IFERROR(IF(N(BK59)&gt;=Configuration!$C$53,TRUE(),FALSE()),FALSE()))</f>
        <v>0</v>
      </c>
      <c r="CZ59" s="50" t="b">
        <f aca="false">IF(Configuration!$C$39="No","",IFERROR(IF(AND(N(BS59)&gt;=2,N(BF59)&gt;=2),TRUE(),FALSE()),FALSE()))</f>
        <v>0</v>
      </c>
      <c r="DA59" s="50" t="b">
        <f aca="false">IF(Configuration!$C$40="No","",IFERROR(IF(OR(N(BG59)&lt;=Configuration!$C$56,N(AY59)&lt;Configuration!$C$57,N(BH59)&lt;=Configuration!$C$58),TRUE(),FALSE()),FALSE()))</f>
        <v>1</v>
      </c>
      <c r="DB59" s="50" t="b">
        <f aca="false">IF(Configuration!$C$41="No","",IFERROR(IF(AND(N(AY59)&gt;=Configuration!$C$54,N(AY59)&lt;=Configuration!$C$55),TRUE(),FALSE()),FALSE()))</f>
        <v>0</v>
      </c>
      <c r="DC59" s="50" t="b">
        <f aca="false">IF(Configuration!$C$42="No","",IFERROR(IF(AND(AG59&lt;&gt;"",AJ59&lt;&gt;""),TRUE(),FALSE()),FALSE()))</f>
        <v>0</v>
      </c>
      <c r="DD59" s="51" t="n">
        <f aca="false">COUNTIF(BW59:DC59,TRUE())</f>
        <v>2</v>
      </c>
    </row>
    <row r="60" customFormat="false" ht="15" hidden="false" customHeight="true" outlineLevel="0" collapsed="false">
      <c r="A60" s="18" t="n">
        <v>21</v>
      </c>
      <c r="B60" s="44"/>
      <c r="C60" s="44"/>
      <c r="D60" s="44"/>
      <c r="E60" s="44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6" t="str">
        <f aca="false">IFERROR(IF(F60&lt;&gt;"",F60,""),"")</f>
        <v/>
      </c>
      <c r="AF60" s="46" t="str">
        <f aca="false">IFERROR(IF(G60&lt;&gt;"",G60,""),"")</f>
        <v/>
      </c>
      <c r="AG60" s="46" t="str">
        <f aca="false">IFERROR(IF(AA60&lt;&gt;"",AA60,IF(R60&lt;&gt;"",R60,"")),"")</f>
        <v/>
      </c>
      <c r="AH60" s="46" t="str">
        <f aca="false">IFERROR(IF(AB60&lt;&gt;"",AB60,IF(S60&lt;&gt;"",S60,"")),"")</f>
        <v/>
      </c>
      <c r="AI60" s="47"/>
      <c r="AJ60" s="47"/>
      <c r="AK60" s="47"/>
      <c r="AL60" s="47"/>
      <c r="AM60" s="47"/>
      <c r="AN60" s="47"/>
      <c r="AO60" s="47"/>
      <c r="AP60" s="47"/>
      <c r="AQ60" s="46" t="str">
        <f aca="false">IFERROR(IF(Y60&lt;&gt;"",VALUE(Y60),""),"")</f>
        <v/>
      </c>
      <c r="AR60" s="47"/>
      <c r="AS60" s="47"/>
      <c r="AT60" s="47"/>
      <c r="AU60" s="47"/>
      <c r="AV60" s="46" t="str">
        <f aca="false">IFERROR(IF(T60&lt;&gt;"",VALUE(T60),""),"")</f>
        <v/>
      </c>
      <c r="AW60" s="46" t="str">
        <f aca="false">IFERROR(IF(N60="","",IF(OR(ISNUMBER(SEARCH("grant",N60)),ISNUMBER(SEARCH("B",AC60))),"Granted",IF(OR(ISNUMBER(SEARCH("pend",N60)),ISNUMBER(SEARCH("A",AC60))),"Pending",IF(ISNUMBER(SEARCH("expir",N60)),"Expired",N60)))),"")</f>
        <v/>
      </c>
      <c r="AX60" s="47"/>
      <c r="AY60" s="46" t="str">
        <f aca="true">IFERROR(IF(M60&lt;&gt;"",ROUND(VALUE(M60),1),IF(L60&lt;&gt;"",ROUND(MAX(0,(DATEVALUE(TEXT(L60,"YYYY-MM-DD"))-TODAY())/365.25),1),"")),"")</f>
        <v/>
      </c>
      <c r="AZ60" s="46" t="str">
        <f aca="false">IFERROR(IF(O60&lt;&gt;"",O60,""),"")</f>
        <v/>
      </c>
      <c r="BA60" s="46" t="str">
        <f aca="false">IFERROR(IF(U60&lt;&gt;"",SUBSTITUTE(SUBSTITUTE(U60,"; ",", "),";",","),""),"")</f>
        <v/>
      </c>
      <c r="BB60" s="47"/>
      <c r="BC60" s="47"/>
      <c r="BD60" s="47"/>
      <c r="BE60" s="47"/>
      <c r="BF60" s="47"/>
      <c r="BG60" s="47"/>
      <c r="BH60" s="47"/>
      <c r="BI60" s="47"/>
      <c r="BJ60" s="47"/>
      <c r="BK60" s="46" t="str">
        <f aca="false">IFERROR(IF(W60&lt;&gt;"",VALUE(W60),""),"")</f>
        <v/>
      </c>
      <c r="BL60" s="46" t="str">
        <f aca="false">IFERROR(IF(X60&lt;&gt;"",VALUE(X60),""),"")</f>
        <v/>
      </c>
      <c r="BM60" s="46" t="str">
        <f aca="false">IFERROR(IF(AD60="","None",IF(ISNUMBER(SEARCH("surv",AD60)),"Survived",IF(ISNUMBER(SEARCH("pend",AD60)),"Pending",IF(ISNUMBER(SEARCH("yes",AD60)),"Pending","None")))),"None")</f>
        <v>None</v>
      </c>
      <c r="BN60" s="47"/>
      <c r="BO60" s="47"/>
      <c r="BP60" s="47"/>
      <c r="BQ60" s="47"/>
      <c r="BR60" s="47"/>
      <c r="BS60" s="47"/>
      <c r="BT60" s="47"/>
      <c r="BU60" s="48" t="n">
        <f aca="false">IFERROR(COUNTA(AE60:BT60)/42,0)</f>
        <v>0.30952380952381</v>
      </c>
      <c r="BV60" s="49"/>
      <c r="BW60" s="50" t="b">
        <f aca="false">IF(Configuration!$C$10="No","",IFERROR(IF(AG60&lt;&gt;"",TRUE(),FALSE()),FALSE()))</f>
        <v>0</v>
      </c>
      <c r="BX60" s="50" t="b">
        <f aca="false">IF(Configuration!$C$11="No","",IFERROR(IF(AND(N(AL60)&gt;=Configuration!$C$44,AM60&lt;&gt;""),TRUE(),FALSE()),FALSE()))</f>
        <v>0</v>
      </c>
      <c r="BY60" s="50" t="b">
        <f aca="false">IF(Configuration!$C$12="No","",IFERROR(IF(AJ60&lt;&gt;"",TRUE(),FALSE()),FALSE()))</f>
        <v>0</v>
      </c>
      <c r="BZ60" s="50" t="b">
        <f aca="false">IF(Configuration!$C$13="No","",IFERROR(IF(AI60&lt;&gt;"",TRUE(),FALSE()),FALSE()))</f>
        <v>0</v>
      </c>
      <c r="CA60" s="50" t="b">
        <f aca="false">IF(Configuration!$C$14="No","",IFERROR(IF(AK60&lt;&gt;"",TRUE(),FALSE()),FALSE()))</f>
        <v>0</v>
      </c>
      <c r="CB60" s="50" t="b">
        <f aca="false">IF(Configuration!$C$15="No","",IFERROR(IF(AND(OR(ISNUMBER(SEARCH("process",AG60)),ISNUMBER(SEARCH("fab",AG60)),ISNUMBER(SEARCH("manufac",AG60))),AO60="Method"),TRUE(),FALSE()),FALSE()))</f>
        <v>0</v>
      </c>
      <c r="CC60" s="50" t="b">
        <f aca="false">IF(Configuration!$C$16="No","",IFERROR(IF(AND(OR(ISNUMBER(SEARCH("material",AG60)),ISNUMBER(SEARCH("chem",AG60)),ISNUMBER(SEARCH("battery",AG60)),ISNUMBER(SEARCH("electrolyte",AG60)),ISNUMBER(SEARCH("polymer",AG60))),OR(AO60="Apparatus",AO60="Method")),TRUE(),FALSE()),FALSE()))</f>
        <v>0</v>
      </c>
      <c r="CD60" s="50" t="b">
        <f aca="false">IF(Configuration!$C$17="No","",IFERROR(IF(AND(OR(AI60="App",AI60="Middleware",AI60="Cloud"),OR(AO60="Method",AO60="CRM")),TRUE(),FALSE()),FALSE()))</f>
        <v>0</v>
      </c>
      <c r="CE60" s="50" t="b">
        <f aca="false">IF(Configuration!$C$18="No","",IFERROR(IF(N(AN60)&gt;=Configuration!$C$45,TRUE(),FALSE()),FALSE()))</f>
        <v>0</v>
      </c>
      <c r="CF60" s="50" t="b">
        <f aca="false">IF(Configuration!$C$19="No","",IFERROR(IF(BE60&lt;&gt;"",TRUE(),FALSE()),FALSE()))</f>
        <v>0</v>
      </c>
      <c r="CG60" s="50" t="b">
        <f aca="false">IF(Configuration!$C$20="No","",IFERROR(IF(AO60&lt;&gt;"",TRUE(),FALSE()),FALSE()))</f>
        <v>0</v>
      </c>
      <c r="CH60" s="50" t="b">
        <f aca="false">IF(Configuration!$C$21="No","",IFERROR(IF(OR(N(AS60)&gt;=Configuration!$C$46,N(AT60)&gt;=Configuration!$C$47),TRUE(),FALSE()),FALSE()))</f>
        <v>0</v>
      </c>
      <c r="CI60" s="50" t="b">
        <f aca="false">IF(Configuration!$C$22="No","",IFERROR(IF(BB60="Yes",TRUE(),FALSE()),FALSE()))</f>
        <v>0</v>
      </c>
      <c r="CJ60" s="50" t="b">
        <f aca="false">IF(Configuration!$C$23="No","",IFERROR(IF(N(AV60)&gt;=Configuration!$C$48,TRUE(),FALSE()),FALSE()))</f>
        <v>0</v>
      </c>
      <c r="CK60" s="50" t="b">
        <f aca="false">IF(Configuration!$C$24="No","",IFERROR(IF(N(AY60)&gt;0,TRUE(),FALSE()),FALSE()))</f>
        <v>0</v>
      </c>
      <c r="CL60" s="50" t="b">
        <f aca="false">IF(Configuration!$C$25="No","",IFERROR(IF(OR(N(AP60)=3,N(AP60)&lt;=1),TRUE(),FALSE()),FALSE()))</f>
        <v>1</v>
      </c>
      <c r="CM60" s="50" t="b">
        <f aca="false">IF(Configuration!$C$26="No","",IFERROR(IF(N(BF60)&gt;=Configuration!$C$49,TRUE(),FALSE()),FALSE()))</f>
        <v>0</v>
      </c>
      <c r="CN60" s="50" t="b">
        <f aca="false">IF(Configuration!$C$27="No","",IFERROR(IF(BD60&lt;&gt;"",TRUE(),FALSE()),FALSE()))</f>
        <v>0</v>
      </c>
      <c r="CO60" s="50" t="b">
        <f aca="false">IF(Configuration!$C$28="No","",IFERROR(IF(N(AU60)&gt;=Configuration!$C$50,TRUE(),FALSE()),FALSE()))</f>
        <v>0</v>
      </c>
      <c r="CP60" s="50" t="b">
        <f aca="false">IF(Configuration!$C$29="No","",IFERROR(IF(AND(N(AR60)&gt;=Configuration!$C$51,AG60&lt;&gt;""),TRUE(),FALSE()),FALSE()))</f>
        <v>0</v>
      </c>
      <c r="CQ60" s="50" t="b">
        <f aca="false">IF(Configuration!$C$30="No","",IFERROR(IF(OR(AW60="Pending",AX60="Yes"),TRUE(),FALSE()),FALSE()))</f>
        <v>0</v>
      </c>
      <c r="CR60" s="50" t="b">
        <f aca="false">IF(Configuration!$C$31="No","",IFERROR(IF(AND(N(BG60)&gt;=Configuration!$C$52,N(AP60)&gt;=1),TRUE(),FALSE()),FALSE()))</f>
        <v>0</v>
      </c>
      <c r="CS60" s="50" t="b">
        <f aca="false">IF(Configuration!$C$32="No","",IFERROR(IF(AND(N(AR60)&gt;=1,OR(AG60&lt;&gt;"",AM60&lt;&gt;"")),TRUE(),FALSE()),FALSE()))</f>
        <v>0</v>
      </c>
      <c r="CT60" s="50" t="b">
        <f aca="false">IF(Configuration!$C$33="No","",IFERROR(IF(AG60&lt;&gt;"",TRUE(),FALSE()),FALSE()))</f>
        <v>0</v>
      </c>
      <c r="CU60" s="50" t="b">
        <f aca="false">IF(Configuration!$C$34="No","",IFERROR(IF(AX60="Yes",TRUE(),FALSE()),FALSE()))</f>
        <v>0</v>
      </c>
      <c r="CV60" s="50" t="b">
        <f aca="false">IF(Configuration!$C$35="No","",IFERROR(IF(OR(BO60="Partial",BO60="Full"),TRUE(),FALSE()),FALSE()))</f>
        <v>0</v>
      </c>
      <c r="CW60" s="50" t="b">
        <f aca="false">IF(Configuration!$C$36="No","",IFERROR(IF(BM60="Survived",TRUE(),FALSE()),FALSE()))</f>
        <v>0</v>
      </c>
      <c r="CX60" s="50" t="b">
        <f aca="false">IF(Configuration!$C$37="No","",IFERROR(IF(AND(BN60="Clean",BP60="None"),TRUE(),FALSE()),FALSE()))</f>
        <v>0</v>
      </c>
      <c r="CY60" s="50" t="b">
        <f aca="false">IF(Configuration!$C$38="No","",IFERROR(IF(N(BK60)&gt;=Configuration!$C$53,TRUE(),FALSE()),FALSE()))</f>
        <v>0</v>
      </c>
      <c r="CZ60" s="50" t="b">
        <f aca="false">IF(Configuration!$C$39="No","",IFERROR(IF(AND(N(BS60)&gt;=2,N(BF60)&gt;=2),TRUE(),FALSE()),FALSE()))</f>
        <v>0</v>
      </c>
      <c r="DA60" s="50" t="b">
        <f aca="false">IF(Configuration!$C$40="No","",IFERROR(IF(OR(N(BG60)&lt;=Configuration!$C$56,N(AY60)&lt;Configuration!$C$57,N(BH60)&lt;=Configuration!$C$58),TRUE(),FALSE()),FALSE()))</f>
        <v>1</v>
      </c>
      <c r="DB60" s="50" t="b">
        <f aca="false">IF(Configuration!$C$41="No","",IFERROR(IF(AND(N(AY60)&gt;=Configuration!$C$54,N(AY60)&lt;=Configuration!$C$55),TRUE(),FALSE()),FALSE()))</f>
        <v>0</v>
      </c>
      <c r="DC60" s="50" t="b">
        <f aca="false">IF(Configuration!$C$42="No","",IFERROR(IF(AND(AG60&lt;&gt;"",AJ60&lt;&gt;""),TRUE(),FALSE()),FALSE()))</f>
        <v>0</v>
      </c>
      <c r="DD60" s="51" t="n">
        <f aca="false">COUNTIF(BW60:DC60,TRUE())</f>
        <v>2</v>
      </c>
    </row>
    <row r="61" customFormat="false" ht="15" hidden="false" customHeight="true" outlineLevel="0" collapsed="false">
      <c r="A61" s="18" t="n">
        <v>22</v>
      </c>
      <c r="B61" s="44"/>
      <c r="C61" s="44"/>
      <c r="D61" s="44"/>
      <c r="E61" s="44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6" t="str">
        <f aca="false">IFERROR(IF(F61&lt;&gt;"",F61,""),"")</f>
        <v/>
      </c>
      <c r="AF61" s="46" t="str">
        <f aca="false">IFERROR(IF(G61&lt;&gt;"",G61,""),"")</f>
        <v/>
      </c>
      <c r="AG61" s="46" t="str">
        <f aca="false">IFERROR(IF(AA61&lt;&gt;"",AA61,IF(R61&lt;&gt;"",R61,"")),"")</f>
        <v/>
      </c>
      <c r="AH61" s="46" t="str">
        <f aca="false">IFERROR(IF(AB61&lt;&gt;"",AB61,IF(S61&lt;&gt;"",S61,"")),"")</f>
        <v/>
      </c>
      <c r="AI61" s="47"/>
      <c r="AJ61" s="47"/>
      <c r="AK61" s="47"/>
      <c r="AL61" s="47"/>
      <c r="AM61" s="47"/>
      <c r="AN61" s="47"/>
      <c r="AO61" s="47"/>
      <c r="AP61" s="47"/>
      <c r="AQ61" s="46" t="str">
        <f aca="false">IFERROR(IF(Y61&lt;&gt;"",VALUE(Y61),""),"")</f>
        <v/>
      </c>
      <c r="AR61" s="47"/>
      <c r="AS61" s="47"/>
      <c r="AT61" s="47"/>
      <c r="AU61" s="47"/>
      <c r="AV61" s="46" t="str">
        <f aca="false">IFERROR(IF(T61&lt;&gt;"",VALUE(T61),""),"")</f>
        <v/>
      </c>
      <c r="AW61" s="46" t="str">
        <f aca="false">IFERROR(IF(N61="","",IF(OR(ISNUMBER(SEARCH("grant",N61)),ISNUMBER(SEARCH("B",AC61))),"Granted",IF(OR(ISNUMBER(SEARCH("pend",N61)),ISNUMBER(SEARCH("A",AC61))),"Pending",IF(ISNUMBER(SEARCH("expir",N61)),"Expired",N61)))),"")</f>
        <v/>
      </c>
      <c r="AX61" s="47"/>
      <c r="AY61" s="46" t="str">
        <f aca="true">IFERROR(IF(M61&lt;&gt;"",ROUND(VALUE(M61),1),IF(L61&lt;&gt;"",ROUND(MAX(0,(DATEVALUE(TEXT(L61,"YYYY-MM-DD"))-TODAY())/365.25),1),"")),"")</f>
        <v/>
      </c>
      <c r="AZ61" s="46" t="str">
        <f aca="false">IFERROR(IF(O61&lt;&gt;"",O61,""),"")</f>
        <v/>
      </c>
      <c r="BA61" s="46" t="str">
        <f aca="false">IFERROR(IF(U61&lt;&gt;"",SUBSTITUTE(SUBSTITUTE(U61,"; ",", "),";",","),""),"")</f>
        <v/>
      </c>
      <c r="BB61" s="47"/>
      <c r="BC61" s="47"/>
      <c r="BD61" s="47"/>
      <c r="BE61" s="47"/>
      <c r="BF61" s="47"/>
      <c r="BG61" s="47"/>
      <c r="BH61" s="47"/>
      <c r="BI61" s="47"/>
      <c r="BJ61" s="47"/>
      <c r="BK61" s="46" t="str">
        <f aca="false">IFERROR(IF(W61&lt;&gt;"",VALUE(W61),""),"")</f>
        <v/>
      </c>
      <c r="BL61" s="46" t="str">
        <f aca="false">IFERROR(IF(X61&lt;&gt;"",VALUE(X61),""),"")</f>
        <v/>
      </c>
      <c r="BM61" s="46" t="str">
        <f aca="false">IFERROR(IF(AD61="","None",IF(ISNUMBER(SEARCH("surv",AD61)),"Survived",IF(ISNUMBER(SEARCH("pend",AD61)),"Pending",IF(ISNUMBER(SEARCH("yes",AD61)),"Pending","None")))),"None")</f>
        <v>None</v>
      </c>
      <c r="BN61" s="47"/>
      <c r="BO61" s="47"/>
      <c r="BP61" s="47"/>
      <c r="BQ61" s="47"/>
      <c r="BR61" s="47"/>
      <c r="BS61" s="47"/>
      <c r="BT61" s="47"/>
      <c r="BU61" s="48" t="n">
        <f aca="false">IFERROR(COUNTA(AE61:BT61)/42,0)</f>
        <v>0.30952380952381</v>
      </c>
      <c r="BV61" s="49"/>
      <c r="BW61" s="50" t="b">
        <f aca="false">IF(Configuration!$C$10="No","",IFERROR(IF(AG61&lt;&gt;"",TRUE(),FALSE()),FALSE()))</f>
        <v>0</v>
      </c>
      <c r="BX61" s="50" t="b">
        <f aca="false">IF(Configuration!$C$11="No","",IFERROR(IF(AND(N(AL61)&gt;=Configuration!$C$44,AM61&lt;&gt;""),TRUE(),FALSE()),FALSE()))</f>
        <v>0</v>
      </c>
      <c r="BY61" s="50" t="b">
        <f aca="false">IF(Configuration!$C$12="No","",IFERROR(IF(AJ61&lt;&gt;"",TRUE(),FALSE()),FALSE()))</f>
        <v>0</v>
      </c>
      <c r="BZ61" s="50" t="b">
        <f aca="false">IF(Configuration!$C$13="No","",IFERROR(IF(AI61&lt;&gt;"",TRUE(),FALSE()),FALSE()))</f>
        <v>0</v>
      </c>
      <c r="CA61" s="50" t="b">
        <f aca="false">IF(Configuration!$C$14="No","",IFERROR(IF(AK61&lt;&gt;"",TRUE(),FALSE()),FALSE()))</f>
        <v>0</v>
      </c>
      <c r="CB61" s="50" t="b">
        <f aca="false">IF(Configuration!$C$15="No","",IFERROR(IF(AND(OR(ISNUMBER(SEARCH("process",AG61)),ISNUMBER(SEARCH("fab",AG61)),ISNUMBER(SEARCH("manufac",AG61))),AO61="Method"),TRUE(),FALSE()),FALSE()))</f>
        <v>0</v>
      </c>
      <c r="CC61" s="50" t="b">
        <f aca="false">IF(Configuration!$C$16="No","",IFERROR(IF(AND(OR(ISNUMBER(SEARCH("material",AG61)),ISNUMBER(SEARCH("chem",AG61)),ISNUMBER(SEARCH("battery",AG61)),ISNUMBER(SEARCH("electrolyte",AG61)),ISNUMBER(SEARCH("polymer",AG61))),OR(AO61="Apparatus",AO61="Method")),TRUE(),FALSE()),FALSE()))</f>
        <v>0</v>
      </c>
      <c r="CD61" s="50" t="b">
        <f aca="false">IF(Configuration!$C$17="No","",IFERROR(IF(AND(OR(AI61="App",AI61="Middleware",AI61="Cloud"),OR(AO61="Method",AO61="CRM")),TRUE(),FALSE()),FALSE()))</f>
        <v>0</v>
      </c>
      <c r="CE61" s="50" t="b">
        <f aca="false">IF(Configuration!$C$18="No","",IFERROR(IF(N(AN61)&gt;=Configuration!$C$45,TRUE(),FALSE()),FALSE()))</f>
        <v>0</v>
      </c>
      <c r="CF61" s="50" t="b">
        <f aca="false">IF(Configuration!$C$19="No","",IFERROR(IF(BE61&lt;&gt;"",TRUE(),FALSE()),FALSE()))</f>
        <v>0</v>
      </c>
      <c r="CG61" s="50" t="b">
        <f aca="false">IF(Configuration!$C$20="No","",IFERROR(IF(AO61&lt;&gt;"",TRUE(),FALSE()),FALSE()))</f>
        <v>0</v>
      </c>
      <c r="CH61" s="50" t="b">
        <f aca="false">IF(Configuration!$C$21="No","",IFERROR(IF(OR(N(AS61)&gt;=Configuration!$C$46,N(AT61)&gt;=Configuration!$C$47),TRUE(),FALSE()),FALSE()))</f>
        <v>0</v>
      </c>
      <c r="CI61" s="50" t="b">
        <f aca="false">IF(Configuration!$C$22="No","",IFERROR(IF(BB61="Yes",TRUE(),FALSE()),FALSE()))</f>
        <v>0</v>
      </c>
      <c r="CJ61" s="50" t="b">
        <f aca="false">IF(Configuration!$C$23="No","",IFERROR(IF(N(AV61)&gt;=Configuration!$C$48,TRUE(),FALSE()),FALSE()))</f>
        <v>0</v>
      </c>
      <c r="CK61" s="50" t="b">
        <f aca="false">IF(Configuration!$C$24="No","",IFERROR(IF(N(AY61)&gt;0,TRUE(),FALSE()),FALSE()))</f>
        <v>0</v>
      </c>
      <c r="CL61" s="50" t="b">
        <f aca="false">IF(Configuration!$C$25="No","",IFERROR(IF(OR(N(AP61)=3,N(AP61)&lt;=1),TRUE(),FALSE()),FALSE()))</f>
        <v>1</v>
      </c>
      <c r="CM61" s="50" t="b">
        <f aca="false">IF(Configuration!$C$26="No","",IFERROR(IF(N(BF61)&gt;=Configuration!$C$49,TRUE(),FALSE()),FALSE()))</f>
        <v>0</v>
      </c>
      <c r="CN61" s="50" t="b">
        <f aca="false">IF(Configuration!$C$27="No","",IFERROR(IF(BD61&lt;&gt;"",TRUE(),FALSE()),FALSE()))</f>
        <v>0</v>
      </c>
      <c r="CO61" s="50" t="b">
        <f aca="false">IF(Configuration!$C$28="No","",IFERROR(IF(N(AU61)&gt;=Configuration!$C$50,TRUE(),FALSE()),FALSE()))</f>
        <v>0</v>
      </c>
      <c r="CP61" s="50" t="b">
        <f aca="false">IF(Configuration!$C$29="No","",IFERROR(IF(AND(N(AR61)&gt;=Configuration!$C$51,AG61&lt;&gt;""),TRUE(),FALSE()),FALSE()))</f>
        <v>0</v>
      </c>
      <c r="CQ61" s="50" t="b">
        <f aca="false">IF(Configuration!$C$30="No","",IFERROR(IF(OR(AW61="Pending",AX61="Yes"),TRUE(),FALSE()),FALSE()))</f>
        <v>0</v>
      </c>
      <c r="CR61" s="50" t="b">
        <f aca="false">IF(Configuration!$C$31="No","",IFERROR(IF(AND(N(BG61)&gt;=Configuration!$C$52,N(AP61)&gt;=1),TRUE(),FALSE()),FALSE()))</f>
        <v>0</v>
      </c>
      <c r="CS61" s="50" t="b">
        <f aca="false">IF(Configuration!$C$32="No","",IFERROR(IF(AND(N(AR61)&gt;=1,OR(AG61&lt;&gt;"",AM61&lt;&gt;"")),TRUE(),FALSE()),FALSE()))</f>
        <v>0</v>
      </c>
      <c r="CT61" s="50" t="b">
        <f aca="false">IF(Configuration!$C$33="No","",IFERROR(IF(AG61&lt;&gt;"",TRUE(),FALSE()),FALSE()))</f>
        <v>0</v>
      </c>
      <c r="CU61" s="50" t="b">
        <f aca="false">IF(Configuration!$C$34="No","",IFERROR(IF(AX61="Yes",TRUE(),FALSE()),FALSE()))</f>
        <v>0</v>
      </c>
      <c r="CV61" s="50" t="b">
        <f aca="false">IF(Configuration!$C$35="No","",IFERROR(IF(OR(BO61="Partial",BO61="Full"),TRUE(),FALSE()),FALSE()))</f>
        <v>0</v>
      </c>
      <c r="CW61" s="50" t="b">
        <f aca="false">IF(Configuration!$C$36="No","",IFERROR(IF(BM61="Survived",TRUE(),FALSE()),FALSE()))</f>
        <v>0</v>
      </c>
      <c r="CX61" s="50" t="b">
        <f aca="false">IF(Configuration!$C$37="No","",IFERROR(IF(AND(BN61="Clean",BP61="None"),TRUE(),FALSE()),FALSE()))</f>
        <v>0</v>
      </c>
      <c r="CY61" s="50" t="b">
        <f aca="false">IF(Configuration!$C$38="No","",IFERROR(IF(N(BK61)&gt;=Configuration!$C$53,TRUE(),FALSE()),FALSE()))</f>
        <v>0</v>
      </c>
      <c r="CZ61" s="50" t="b">
        <f aca="false">IF(Configuration!$C$39="No","",IFERROR(IF(AND(N(BS61)&gt;=2,N(BF61)&gt;=2),TRUE(),FALSE()),FALSE()))</f>
        <v>0</v>
      </c>
      <c r="DA61" s="50" t="b">
        <f aca="false">IF(Configuration!$C$40="No","",IFERROR(IF(OR(N(BG61)&lt;=Configuration!$C$56,N(AY61)&lt;Configuration!$C$57,N(BH61)&lt;=Configuration!$C$58),TRUE(),FALSE()),FALSE()))</f>
        <v>1</v>
      </c>
      <c r="DB61" s="50" t="b">
        <f aca="false">IF(Configuration!$C$41="No","",IFERROR(IF(AND(N(AY61)&gt;=Configuration!$C$54,N(AY61)&lt;=Configuration!$C$55),TRUE(),FALSE()),FALSE()))</f>
        <v>0</v>
      </c>
      <c r="DC61" s="50" t="b">
        <f aca="false">IF(Configuration!$C$42="No","",IFERROR(IF(AND(AG61&lt;&gt;"",AJ61&lt;&gt;""),TRUE(),FALSE()),FALSE()))</f>
        <v>0</v>
      </c>
      <c r="DD61" s="51" t="n">
        <f aca="false">COUNTIF(BW61:DC61,TRUE())</f>
        <v>2</v>
      </c>
    </row>
    <row r="62" customFormat="false" ht="15" hidden="false" customHeight="true" outlineLevel="0" collapsed="false">
      <c r="A62" s="18" t="n">
        <v>23</v>
      </c>
      <c r="B62" s="44"/>
      <c r="C62" s="44"/>
      <c r="D62" s="44"/>
      <c r="E62" s="44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6" t="str">
        <f aca="false">IFERROR(IF(F62&lt;&gt;"",F62,""),"")</f>
        <v/>
      </c>
      <c r="AF62" s="46" t="str">
        <f aca="false">IFERROR(IF(G62&lt;&gt;"",G62,""),"")</f>
        <v/>
      </c>
      <c r="AG62" s="46" t="str">
        <f aca="false">IFERROR(IF(AA62&lt;&gt;"",AA62,IF(R62&lt;&gt;"",R62,"")),"")</f>
        <v/>
      </c>
      <c r="AH62" s="46" t="str">
        <f aca="false">IFERROR(IF(AB62&lt;&gt;"",AB62,IF(S62&lt;&gt;"",S62,"")),"")</f>
        <v/>
      </c>
      <c r="AI62" s="47"/>
      <c r="AJ62" s="47"/>
      <c r="AK62" s="47"/>
      <c r="AL62" s="47"/>
      <c r="AM62" s="47"/>
      <c r="AN62" s="47"/>
      <c r="AO62" s="47"/>
      <c r="AP62" s="47"/>
      <c r="AQ62" s="46" t="str">
        <f aca="false">IFERROR(IF(Y62&lt;&gt;"",VALUE(Y62),""),"")</f>
        <v/>
      </c>
      <c r="AR62" s="47"/>
      <c r="AS62" s="47"/>
      <c r="AT62" s="47"/>
      <c r="AU62" s="47"/>
      <c r="AV62" s="46" t="str">
        <f aca="false">IFERROR(IF(T62&lt;&gt;"",VALUE(T62),""),"")</f>
        <v/>
      </c>
      <c r="AW62" s="46" t="str">
        <f aca="false">IFERROR(IF(N62="","",IF(OR(ISNUMBER(SEARCH("grant",N62)),ISNUMBER(SEARCH("B",AC62))),"Granted",IF(OR(ISNUMBER(SEARCH("pend",N62)),ISNUMBER(SEARCH("A",AC62))),"Pending",IF(ISNUMBER(SEARCH("expir",N62)),"Expired",N62)))),"")</f>
        <v/>
      </c>
      <c r="AX62" s="47"/>
      <c r="AY62" s="46" t="str">
        <f aca="true">IFERROR(IF(M62&lt;&gt;"",ROUND(VALUE(M62),1),IF(L62&lt;&gt;"",ROUND(MAX(0,(DATEVALUE(TEXT(L62,"YYYY-MM-DD"))-TODAY())/365.25),1),"")),"")</f>
        <v/>
      </c>
      <c r="AZ62" s="46" t="str">
        <f aca="false">IFERROR(IF(O62&lt;&gt;"",O62,""),"")</f>
        <v/>
      </c>
      <c r="BA62" s="46" t="str">
        <f aca="false">IFERROR(IF(U62&lt;&gt;"",SUBSTITUTE(SUBSTITUTE(U62,"; ",", "),";",","),""),"")</f>
        <v/>
      </c>
      <c r="BB62" s="47"/>
      <c r="BC62" s="47"/>
      <c r="BD62" s="47"/>
      <c r="BE62" s="47"/>
      <c r="BF62" s="47"/>
      <c r="BG62" s="47"/>
      <c r="BH62" s="47"/>
      <c r="BI62" s="47"/>
      <c r="BJ62" s="47"/>
      <c r="BK62" s="46" t="str">
        <f aca="false">IFERROR(IF(W62&lt;&gt;"",VALUE(W62),""),"")</f>
        <v/>
      </c>
      <c r="BL62" s="46" t="str">
        <f aca="false">IFERROR(IF(X62&lt;&gt;"",VALUE(X62),""),"")</f>
        <v/>
      </c>
      <c r="BM62" s="46" t="str">
        <f aca="false">IFERROR(IF(AD62="","None",IF(ISNUMBER(SEARCH("surv",AD62)),"Survived",IF(ISNUMBER(SEARCH("pend",AD62)),"Pending",IF(ISNUMBER(SEARCH("yes",AD62)),"Pending","None")))),"None")</f>
        <v>None</v>
      </c>
      <c r="BN62" s="47"/>
      <c r="BO62" s="47"/>
      <c r="BP62" s="47"/>
      <c r="BQ62" s="47"/>
      <c r="BR62" s="47"/>
      <c r="BS62" s="47"/>
      <c r="BT62" s="47"/>
      <c r="BU62" s="48" t="n">
        <f aca="false">IFERROR(COUNTA(AE62:BT62)/42,0)</f>
        <v>0.30952380952381</v>
      </c>
      <c r="BV62" s="49"/>
      <c r="BW62" s="50" t="b">
        <f aca="false">IF(Configuration!$C$10="No","",IFERROR(IF(AG62&lt;&gt;"",TRUE(),FALSE()),FALSE()))</f>
        <v>0</v>
      </c>
      <c r="BX62" s="50" t="b">
        <f aca="false">IF(Configuration!$C$11="No","",IFERROR(IF(AND(N(AL62)&gt;=Configuration!$C$44,AM62&lt;&gt;""),TRUE(),FALSE()),FALSE()))</f>
        <v>0</v>
      </c>
      <c r="BY62" s="50" t="b">
        <f aca="false">IF(Configuration!$C$12="No","",IFERROR(IF(AJ62&lt;&gt;"",TRUE(),FALSE()),FALSE()))</f>
        <v>0</v>
      </c>
      <c r="BZ62" s="50" t="b">
        <f aca="false">IF(Configuration!$C$13="No","",IFERROR(IF(AI62&lt;&gt;"",TRUE(),FALSE()),FALSE()))</f>
        <v>0</v>
      </c>
      <c r="CA62" s="50" t="b">
        <f aca="false">IF(Configuration!$C$14="No","",IFERROR(IF(AK62&lt;&gt;"",TRUE(),FALSE()),FALSE()))</f>
        <v>0</v>
      </c>
      <c r="CB62" s="50" t="b">
        <f aca="false">IF(Configuration!$C$15="No","",IFERROR(IF(AND(OR(ISNUMBER(SEARCH("process",AG62)),ISNUMBER(SEARCH("fab",AG62)),ISNUMBER(SEARCH("manufac",AG62))),AO62="Method"),TRUE(),FALSE()),FALSE()))</f>
        <v>0</v>
      </c>
      <c r="CC62" s="50" t="b">
        <f aca="false">IF(Configuration!$C$16="No","",IFERROR(IF(AND(OR(ISNUMBER(SEARCH("material",AG62)),ISNUMBER(SEARCH("chem",AG62)),ISNUMBER(SEARCH("battery",AG62)),ISNUMBER(SEARCH("electrolyte",AG62)),ISNUMBER(SEARCH("polymer",AG62))),OR(AO62="Apparatus",AO62="Method")),TRUE(),FALSE()),FALSE()))</f>
        <v>0</v>
      </c>
      <c r="CD62" s="50" t="b">
        <f aca="false">IF(Configuration!$C$17="No","",IFERROR(IF(AND(OR(AI62="App",AI62="Middleware",AI62="Cloud"),OR(AO62="Method",AO62="CRM")),TRUE(),FALSE()),FALSE()))</f>
        <v>0</v>
      </c>
      <c r="CE62" s="50" t="b">
        <f aca="false">IF(Configuration!$C$18="No","",IFERROR(IF(N(AN62)&gt;=Configuration!$C$45,TRUE(),FALSE()),FALSE()))</f>
        <v>0</v>
      </c>
      <c r="CF62" s="50" t="b">
        <f aca="false">IF(Configuration!$C$19="No","",IFERROR(IF(BE62&lt;&gt;"",TRUE(),FALSE()),FALSE()))</f>
        <v>0</v>
      </c>
      <c r="CG62" s="50" t="b">
        <f aca="false">IF(Configuration!$C$20="No","",IFERROR(IF(AO62&lt;&gt;"",TRUE(),FALSE()),FALSE()))</f>
        <v>0</v>
      </c>
      <c r="CH62" s="50" t="b">
        <f aca="false">IF(Configuration!$C$21="No","",IFERROR(IF(OR(N(AS62)&gt;=Configuration!$C$46,N(AT62)&gt;=Configuration!$C$47),TRUE(),FALSE()),FALSE()))</f>
        <v>0</v>
      </c>
      <c r="CI62" s="50" t="b">
        <f aca="false">IF(Configuration!$C$22="No","",IFERROR(IF(BB62="Yes",TRUE(),FALSE()),FALSE()))</f>
        <v>0</v>
      </c>
      <c r="CJ62" s="50" t="b">
        <f aca="false">IF(Configuration!$C$23="No","",IFERROR(IF(N(AV62)&gt;=Configuration!$C$48,TRUE(),FALSE()),FALSE()))</f>
        <v>0</v>
      </c>
      <c r="CK62" s="50" t="b">
        <f aca="false">IF(Configuration!$C$24="No","",IFERROR(IF(N(AY62)&gt;0,TRUE(),FALSE()),FALSE()))</f>
        <v>0</v>
      </c>
      <c r="CL62" s="50" t="b">
        <f aca="false">IF(Configuration!$C$25="No","",IFERROR(IF(OR(N(AP62)=3,N(AP62)&lt;=1),TRUE(),FALSE()),FALSE()))</f>
        <v>1</v>
      </c>
      <c r="CM62" s="50" t="b">
        <f aca="false">IF(Configuration!$C$26="No","",IFERROR(IF(N(BF62)&gt;=Configuration!$C$49,TRUE(),FALSE()),FALSE()))</f>
        <v>0</v>
      </c>
      <c r="CN62" s="50" t="b">
        <f aca="false">IF(Configuration!$C$27="No","",IFERROR(IF(BD62&lt;&gt;"",TRUE(),FALSE()),FALSE()))</f>
        <v>0</v>
      </c>
      <c r="CO62" s="50" t="b">
        <f aca="false">IF(Configuration!$C$28="No","",IFERROR(IF(N(AU62)&gt;=Configuration!$C$50,TRUE(),FALSE()),FALSE()))</f>
        <v>0</v>
      </c>
      <c r="CP62" s="50" t="b">
        <f aca="false">IF(Configuration!$C$29="No","",IFERROR(IF(AND(N(AR62)&gt;=Configuration!$C$51,AG62&lt;&gt;""),TRUE(),FALSE()),FALSE()))</f>
        <v>0</v>
      </c>
      <c r="CQ62" s="50" t="b">
        <f aca="false">IF(Configuration!$C$30="No","",IFERROR(IF(OR(AW62="Pending",AX62="Yes"),TRUE(),FALSE()),FALSE()))</f>
        <v>0</v>
      </c>
      <c r="CR62" s="50" t="b">
        <f aca="false">IF(Configuration!$C$31="No","",IFERROR(IF(AND(N(BG62)&gt;=Configuration!$C$52,N(AP62)&gt;=1),TRUE(),FALSE()),FALSE()))</f>
        <v>0</v>
      </c>
      <c r="CS62" s="50" t="b">
        <f aca="false">IF(Configuration!$C$32="No","",IFERROR(IF(AND(N(AR62)&gt;=1,OR(AG62&lt;&gt;"",AM62&lt;&gt;"")),TRUE(),FALSE()),FALSE()))</f>
        <v>0</v>
      </c>
      <c r="CT62" s="50" t="b">
        <f aca="false">IF(Configuration!$C$33="No","",IFERROR(IF(AG62&lt;&gt;"",TRUE(),FALSE()),FALSE()))</f>
        <v>0</v>
      </c>
      <c r="CU62" s="50" t="b">
        <f aca="false">IF(Configuration!$C$34="No","",IFERROR(IF(AX62="Yes",TRUE(),FALSE()),FALSE()))</f>
        <v>0</v>
      </c>
      <c r="CV62" s="50" t="b">
        <f aca="false">IF(Configuration!$C$35="No","",IFERROR(IF(OR(BO62="Partial",BO62="Full"),TRUE(),FALSE()),FALSE()))</f>
        <v>0</v>
      </c>
      <c r="CW62" s="50" t="b">
        <f aca="false">IF(Configuration!$C$36="No","",IFERROR(IF(BM62="Survived",TRUE(),FALSE()),FALSE()))</f>
        <v>0</v>
      </c>
      <c r="CX62" s="50" t="b">
        <f aca="false">IF(Configuration!$C$37="No","",IFERROR(IF(AND(BN62="Clean",BP62="None"),TRUE(),FALSE()),FALSE()))</f>
        <v>0</v>
      </c>
      <c r="CY62" s="50" t="b">
        <f aca="false">IF(Configuration!$C$38="No","",IFERROR(IF(N(BK62)&gt;=Configuration!$C$53,TRUE(),FALSE()),FALSE()))</f>
        <v>0</v>
      </c>
      <c r="CZ62" s="50" t="b">
        <f aca="false">IF(Configuration!$C$39="No","",IFERROR(IF(AND(N(BS62)&gt;=2,N(BF62)&gt;=2),TRUE(),FALSE()),FALSE()))</f>
        <v>0</v>
      </c>
      <c r="DA62" s="50" t="b">
        <f aca="false">IF(Configuration!$C$40="No","",IFERROR(IF(OR(N(BG62)&lt;=Configuration!$C$56,N(AY62)&lt;Configuration!$C$57,N(BH62)&lt;=Configuration!$C$58),TRUE(),FALSE()),FALSE()))</f>
        <v>1</v>
      </c>
      <c r="DB62" s="50" t="b">
        <f aca="false">IF(Configuration!$C$41="No","",IFERROR(IF(AND(N(AY62)&gt;=Configuration!$C$54,N(AY62)&lt;=Configuration!$C$55),TRUE(),FALSE()),FALSE()))</f>
        <v>0</v>
      </c>
      <c r="DC62" s="50" t="b">
        <f aca="false">IF(Configuration!$C$42="No","",IFERROR(IF(AND(AG62&lt;&gt;"",AJ62&lt;&gt;""),TRUE(),FALSE()),FALSE()))</f>
        <v>0</v>
      </c>
      <c r="DD62" s="51" t="n">
        <f aca="false">COUNTIF(BW62:DC62,TRUE())</f>
        <v>2</v>
      </c>
    </row>
    <row r="63" customFormat="false" ht="15" hidden="false" customHeight="true" outlineLevel="0" collapsed="false">
      <c r="A63" s="18" t="n">
        <v>24</v>
      </c>
      <c r="B63" s="44"/>
      <c r="C63" s="44"/>
      <c r="D63" s="44"/>
      <c r="E63" s="44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6" t="str">
        <f aca="false">IFERROR(IF(F63&lt;&gt;"",F63,""),"")</f>
        <v/>
      </c>
      <c r="AF63" s="46" t="str">
        <f aca="false">IFERROR(IF(G63&lt;&gt;"",G63,""),"")</f>
        <v/>
      </c>
      <c r="AG63" s="46" t="str">
        <f aca="false">IFERROR(IF(AA63&lt;&gt;"",AA63,IF(R63&lt;&gt;"",R63,"")),"")</f>
        <v/>
      </c>
      <c r="AH63" s="46" t="str">
        <f aca="false">IFERROR(IF(AB63&lt;&gt;"",AB63,IF(S63&lt;&gt;"",S63,"")),"")</f>
        <v/>
      </c>
      <c r="AI63" s="47"/>
      <c r="AJ63" s="47"/>
      <c r="AK63" s="47"/>
      <c r="AL63" s="47"/>
      <c r="AM63" s="47"/>
      <c r="AN63" s="47"/>
      <c r="AO63" s="47"/>
      <c r="AP63" s="47"/>
      <c r="AQ63" s="46" t="str">
        <f aca="false">IFERROR(IF(Y63&lt;&gt;"",VALUE(Y63),""),"")</f>
        <v/>
      </c>
      <c r="AR63" s="47"/>
      <c r="AS63" s="47"/>
      <c r="AT63" s="47"/>
      <c r="AU63" s="47"/>
      <c r="AV63" s="46" t="str">
        <f aca="false">IFERROR(IF(T63&lt;&gt;"",VALUE(T63),""),"")</f>
        <v/>
      </c>
      <c r="AW63" s="46" t="str">
        <f aca="false">IFERROR(IF(N63="","",IF(OR(ISNUMBER(SEARCH("grant",N63)),ISNUMBER(SEARCH("B",AC63))),"Granted",IF(OR(ISNUMBER(SEARCH("pend",N63)),ISNUMBER(SEARCH("A",AC63))),"Pending",IF(ISNUMBER(SEARCH("expir",N63)),"Expired",N63)))),"")</f>
        <v/>
      </c>
      <c r="AX63" s="47"/>
      <c r="AY63" s="46" t="str">
        <f aca="true">IFERROR(IF(M63&lt;&gt;"",ROUND(VALUE(M63),1),IF(L63&lt;&gt;"",ROUND(MAX(0,(DATEVALUE(TEXT(L63,"YYYY-MM-DD"))-TODAY())/365.25),1),"")),"")</f>
        <v/>
      </c>
      <c r="AZ63" s="46" t="str">
        <f aca="false">IFERROR(IF(O63&lt;&gt;"",O63,""),"")</f>
        <v/>
      </c>
      <c r="BA63" s="46" t="str">
        <f aca="false">IFERROR(IF(U63&lt;&gt;"",SUBSTITUTE(SUBSTITUTE(U63,"; ",", "),";",","),""),"")</f>
        <v/>
      </c>
      <c r="BB63" s="47"/>
      <c r="BC63" s="47"/>
      <c r="BD63" s="47"/>
      <c r="BE63" s="47"/>
      <c r="BF63" s="47"/>
      <c r="BG63" s="47"/>
      <c r="BH63" s="47"/>
      <c r="BI63" s="47"/>
      <c r="BJ63" s="47"/>
      <c r="BK63" s="46" t="str">
        <f aca="false">IFERROR(IF(W63&lt;&gt;"",VALUE(W63),""),"")</f>
        <v/>
      </c>
      <c r="BL63" s="46" t="str">
        <f aca="false">IFERROR(IF(X63&lt;&gt;"",VALUE(X63),""),"")</f>
        <v/>
      </c>
      <c r="BM63" s="46" t="str">
        <f aca="false">IFERROR(IF(AD63="","None",IF(ISNUMBER(SEARCH("surv",AD63)),"Survived",IF(ISNUMBER(SEARCH("pend",AD63)),"Pending",IF(ISNUMBER(SEARCH("yes",AD63)),"Pending","None")))),"None")</f>
        <v>None</v>
      </c>
      <c r="BN63" s="47"/>
      <c r="BO63" s="47"/>
      <c r="BP63" s="47"/>
      <c r="BQ63" s="47"/>
      <c r="BR63" s="47"/>
      <c r="BS63" s="47"/>
      <c r="BT63" s="47"/>
      <c r="BU63" s="48" t="n">
        <f aca="false">IFERROR(COUNTA(AE63:BT63)/42,0)</f>
        <v>0.30952380952381</v>
      </c>
      <c r="BV63" s="49"/>
      <c r="BW63" s="50" t="b">
        <f aca="false">IF(Configuration!$C$10="No","",IFERROR(IF(AG63&lt;&gt;"",TRUE(),FALSE()),FALSE()))</f>
        <v>0</v>
      </c>
      <c r="BX63" s="50" t="b">
        <f aca="false">IF(Configuration!$C$11="No","",IFERROR(IF(AND(N(AL63)&gt;=Configuration!$C$44,AM63&lt;&gt;""),TRUE(),FALSE()),FALSE()))</f>
        <v>0</v>
      </c>
      <c r="BY63" s="50" t="b">
        <f aca="false">IF(Configuration!$C$12="No","",IFERROR(IF(AJ63&lt;&gt;"",TRUE(),FALSE()),FALSE()))</f>
        <v>0</v>
      </c>
      <c r="BZ63" s="50" t="b">
        <f aca="false">IF(Configuration!$C$13="No","",IFERROR(IF(AI63&lt;&gt;"",TRUE(),FALSE()),FALSE()))</f>
        <v>0</v>
      </c>
      <c r="CA63" s="50" t="b">
        <f aca="false">IF(Configuration!$C$14="No","",IFERROR(IF(AK63&lt;&gt;"",TRUE(),FALSE()),FALSE()))</f>
        <v>0</v>
      </c>
      <c r="CB63" s="50" t="b">
        <f aca="false">IF(Configuration!$C$15="No","",IFERROR(IF(AND(OR(ISNUMBER(SEARCH("process",AG63)),ISNUMBER(SEARCH("fab",AG63)),ISNUMBER(SEARCH("manufac",AG63))),AO63="Method"),TRUE(),FALSE()),FALSE()))</f>
        <v>0</v>
      </c>
      <c r="CC63" s="50" t="b">
        <f aca="false">IF(Configuration!$C$16="No","",IFERROR(IF(AND(OR(ISNUMBER(SEARCH("material",AG63)),ISNUMBER(SEARCH("chem",AG63)),ISNUMBER(SEARCH("battery",AG63)),ISNUMBER(SEARCH("electrolyte",AG63)),ISNUMBER(SEARCH("polymer",AG63))),OR(AO63="Apparatus",AO63="Method")),TRUE(),FALSE()),FALSE()))</f>
        <v>0</v>
      </c>
      <c r="CD63" s="50" t="b">
        <f aca="false">IF(Configuration!$C$17="No","",IFERROR(IF(AND(OR(AI63="App",AI63="Middleware",AI63="Cloud"),OR(AO63="Method",AO63="CRM")),TRUE(),FALSE()),FALSE()))</f>
        <v>0</v>
      </c>
      <c r="CE63" s="50" t="b">
        <f aca="false">IF(Configuration!$C$18="No","",IFERROR(IF(N(AN63)&gt;=Configuration!$C$45,TRUE(),FALSE()),FALSE()))</f>
        <v>0</v>
      </c>
      <c r="CF63" s="50" t="b">
        <f aca="false">IF(Configuration!$C$19="No","",IFERROR(IF(BE63&lt;&gt;"",TRUE(),FALSE()),FALSE()))</f>
        <v>0</v>
      </c>
      <c r="CG63" s="50" t="b">
        <f aca="false">IF(Configuration!$C$20="No","",IFERROR(IF(AO63&lt;&gt;"",TRUE(),FALSE()),FALSE()))</f>
        <v>0</v>
      </c>
      <c r="CH63" s="50" t="b">
        <f aca="false">IF(Configuration!$C$21="No","",IFERROR(IF(OR(N(AS63)&gt;=Configuration!$C$46,N(AT63)&gt;=Configuration!$C$47),TRUE(),FALSE()),FALSE()))</f>
        <v>0</v>
      </c>
      <c r="CI63" s="50" t="b">
        <f aca="false">IF(Configuration!$C$22="No","",IFERROR(IF(BB63="Yes",TRUE(),FALSE()),FALSE()))</f>
        <v>0</v>
      </c>
      <c r="CJ63" s="50" t="b">
        <f aca="false">IF(Configuration!$C$23="No","",IFERROR(IF(N(AV63)&gt;=Configuration!$C$48,TRUE(),FALSE()),FALSE()))</f>
        <v>0</v>
      </c>
      <c r="CK63" s="50" t="b">
        <f aca="false">IF(Configuration!$C$24="No","",IFERROR(IF(N(AY63)&gt;0,TRUE(),FALSE()),FALSE()))</f>
        <v>0</v>
      </c>
      <c r="CL63" s="50" t="b">
        <f aca="false">IF(Configuration!$C$25="No","",IFERROR(IF(OR(N(AP63)=3,N(AP63)&lt;=1),TRUE(),FALSE()),FALSE()))</f>
        <v>1</v>
      </c>
      <c r="CM63" s="50" t="b">
        <f aca="false">IF(Configuration!$C$26="No","",IFERROR(IF(N(BF63)&gt;=Configuration!$C$49,TRUE(),FALSE()),FALSE()))</f>
        <v>0</v>
      </c>
      <c r="CN63" s="50" t="b">
        <f aca="false">IF(Configuration!$C$27="No","",IFERROR(IF(BD63&lt;&gt;"",TRUE(),FALSE()),FALSE()))</f>
        <v>0</v>
      </c>
      <c r="CO63" s="50" t="b">
        <f aca="false">IF(Configuration!$C$28="No","",IFERROR(IF(N(AU63)&gt;=Configuration!$C$50,TRUE(),FALSE()),FALSE()))</f>
        <v>0</v>
      </c>
      <c r="CP63" s="50" t="b">
        <f aca="false">IF(Configuration!$C$29="No","",IFERROR(IF(AND(N(AR63)&gt;=Configuration!$C$51,AG63&lt;&gt;""),TRUE(),FALSE()),FALSE()))</f>
        <v>0</v>
      </c>
      <c r="CQ63" s="50" t="b">
        <f aca="false">IF(Configuration!$C$30="No","",IFERROR(IF(OR(AW63="Pending",AX63="Yes"),TRUE(),FALSE()),FALSE()))</f>
        <v>0</v>
      </c>
      <c r="CR63" s="50" t="b">
        <f aca="false">IF(Configuration!$C$31="No","",IFERROR(IF(AND(N(BG63)&gt;=Configuration!$C$52,N(AP63)&gt;=1),TRUE(),FALSE()),FALSE()))</f>
        <v>0</v>
      </c>
      <c r="CS63" s="50" t="b">
        <f aca="false">IF(Configuration!$C$32="No","",IFERROR(IF(AND(N(AR63)&gt;=1,OR(AG63&lt;&gt;"",AM63&lt;&gt;"")),TRUE(),FALSE()),FALSE()))</f>
        <v>0</v>
      </c>
      <c r="CT63" s="50" t="b">
        <f aca="false">IF(Configuration!$C$33="No","",IFERROR(IF(AG63&lt;&gt;"",TRUE(),FALSE()),FALSE()))</f>
        <v>0</v>
      </c>
      <c r="CU63" s="50" t="b">
        <f aca="false">IF(Configuration!$C$34="No","",IFERROR(IF(AX63="Yes",TRUE(),FALSE()),FALSE()))</f>
        <v>0</v>
      </c>
      <c r="CV63" s="50" t="b">
        <f aca="false">IF(Configuration!$C$35="No","",IFERROR(IF(OR(BO63="Partial",BO63="Full"),TRUE(),FALSE()),FALSE()))</f>
        <v>0</v>
      </c>
      <c r="CW63" s="50" t="b">
        <f aca="false">IF(Configuration!$C$36="No","",IFERROR(IF(BM63="Survived",TRUE(),FALSE()),FALSE()))</f>
        <v>0</v>
      </c>
      <c r="CX63" s="50" t="b">
        <f aca="false">IF(Configuration!$C$37="No","",IFERROR(IF(AND(BN63="Clean",BP63="None"),TRUE(),FALSE()),FALSE()))</f>
        <v>0</v>
      </c>
      <c r="CY63" s="50" t="b">
        <f aca="false">IF(Configuration!$C$38="No","",IFERROR(IF(N(BK63)&gt;=Configuration!$C$53,TRUE(),FALSE()),FALSE()))</f>
        <v>0</v>
      </c>
      <c r="CZ63" s="50" t="b">
        <f aca="false">IF(Configuration!$C$39="No","",IFERROR(IF(AND(N(BS63)&gt;=2,N(BF63)&gt;=2),TRUE(),FALSE()),FALSE()))</f>
        <v>0</v>
      </c>
      <c r="DA63" s="50" t="b">
        <f aca="false">IF(Configuration!$C$40="No","",IFERROR(IF(OR(N(BG63)&lt;=Configuration!$C$56,N(AY63)&lt;Configuration!$C$57,N(BH63)&lt;=Configuration!$C$58),TRUE(),FALSE()),FALSE()))</f>
        <v>1</v>
      </c>
      <c r="DB63" s="50" t="b">
        <f aca="false">IF(Configuration!$C$41="No","",IFERROR(IF(AND(N(AY63)&gt;=Configuration!$C$54,N(AY63)&lt;=Configuration!$C$55),TRUE(),FALSE()),FALSE()))</f>
        <v>0</v>
      </c>
      <c r="DC63" s="50" t="b">
        <f aca="false">IF(Configuration!$C$42="No","",IFERROR(IF(AND(AG63&lt;&gt;"",AJ63&lt;&gt;""),TRUE(),FALSE()),FALSE()))</f>
        <v>0</v>
      </c>
      <c r="DD63" s="51" t="n">
        <f aca="false">COUNTIF(BW63:DC63,TRUE())</f>
        <v>2</v>
      </c>
    </row>
    <row r="64" customFormat="false" ht="15" hidden="false" customHeight="true" outlineLevel="0" collapsed="false">
      <c r="A64" s="18" t="n">
        <v>25</v>
      </c>
      <c r="B64" s="44"/>
      <c r="C64" s="44"/>
      <c r="D64" s="44"/>
      <c r="E64" s="44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6" t="str">
        <f aca="false">IFERROR(IF(F64&lt;&gt;"",F64,""),"")</f>
        <v/>
      </c>
      <c r="AF64" s="46" t="str">
        <f aca="false">IFERROR(IF(G64&lt;&gt;"",G64,""),"")</f>
        <v/>
      </c>
      <c r="AG64" s="46" t="str">
        <f aca="false">IFERROR(IF(AA64&lt;&gt;"",AA64,IF(R64&lt;&gt;"",R64,"")),"")</f>
        <v/>
      </c>
      <c r="AH64" s="46" t="str">
        <f aca="false">IFERROR(IF(AB64&lt;&gt;"",AB64,IF(S64&lt;&gt;"",S64,"")),"")</f>
        <v/>
      </c>
      <c r="AI64" s="47"/>
      <c r="AJ64" s="47"/>
      <c r="AK64" s="47"/>
      <c r="AL64" s="47"/>
      <c r="AM64" s="47"/>
      <c r="AN64" s="47"/>
      <c r="AO64" s="47"/>
      <c r="AP64" s="47"/>
      <c r="AQ64" s="46" t="str">
        <f aca="false">IFERROR(IF(Y64&lt;&gt;"",VALUE(Y64),""),"")</f>
        <v/>
      </c>
      <c r="AR64" s="47"/>
      <c r="AS64" s="47"/>
      <c r="AT64" s="47"/>
      <c r="AU64" s="47"/>
      <c r="AV64" s="46" t="str">
        <f aca="false">IFERROR(IF(T64&lt;&gt;"",VALUE(T64),""),"")</f>
        <v/>
      </c>
      <c r="AW64" s="46" t="str">
        <f aca="false">IFERROR(IF(N64="","",IF(OR(ISNUMBER(SEARCH("grant",N64)),ISNUMBER(SEARCH("B",AC64))),"Granted",IF(OR(ISNUMBER(SEARCH("pend",N64)),ISNUMBER(SEARCH("A",AC64))),"Pending",IF(ISNUMBER(SEARCH("expir",N64)),"Expired",N64)))),"")</f>
        <v/>
      </c>
      <c r="AX64" s="47"/>
      <c r="AY64" s="46" t="str">
        <f aca="true">IFERROR(IF(M64&lt;&gt;"",ROUND(VALUE(M64),1),IF(L64&lt;&gt;"",ROUND(MAX(0,(DATEVALUE(TEXT(L64,"YYYY-MM-DD"))-TODAY())/365.25),1),"")),"")</f>
        <v/>
      </c>
      <c r="AZ64" s="46" t="str">
        <f aca="false">IFERROR(IF(O64&lt;&gt;"",O64,""),"")</f>
        <v/>
      </c>
      <c r="BA64" s="46" t="str">
        <f aca="false">IFERROR(IF(U64&lt;&gt;"",SUBSTITUTE(SUBSTITUTE(U64,"; ",", "),";",","),""),"")</f>
        <v/>
      </c>
      <c r="BB64" s="47"/>
      <c r="BC64" s="47"/>
      <c r="BD64" s="47"/>
      <c r="BE64" s="47"/>
      <c r="BF64" s="47"/>
      <c r="BG64" s="47"/>
      <c r="BH64" s="47"/>
      <c r="BI64" s="47"/>
      <c r="BJ64" s="47"/>
      <c r="BK64" s="46" t="str">
        <f aca="false">IFERROR(IF(W64&lt;&gt;"",VALUE(W64),""),"")</f>
        <v/>
      </c>
      <c r="BL64" s="46" t="str">
        <f aca="false">IFERROR(IF(X64&lt;&gt;"",VALUE(X64),""),"")</f>
        <v/>
      </c>
      <c r="BM64" s="46" t="str">
        <f aca="false">IFERROR(IF(AD64="","None",IF(ISNUMBER(SEARCH("surv",AD64)),"Survived",IF(ISNUMBER(SEARCH("pend",AD64)),"Pending",IF(ISNUMBER(SEARCH("yes",AD64)),"Pending","None")))),"None")</f>
        <v>None</v>
      </c>
      <c r="BN64" s="47"/>
      <c r="BO64" s="47"/>
      <c r="BP64" s="47"/>
      <c r="BQ64" s="47"/>
      <c r="BR64" s="47"/>
      <c r="BS64" s="47"/>
      <c r="BT64" s="47"/>
      <c r="BU64" s="48" t="n">
        <f aca="false">IFERROR(COUNTA(AE64:BT64)/42,0)</f>
        <v>0.30952380952381</v>
      </c>
      <c r="BV64" s="49"/>
      <c r="BW64" s="50" t="b">
        <f aca="false">IF(Configuration!$C$10="No","",IFERROR(IF(AG64&lt;&gt;"",TRUE(),FALSE()),FALSE()))</f>
        <v>0</v>
      </c>
      <c r="BX64" s="50" t="b">
        <f aca="false">IF(Configuration!$C$11="No","",IFERROR(IF(AND(N(AL64)&gt;=Configuration!$C$44,AM64&lt;&gt;""),TRUE(),FALSE()),FALSE()))</f>
        <v>0</v>
      </c>
      <c r="BY64" s="50" t="b">
        <f aca="false">IF(Configuration!$C$12="No","",IFERROR(IF(AJ64&lt;&gt;"",TRUE(),FALSE()),FALSE()))</f>
        <v>0</v>
      </c>
      <c r="BZ64" s="50" t="b">
        <f aca="false">IF(Configuration!$C$13="No","",IFERROR(IF(AI64&lt;&gt;"",TRUE(),FALSE()),FALSE()))</f>
        <v>0</v>
      </c>
      <c r="CA64" s="50" t="b">
        <f aca="false">IF(Configuration!$C$14="No","",IFERROR(IF(AK64&lt;&gt;"",TRUE(),FALSE()),FALSE()))</f>
        <v>0</v>
      </c>
      <c r="CB64" s="50" t="b">
        <f aca="false">IF(Configuration!$C$15="No","",IFERROR(IF(AND(OR(ISNUMBER(SEARCH("process",AG64)),ISNUMBER(SEARCH("fab",AG64)),ISNUMBER(SEARCH("manufac",AG64))),AO64="Method"),TRUE(),FALSE()),FALSE()))</f>
        <v>0</v>
      </c>
      <c r="CC64" s="50" t="b">
        <f aca="false">IF(Configuration!$C$16="No","",IFERROR(IF(AND(OR(ISNUMBER(SEARCH("material",AG64)),ISNUMBER(SEARCH("chem",AG64)),ISNUMBER(SEARCH("battery",AG64)),ISNUMBER(SEARCH("electrolyte",AG64)),ISNUMBER(SEARCH("polymer",AG64))),OR(AO64="Apparatus",AO64="Method")),TRUE(),FALSE()),FALSE()))</f>
        <v>0</v>
      </c>
      <c r="CD64" s="50" t="b">
        <f aca="false">IF(Configuration!$C$17="No","",IFERROR(IF(AND(OR(AI64="App",AI64="Middleware",AI64="Cloud"),OR(AO64="Method",AO64="CRM")),TRUE(),FALSE()),FALSE()))</f>
        <v>0</v>
      </c>
      <c r="CE64" s="50" t="b">
        <f aca="false">IF(Configuration!$C$18="No","",IFERROR(IF(N(AN64)&gt;=Configuration!$C$45,TRUE(),FALSE()),FALSE()))</f>
        <v>0</v>
      </c>
      <c r="CF64" s="50" t="b">
        <f aca="false">IF(Configuration!$C$19="No","",IFERROR(IF(BE64&lt;&gt;"",TRUE(),FALSE()),FALSE()))</f>
        <v>0</v>
      </c>
      <c r="CG64" s="50" t="b">
        <f aca="false">IF(Configuration!$C$20="No","",IFERROR(IF(AO64&lt;&gt;"",TRUE(),FALSE()),FALSE()))</f>
        <v>0</v>
      </c>
      <c r="CH64" s="50" t="b">
        <f aca="false">IF(Configuration!$C$21="No","",IFERROR(IF(OR(N(AS64)&gt;=Configuration!$C$46,N(AT64)&gt;=Configuration!$C$47),TRUE(),FALSE()),FALSE()))</f>
        <v>0</v>
      </c>
      <c r="CI64" s="50" t="b">
        <f aca="false">IF(Configuration!$C$22="No","",IFERROR(IF(BB64="Yes",TRUE(),FALSE()),FALSE()))</f>
        <v>0</v>
      </c>
      <c r="CJ64" s="50" t="b">
        <f aca="false">IF(Configuration!$C$23="No","",IFERROR(IF(N(AV64)&gt;=Configuration!$C$48,TRUE(),FALSE()),FALSE()))</f>
        <v>0</v>
      </c>
      <c r="CK64" s="50" t="b">
        <f aca="false">IF(Configuration!$C$24="No","",IFERROR(IF(N(AY64)&gt;0,TRUE(),FALSE()),FALSE()))</f>
        <v>0</v>
      </c>
      <c r="CL64" s="50" t="b">
        <f aca="false">IF(Configuration!$C$25="No","",IFERROR(IF(OR(N(AP64)=3,N(AP64)&lt;=1),TRUE(),FALSE()),FALSE()))</f>
        <v>1</v>
      </c>
      <c r="CM64" s="50" t="b">
        <f aca="false">IF(Configuration!$C$26="No","",IFERROR(IF(N(BF64)&gt;=Configuration!$C$49,TRUE(),FALSE()),FALSE()))</f>
        <v>0</v>
      </c>
      <c r="CN64" s="50" t="b">
        <f aca="false">IF(Configuration!$C$27="No","",IFERROR(IF(BD64&lt;&gt;"",TRUE(),FALSE()),FALSE()))</f>
        <v>0</v>
      </c>
      <c r="CO64" s="50" t="b">
        <f aca="false">IF(Configuration!$C$28="No","",IFERROR(IF(N(AU64)&gt;=Configuration!$C$50,TRUE(),FALSE()),FALSE()))</f>
        <v>0</v>
      </c>
      <c r="CP64" s="50" t="b">
        <f aca="false">IF(Configuration!$C$29="No","",IFERROR(IF(AND(N(AR64)&gt;=Configuration!$C$51,AG64&lt;&gt;""),TRUE(),FALSE()),FALSE()))</f>
        <v>0</v>
      </c>
      <c r="CQ64" s="50" t="b">
        <f aca="false">IF(Configuration!$C$30="No","",IFERROR(IF(OR(AW64="Pending",AX64="Yes"),TRUE(),FALSE()),FALSE()))</f>
        <v>0</v>
      </c>
      <c r="CR64" s="50" t="b">
        <f aca="false">IF(Configuration!$C$31="No","",IFERROR(IF(AND(N(BG64)&gt;=Configuration!$C$52,N(AP64)&gt;=1),TRUE(),FALSE()),FALSE()))</f>
        <v>0</v>
      </c>
      <c r="CS64" s="50" t="b">
        <f aca="false">IF(Configuration!$C$32="No","",IFERROR(IF(AND(N(AR64)&gt;=1,OR(AG64&lt;&gt;"",AM64&lt;&gt;"")),TRUE(),FALSE()),FALSE()))</f>
        <v>0</v>
      </c>
      <c r="CT64" s="50" t="b">
        <f aca="false">IF(Configuration!$C$33="No","",IFERROR(IF(AG64&lt;&gt;"",TRUE(),FALSE()),FALSE()))</f>
        <v>0</v>
      </c>
      <c r="CU64" s="50" t="b">
        <f aca="false">IF(Configuration!$C$34="No","",IFERROR(IF(AX64="Yes",TRUE(),FALSE()),FALSE()))</f>
        <v>0</v>
      </c>
      <c r="CV64" s="50" t="b">
        <f aca="false">IF(Configuration!$C$35="No","",IFERROR(IF(OR(BO64="Partial",BO64="Full"),TRUE(),FALSE()),FALSE()))</f>
        <v>0</v>
      </c>
      <c r="CW64" s="50" t="b">
        <f aca="false">IF(Configuration!$C$36="No","",IFERROR(IF(BM64="Survived",TRUE(),FALSE()),FALSE()))</f>
        <v>0</v>
      </c>
      <c r="CX64" s="50" t="b">
        <f aca="false">IF(Configuration!$C$37="No","",IFERROR(IF(AND(BN64="Clean",BP64="None"),TRUE(),FALSE()),FALSE()))</f>
        <v>0</v>
      </c>
      <c r="CY64" s="50" t="b">
        <f aca="false">IF(Configuration!$C$38="No","",IFERROR(IF(N(BK64)&gt;=Configuration!$C$53,TRUE(),FALSE()),FALSE()))</f>
        <v>0</v>
      </c>
      <c r="CZ64" s="50" t="b">
        <f aca="false">IF(Configuration!$C$39="No","",IFERROR(IF(AND(N(BS64)&gt;=2,N(BF64)&gt;=2),TRUE(),FALSE()),FALSE()))</f>
        <v>0</v>
      </c>
      <c r="DA64" s="50" t="b">
        <f aca="false">IF(Configuration!$C$40="No","",IFERROR(IF(OR(N(BG64)&lt;=Configuration!$C$56,N(AY64)&lt;Configuration!$C$57,N(BH64)&lt;=Configuration!$C$58),TRUE(),FALSE()),FALSE()))</f>
        <v>1</v>
      </c>
      <c r="DB64" s="50" t="b">
        <f aca="false">IF(Configuration!$C$41="No","",IFERROR(IF(AND(N(AY64)&gt;=Configuration!$C$54,N(AY64)&lt;=Configuration!$C$55),TRUE(),FALSE()),FALSE()))</f>
        <v>0</v>
      </c>
      <c r="DC64" s="50" t="b">
        <f aca="false">IF(Configuration!$C$42="No","",IFERROR(IF(AND(AG64&lt;&gt;"",AJ64&lt;&gt;""),TRUE(),FALSE()),FALSE()))</f>
        <v>0</v>
      </c>
      <c r="DD64" s="51" t="n">
        <f aca="false">COUNTIF(BW64:DC64,TRUE())</f>
        <v>2</v>
      </c>
    </row>
    <row r="65" customFormat="false" ht="15" hidden="false" customHeight="true" outlineLevel="0" collapsed="false">
      <c r="A65" s="18" t="n">
        <v>26</v>
      </c>
      <c r="B65" s="44"/>
      <c r="C65" s="44"/>
      <c r="D65" s="44"/>
      <c r="E65" s="44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6" t="str">
        <f aca="false">IFERROR(IF(F65&lt;&gt;"",F65,""),"")</f>
        <v/>
      </c>
      <c r="AF65" s="46" t="str">
        <f aca="false">IFERROR(IF(G65&lt;&gt;"",G65,""),"")</f>
        <v/>
      </c>
      <c r="AG65" s="46" t="str">
        <f aca="false">IFERROR(IF(AA65&lt;&gt;"",AA65,IF(R65&lt;&gt;"",R65,"")),"")</f>
        <v/>
      </c>
      <c r="AH65" s="46" t="str">
        <f aca="false">IFERROR(IF(AB65&lt;&gt;"",AB65,IF(S65&lt;&gt;"",S65,"")),"")</f>
        <v/>
      </c>
      <c r="AI65" s="47"/>
      <c r="AJ65" s="47"/>
      <c r="AK65" s="47"/>
      <c r="AL65" s="47"/>
      <c r="AM65" s="47"/>
      <c r="AN65" s="47"/>
      <c r="AO65" s="47"/>
      <c r="AP65" s="47"/>
      <c r="AQ65" s="46" t="str">
        <f aca="false">IFERROR(IF(Y65&lt;&gt;"",VALUE(Y65),""),"")</f>
        <v/>
      </c>
      <c r="AR65" s="47"/>
      <c r="AS65" s="47"/>
      <c r="AT65" s="47"/>
      <c r="AU65" s="47"/>
      <c r="AV65" s="46" t="str">
        <f aca="false">IFERROR(IF(T65&lt;&gt;"",VALUE(T65),""),"")</f>
        <v/>
      </c>
      <c r="AW65" s="46" t="str">
        <f aca="false">IFERROR(IF(N65="","",IF(OR(ISNUMBER(SEARCH("grant",N65)),ISNUMBER(SEARCH("B",AC65))),"Granted",IF(OR(ISNUMBER(SEARCH("pend",N65)),ISNUMBER(SEARCH("A",AC65))),"Pending",IF(ISNUMBER(SEARCH("expir",N65)),"Expired",N65)))),"")</f>
        <v/>
      </c>
      <c r="AX65" s="47"/>
      <c r="AY65" s="46" t="str">
        <f aca="true">IFERROR(IF(M65&lt;&gt;"",ROUND(VALUE(M65),1),IF(L65&lt;&gt;"",ROUND(MAX(0,(DATEVALUE(TEXT(L65,"YYYY-MM-DD"))-TODAY())/365.25),1),"")),"")</f>
        <v/>
      </c>
      <c r="AZ65" s="46" t="str">
        <f aca="false">IFERROR(IF(O65&lt;&gt;"",O65,""),"")</f>
        <v/>
      </c>
      <c r="BA65" s="46" t="str">
        <f aca="false">IFERROR(IF(U65&lt;&gt;"",SUBSTITUTE(SUBSTITUTE(U65,"; ",", "),";",","),""),"")</f>
        <v/>
      </c>
      <c r="BB65" s="47"/>
      <c r="BC65" s="47"/>
      <c r="BD65" s="47"/>
      <c r="BE65" s="47"/>
      <c r="BF65" s="47"/>
      <c r="BG65" s="47"/>
      <c r="BH65" s="47"/>
      <c r="BI65" s="47"/>
      <c r="BJ65" s="47"/>
      <c r="BK65" s="46" t="str">
        <f aca="false">IFERROR(IF(W65&lt;&gt;"",VALUE(W65),""),"")</f>
        <v/>
      </c>
      <c r="BL65" s="46" t="str">
        <f aca="false">IFERROR(IF(X65&lt;&gt;"",VALUE(X65),""),"")</f>
        <v/>
      </c>
      <c r="BM65" s="46" t="str">
        <f aca="false">IFERROR(IF(AD65="","None",IF(ISNUMBER(SEARCH("surv",AD65)),"Survived",IF(ISNUMBER(SEARCH("pend",AD65)),"Pending",IF(ISNUMBER(SEARCH("yes",AD65)),"Pending","None")))),"None")</f>
        <v>None</v>
      </c>
      <c r="BN65" s="47"/>
      <c r="BO65" s="47"/>
      <c r="BP65" s="47"/>
      <c r="BQ65" s="47"/>
      <c r="BR65" s="47"/>
      <c r="BS65" s="47"/>
      <c r="BT65" s="47"/>
      <c r="BU65" s="48" t="n">
        <f aca="false">IFERROR(COUNTA(AE65:BT65)/42,0)</f>
        <v>0.30952380952381</v>
      </c>
      <c r="BV65" s="49"/>
      <c r="BW65" s="50" t="b">
        <f aca="false">IF(Configuration!$C$10="No","",IFERROR(IF(AG65&lt;&gt;"",TRUE(),FALSE()),FALSE()))</f>
        <v>0</v>
      </c>
      <c r="BX65" s="50" t="b">
        <f aca="false">IF(Configuration!$C$11="No","",IFERROR(IF(AND(N(AL65)&gt;=Configuration!$C$44,AM65&lt;&gt;""),TRUE(),FALSE()),FALSE()))</f>
        <v>0</v>
      </c>
      <c r="BY65" s="50" t="b">
        <f aca="false">IF(Configuration!$C$12="No","",IFERROR(IF(AJ65&lt;&gt;"",TRUE(),FALSE()),FALSE()))</f>
        <v>0</v>
      </c>
      <c r="BZ65" s="50" t="b">
        <f aca="false">IF(Configuration!$C$13="No","",IFERROR(IF(AI65&lt;&gt;"",TRUE(),FALSE()),FALSE()))</f>
        <v>0</v>
      </c>
      <c r="CA65" s="50" t="b">
        <f aca="false">IF(Configuration!$C$14="No","",IFERROR(IF(AK65&lt;&gt;"",TRUE(),FALSE()),FALSE()))</f>
        <v>0</v>
      </c>
      <c r="CB65" s="50" t="b">
        <f aca="false">IF(Configuration!$C$15="No","",IFERROR(IF(AND(OR(ISNUMBER(SEARCH("process",AG65)),ISNUMBER(SEARCH("fab",AG65)),ISNUMBER(SEARCH("manufac",AG65))),AO65="Method"),TRUE(),FALSE()),FALSE()))</f>
        <v>0</v>
      </c>
      <c r="CC65" s="50" t="b">
        <f aca="false">IF(Configuration!$C$16="No","",IFERROR(IF(AND(OR(ISNUMBER(SEARCH("material",AG65)),ISNUMBER(SEARCH("chem",AG65)),ISNUMBER(SEARCH("battery",AG65)),ISNUMBER(SEARCH("electrolyte",AG65)),ISNUMBER(SEARCH("polymer",AG65))),OR(AO65="Apparatus",AO65="Method")),TRUE(),FALSE()),FALSE()))</f>
        <v>0</v>
      </c>
      <c r="CD65" s="50" t="b">
        <f aca="false">IF(Configuration!$C$17="No","",IFERROR(IF(AND(OR(AI65="App",AI65="Middleware",AI65="Cloud"),OR(AO65="Method",AO65="CRM")),TRUE(),FALSE()),FALSE()))</f>
        <v>0</v>
      </c>
      <c r="CE65" s="50" t="b">
        <f aca="false">IF(Configuration!$C$18="No","",IFERROR(IF(N(AN65)&gt;=Configuration!$C$45,TRUE(),FALSE()),FALSE()))</f>
        <v>0</v>
      </c>
      <c r="CF65" s="50" t="b">
        <f aca="false">IF(Configuration!$C$19="No","",IFERROR(IF(BE65&lt;&gt;"",TRUE(),FALSE()),FALSE()))</f>
        <v>0</v>
      </c>
      <c r="CG65" s="50" t="b">
        <f aca="false">IF(Configuration!$C$20="No","",IFERROR(IF(AO65&lt;&gt;"",TRUE(),FALSE()),FALSE()))</f>
        <v>0</v>
      </c>
      <c r="CH65" s="50" t="b">
        <f aca="false">IF(Configuration!$C$21="No","",IFERROR(IF(OR(N(AS65)&gt;=Configuration!$C$46,N(AT65)&gt;=Configuration!$C$47),TRUE(),FALSE()),FALSE()))</f>
        <v>0</v>
      </c>
      <c r="CI65" s="50" t="b">
        <f aca="false">IF(Configuration!$C$22="No","",IFERROR(IF(BB65="Yes",TRUE(),FALSE()),FALSE()))</f>
        <v>0</v>
      </c>
      <c r="CJ65" s="50" t="b">
        <f aca="false">IF(Configuration!$C$23="No","",IFERROR(IF(N(AV65)&gt;=Configuration!$C$48,TRUE(),FALSE()),FALSE()))</f>
        <v>0</v>
      </c>
      <c r="CK65" s="50" t="b">
        <f aca="false">IF(Configuration!$C$24="No","",IFERROR(IF(N(AY65)&gt;0,TRUE(),FALSE()),FALSE()))</f>
        <v>0</v>
      </c>
      <c r="CL65" s="50" t="b">
        <f aca="false">IF(Configuration!$C$25="No","",IFERROR(IF(OR(N(AP65)=3,N(AP65)&lt;=1),TRUE(),FALSE()),FALSE()))</f>
        <v>1</v>
      </c>
      <c r="CM65" s="50" t="b">
        <f aca="false">IF(Configuration!$C$26="No","",IFERROR(IF(N(BF65)&gt;=Configuration!$C$49,TRUE(),FALSE()),FALSE()))</f>
        <v>0</v>
      </c>
      <c r="CN65" s="50" t="b">
        <f aca="false">IF(Configuration!$C$27="No","",IFERROR(IF(BD65&lt;&gt;"",TRUE(),FALSE()),FALSE()))</f>
        <v>0</v>
      </c>
      <c r="CO65" s="50" t="b">
        <f aca="false">IF(Configuration!$C$28="No","",IFERROR(IF(N(AU65)&gt;=Configuration!$C$50,TRUE(),FALSE()),FALSE()))</f>
        <v>0</v>
      </c>
      <c r="CP65" s="50" t="b">
        <f aca="false">IF(Configuration!$C$29="No","",IFERROR(IF(AND(N(AR65)&gt;=Configuration!$C$51,AG65&lt;&gt;""),TRUE(),FALSE()),FALSE()))</f>
        <v>0</v>
      </c>
      <c r="CQ65" s="50" t="b">
        <f aca="false">IF(Configuration!$C$30="No","",IFERROR(IF(OR(AW65="Pending",AX65="Yes"),TRUE(),FALSE()),FALSE()))</f>
        <v>0</v>
      </c>
      <c r="CR65" s="50" t="b">
        <f aca="false">IF(Configuration!$C$31="No","",IFERROR(IF(AND(N(BG65)&gt;=Configuration!$C$52,N(AP65)&gt;=1),TRUE(),FALSE()),FALSE()))</f>
        <v>0</v>
      </c>
      <c r="CS65" s="50" t="b">
        <f aca="false">IF(Configuration!$C$32="No","",IFERROR(IF(AND(N(AR65)&gt;=1,OR(AG65&lt;&gt;"",AM65&lt;&gt;"")),TRUE(),FALSE()),FALSE()))</f>
        <v>0</v>
      </c>
      <c r="CT65" s="50" t="b">
        <f aca="false">IF(Configuration!$C$33="No","",IFERROR(IF(AG65&lt;&gt;"",TRUE(),FALSE()),FALSE()))</f>
        <v>0</v>
      </c>
      <c r="CU65" s="50" t="b">
        <f aca="false">IF(Configuration!$C$34="No","",IFERROR(IF(AX65="Yes",TRUE(),FALSE()),FALSE()))</f>
        <v>0</v>
      </c>
      <c r="CV65" s="50" t="b">
        <f aca="false">IF(Configuration!$C$35="No","",IFERROR(IF(OR(BO65="Partial",BO65="Full"),TRUE(),FALSE()),FALSE()))</f>
        <v>0</v>
      </c>
      <c r="CW65" s="50" t="b">
        <f aca="false">IF(Configuration!$C$36="No","",IFERROR(IF(BM65="Survived",TRUE(),FALSE()),FALSE()))</f>
        <v>0</v>
      </c>
      <c r="CX65" s="50" t="b">
        <f aca="false">IF(Configuration!$C$37="No","",IFERROR(IF(AND(BN65="Clean",BP65="None"),TRUE(),FALSE()),FALSE()))</f>
        <v>0</v>
      </c>
      <c r="CY65" s="50" t="b">
        <f aca="false">IF(Configuration!$C$38="No","",IFERROR(IF(N(BK65)&gt;=Configuration!$C$53,TRUE(),FALSE()),FALSE()))</f>
        <v>0</v>
      </c>
      <c r="CZ65" s="50" t="b">
        <f aca="false">IF(Configuration!$C$39="No","",IFERROR(IF(AND(N(BS65)&gt;=2,N(BF65)&gt;=2),TRUE(),FALSE()),FALSE()))</f>
        <v>0</v>
      </c>
      <c r="DA65" s="50" t="b">
        <f aca="false">IF(Configuration!$C$40="No","",IFERROR(IF(OR(N(BG65)&lt;=Configuration!$C$56,N(AY65)&lt;Configuration!$C$57,N(BH65)&lt;=Configuration!$C$58),TRUE(),FALSE()),FALSE()))</f>
        <v>1</v>
      </c>
      <c r="DB65" s="50" t="b">
        <f aca="false">IF(Configuration!$C$41="No","",IFERROR(IF(AND(N(AY65)&gt;=Configuration!$C$54,N(AY65)&lt;=Configuration!$C$55),TRUE(),FALSE()),FALSE()))</f>
        <v>0</v>
      </c>
      <c r="DC65" s="50" t="b">
        <f aca="false">IF(Configuration!$C$42="No","",IFERROR(IF(AND(AG65&lt;&gt;"",AJ65&lt;&gt;""),TRUE(),FALSE()),FALSE()))</f>
        <v>0</v>
      </c>
      <c r="DD65" s="51" t="n">
        <f aca="false">COUNTIF(BW65:DC65,TRUE())</f>
        <v>2</v>
      </c>
    </row>
    <row r="66" customFormat="false" ht="15" hidden="false" customHeight="true" outlineLevel="0" collapsed="false">
      <c r="A66" s="18" t="n">
        <v>27</v>
      </c>
      <c r="B66" s="44"/>
      <c r="C66" s="44"/>
      <c r="D66" s="44"/>
      <c r="E66" s="44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6" t="str">
        <f aca="false">IFERROR(IF(F66&lt;&gt;"",F66,""),"")</f>
        <v/>
      </c>
      <c r="AF66" s="46" t="str">
        <f aca="false">IFERROR(IF(G66&lt;&gt;"",G66,""),"")</f>
        <v/>
      </c>
      <c r="AG66" s="46" t="str">
        <f aca="false">IFERROR(IF(AA66&lt;&gt;"",AA66,IF(R66&lt;&gt;"",R66,"")),"")</f>
        <v/>
      </c>
      <c r="AH66" s="46" t="str">
        <f aca="false">IFERROR(IF(AB66&lt;&gt;"",AB66,IF(S66&lt;&gt;"",S66,"")),"")</f>
        <v/>
      </c>
      <c r="AI66" s="47"/>
      <c r="AJ66" s="47"/>
      <c r="AK66" s="47"/>
      <c r="AL66" s="47"/>
      <c r="AM66" s="47"/>
      <c r="AN66" s="47"/>
      <c r="AO66" s="47"/>
      <c r="AP66" s="47"/>
      <c r="AQ66" s="46" t="str">
        <f aca="false">IFERROR(IF(Y66&lt;&gt;"",VALUE(Y66),""),"")</f>
        <v/>
      </c>
      <c r="AR66" s="47"/>
      <c r="AS66" s="47"/>
      <c r="AT66" s="47"/>
      <c r="AU66" s="47"/>
      <c r="AV66" s="46" t="str">
        <f aca="false">IFERROR(IF(T66&lt;&gt;"",VALUE(T66),""),"")</f>
        <v/>
      </c>
      <c r="AW66" s="46" t="str">
        <f aca="false">IFERROR(IF(N66="","",IF(OR(ISNUMBER(SEARCH("grant",N66)),ISNUMBER(SEARCH("B",AC66))),"Granted",IF(OR(ISNUMBER(SEARCH("pend",N66)),ISNUMBER(SEARCH("A",AC66))),"Pending",IF(ISNUMBER(SEARCH("expir",N66)),"Expired",N66)))),"")</f>
        <v/>
      </c>
      <c r="AX66" s="47"/>
      <c r="AY66" s="46" t="str">
        <f aca="true">IFERROR(IF(M66&lt;&gt;"",ROUND(VALUE(M66),1),IF(L66&lt;&gt;"",ROUND(MAX(0,(DATEVALUE(TEXT(L66,"YYYY-MM-DD"))-TODAY())/365.25),1),"")),"")</f>
        <v/>
      </c>
      <c r="AZ66" s="46" t="str">
        <f aca="false">IFERROR(IF(O66&lt;&gt;"",O66,""),"")</f>
        <v/>
      </c>
      <c r="BA66" s="46" t="str">
        <f aca="false">IFERROR(IF(U66&lt;&gt;"",SUBSTITUTE(SUBSTITUTE(U66,"; ",", "),";",","),""),"")</f>
        <v/>
      </c>
      <c r="BB66" s="47"/>
      <c r="BC66" s="47"/>
      <c r="BD66" s="47"/>
      <c r="BE66" s="47"/>
      <c r="BF66" s="47"/>
      <c r="BG66" s="47"/>
      <c r="BH66" s="47"/>
      <c r="BI66" s="47"/>
      <c r="BJ66" s="47"/>
      <c r="BK66" s="46" t="str">
        <f aca="false">IFERROR(IF(W66&lt;&gt;"",VALUE(W66),""),"")</f>
        <v/>
      </c>
      <c r="BL66" s="46" t="str">
        <f aca="false">IFERROR(IF(X66&lt;&gt;"",VALUE(X66),""),"")</f>
        <v/>
      </c>
      <c r="BM66" s="46" t="str">
        <f aca="false">IFERROR(IF(AD66="","None",IF(ISNUMBER(SEARCH("surv",AD66)),"Survived",IF(ISNUMBER(SEARCH("pend",AD66)),"Pending",IF(ISNUMBER(SEARCH("yes",AD66)),"Pending","None")))),"None")</f>
        <v>None</v>
      </c>
      <c r="BN66" s="47"/>
      <c r="BO66" s="47"/>
      <c r="BP66" s="47"/>
      <c r="BQ66" s="47"/>
      <c r="BR66" s="47"/>
      <c r="BS66" s="47"/>
      <c r="BT66" s="47"/>
      <c r="BU66" s="48" t="n">
        <f aca="false">IFERROR(COUNTA(AE66:BT66)/42,0)</f>
        <v>0.30952380952381</v>
      </c>
      <c r="BV66" s="49"/>
      <c r="BW66" s="50" t="b">
        <f aca="false">IF(Configuration!$C$10="No","",IFERROR(IF(AG66&lt;&gt;"",TRUE(),FALSE()),FALSE()))</f>
        <v>0</v>
      </c>
      <c r="BX66" s="50" t="b">
        <f aca="false">IF(Configuration!$C$11="No","",IFERROR(IF(AND(N(AL66)&gt;=Configuration!$C$44,AM66&lt;&gt;""),TRUE(),FALSE()),FALSE()))</f>
        <v>0</v>
      </c>
      <c r="BY66" s="50" t="b">
        <f aca="false">IF(Configuration!$C$12="No","",IFERROR(IF(AJ66&lt;&gt;"",TRUE(),FALSE()),FALSE()))</f>
        <v>0</v>
      </c>
      <c r="BZ66" s="50" t="b">
        <f aca="false">IF(Configuration!$C$13="No","",IFERROR(IF(AI66&lt;&gt;"",TRUE(),FALSE()),FALSE()))</f>
        <v>0</v>
      </c>
      <c r="CA66" s="50" t="b">
        <f aca="false">IF(Configuration!$C$14="No","",IFERROR(IF(AK66&lt;&gt;"",TRUE(),FALSE()),FALSE()))</f>
        <v>0</v>
      </c>
      <c r="CB66" s="50" t="b">
        <f aca="false">IF(Configuration!$C$15="No","",IFERROR(IF(AND(OR(ISNUMBER(SEARCH("process",AG66)),ISNUMBER(SEARCH("fab",AG66)),ISNUMBER(SEARCH("manufac",AG66))),AO66="Method"),TRUE(),FALSE()),FALSE()))</f>
        <v>0</v>
      </c>
      <c r="CC66" s="50" t="b">
        <f aca="false">IF(Configuration!$C$16="No","",IFERROR(IF(AND(OR(ISNUMBER(SEARCH("material",AG66)),ISNUMBER(SEARCH("chem",AG66)),ISNUMBER(SEARCH("battery",AG66)),ISNUMBER(SEARCH("electrolyte",AG66)),ISNUMBER(SEARCH("polymer",AG66))),OR(AO66="Apparatus",AO66="Method")),TRUE(),FALSE()),FALSE()))</f>
        <v>0</v>
      </c>
      <c r="CD66" s="50" t="b">
        <f aca="false">IF(Configuration!$C$17="No","",IFERROR(IF(AND(OR(AI66="App",AI66="Middleware",AI66="Cloud"),OR(AO66="Method",AO66="CRM")),TRUE(),FALSE()),FALSE()))</f>
        <v>0</v>
      </c>
      <c r="CE66" s="50" t="b">
        <f aca="false">IF(Configuration!$C$18="No","",IFERROR(IF(N(AN66)&gt;=Configuration!$C$45,TRUE(),FALSE()),FALSE()))</f>
        <v>0</v>
      </c>
      <c r="CF66" s="50" t="b">
        <f aca="false">IF(Configuration!$C$19="No","",IFERROR(IF(BE66&lt;&gt;"",TRUE(),FALSE()),FALSE()))</f>
        <v>0</v>
      </c>
      <c r="CG66" s="50" t="b">
        <f aca="false">IF(Configuration!$C$20="No","",IFERROR(IF(AO66&lt;&gt;"",TRUE(),FALSE()),FALSE()))</f>
        <v>0</v>
      </c>
      <c r="CH66" s="50" t="b">
        <f aca="false">IF(Configuration!$C$21="No","",IFERROR(IF(OR(N(AS66)&gt;=Configuration!$C$46,N(AT66)&gt;=Configuration!$C$47),TRUE(),FALSE()),FALSE()))</f>
        <v>0</v>
      </c>
      <c r="CI66" s="50" t="b">
        <f aca="false">IF(Configuration!$C$22="No","",IFERROR(IF(BB66="Yes",TRUE(),FALSE()),FALSE()))</f>
        <v>0</v>
      </c>
      <c r="CJ66" s="50" t="b">
        <f aca="false">IF(Configuration!$C$23="No","",IFERROR(IF(N(AV66)&gt;=Configuration!$C$48,TRUE(),FALSE()),FALSE()))</f>
        <v>0</v>
      </c>
      <c r="CK66" s="50" t="b">
        <f aca="false">IF(Configuration!$C$24="No","",IFERROR(IF(N(AY66)&gt;0,TRUE(),FALSE()),FALSE()))</f>
        <v>0</v>
      </c>
      <c r="CL66" s="50" t="b">
        <f aca="false">IF(Configuration!$C$25="No","",IFERROR(IF(OR(N(AP66)=3,N(AP66)&lt;=1),TRUE(),FALSE()),FALSE()))</f>
        <v>1</v>
      </c>
      <c r="CM66" s="50" t="b">
        <f aca="false">IF(Configuration!$C$26="No","",IFERROR(IF(N(BF66)&gt;=Configuration!$C$49,TRUE(),FALSE()),FALSE()))</f>
        <v>0</v>
      </c>
      <c r="CN66" s="50" t="b">
        <f aca="false">IF(Configuration!$C$27="No","",IFERROR(IF(BD66&lt;&gt;"",TRUE(),FALSE()),FALSE()))</f>
        <v>0</v>
      </c>
      <c r="CO66" s="50" t="b">
        <f aca="false">IF(Configuration!$C$28="No","",IFERROR(IF(N(AU66)&gt;=Configuration!$C$50,TRUE(),FALSE()),FALSE()))</f>
        <v>0</v>
      </c>
      <c r="CP66" s="50" t="b">
        <f aca="false">IF(Configuration!$C$29="No","",IFERROR(IF(AND(N(AR66)&gt;=Configuration!$C$51,AG66&lt;&gt;""),TRUE(),FALSE()),FALSE()))</f>
        <v>0</v>
      </c>
      <c r="CQ66" s="50" t="b">
        <f aca="false">IF(Configuration!$C$30="No","",IFERROR(IF(OR(AW66="Pending",AX66="Yes"),TRUE(),FALSE()),FALSE()))</f>
        <v>0</v>
      </c>
      <c r="CR66" s="50" t="b">
        <f aca="false">IF(Configuration!$C$31="No","",IFERROR(IF(AND(N(BG66)&gt;=Configuration!$C$52,N(AP66)&gt;=1),TRUE(),FALSE()),FALSE()))</f>
        <v>0</v>
      </c>
      <c r="CS66" s="50" t="b">
        <f aca="false">IF(Configuration!$C$32="No","",IFERROR(IF(AND(N(AR66)&gt;=1,OR(AG66&lt;&gt;"",AM66&lt;&gt;"")),TRUE(),FALSE()),FALSE()))</f>
        <v>0</v>
      </c>
      <c r="CT66" s="50" t="b">
        <f aca="false">IF(Configuration!$C$33="No","",IFERROR(IF(AG66&lt;&gt;"",TRUE(),FALSE()),FALSE()))</f>
        <v>0</v>
      </c>
      <c r="CU66" s="50" t="b">
        <f aca="false">IF(Configuration!$C$34="No","",IFERROR(IF(AX66="Yes",TRUE(),FALSE()),FALSE()))</f>
        <v>0</v>
      </c>
      <c r="CV66" s="50" t="b">
        <f aca="false">IF(Configuration!$C$35="No","",IFERROR(IF(OR(BO66="Partial",BO66="Full"),TRUE(),FALSE()),FALSE()))</f>
        <v>0</v>
      </c>
      <c r="CW66" s="50" t="b">
        <f aca="false">IF(Configuration!$C$36="No","",IFERROR(IF(BM66="Survived",TRUE(),FALSE()),FALSE()))</f>
        <v>0</v>
      </c>
      <c r="CX66" s="50" t="b">
        <f aca="false">IF(Configuration!$C$37="No","",IFERROR(IF(AND(BN66="Clean",BP66="None"),TRUE(),FALSE()),FALSE()))</f>
        <v>0</v>
      </c>
      <c r="CY66" s="50" t="b">
        <f aca="false">IF(Configuration!$C$38="No","",IFERROR(IF(N(BK66)&gt;=Configuration!$C$53,TRUE(),FALSE()),FALSE()))</f>
        <v>0</v>
      </c>
      <c r="CZ66" s="50" t="b">
        <f aca="false">IF(Configuration!$C$39="No","",IFERROR(IF(AND(N(BS66)&gt;=2,N(BF66)&gt;=2),TRUE(),FALSE()),FALSE()))</f>
        <v>0</v>
      </c>
      <c r="DA66" s="50" t="b">
        <f aca="false">IF(Configuration!$C$40="No","",IFERROR(IF(OR(N(BG66)&lt;=Configuration!$C$56,N(AY66)&lt;Configuration!$C$57,N(BH66)&lt;=Configuration!$C$58),TRUE(),FALSE()),FALSE()))</f>
        <v>1</v>
      </c>
      <c r="DB66" s="50" t="b">
        <f aca="false">IF(Configuration!$C$41="No","",IFERROR(IF(AND(N(AY66)&gt;=Configuration!$C$54,N(AY66)&lt;=Configuration!$C$55),TRUE(),FALSE()),FALSE()))</f>
        <v>0</v>
      </c>
      <c r="DC66" s="50" t="b">
        <f aca="false">IF(Configuration!$C$42="No","",IFERROR(IF(AND(AG66&lt;&gt;"",AJ66&lt;&gt;""),TRUE(),FALSE()),FALSE()))</f>
        <v>0</v>
      </c>
      <c r="DD66" s="51" t="n">
        <f aca="false">COUNTIF(BW66:DC66,TRUE())</f>
        <v>2</v>
      </c>
    </row>
    <row r="67" customFormat="false" ht="15" hidden="false" customHeight="true" outlineLevel="0" collapsed="false">
      <c r="A67" s="18" t="n">
        <v>28</v>
      </c>
      <c r="B67" s="44"/>
      <c r="C67" s="44"/>
      <c r="D67" s="44"/>
      <c r="E67" s="44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6" t="str">
        <f aca="false">IFERROR(IF(F67&lt;&gt;"",F67,""),"")</f>
        <v/>
      </c>
      <c r="AF67" s="46" t="str">
        <f aca="false">IFERROR(IF(G67&lt;&gt;"",G67,""),"")</f>
        <v/>
      </c>
      <c r="AG67" s="46" t="str">
        <f aca="false">IFERROR(IF(AA67&lt;&gt;"",AA67,IF(R67&lt;&gt;"",R67,"")),"")</f>
        <v/>
      </c>
      <c r="AH67" s="46" t="str">
        <f aca="false">IFERROR(IF(AB67&lt;&gt;"",AB67,IF(S67&lt;&gt;"",S67,"")),"")</f>
        <v/>
      </c>
      <c r="AI67" s="47"/>
      <c r="AJ67" s="47"/>
      <c r="AK67" s="47"/>
      <c r="AL67" s="47"/>
      <c r="AM67" s="47"/>
      <c r="AN67" s="47"/>
      <c r="AO67" s="47"/>
      <c r="AP67" s="47"/>
      <c r="AQ67" s="46" t="str">
        <f aca="false">IFERROR(IF(Y67&lt;&gt;"",VALUE(Y67),""),"")</f>
        <v/>
      </c>
      <c r="AR67" s="47"/>
      <c r="AS67" s="47"/>
      <c r="AT67" s="47"/>
      <c r="AU67" s="47"/>
      <c r="AV67" s="46" t="str">
        <f aca="false">IFERROR(IF(T67&lt;&gt;"",VALUE(T67),""),"")</f>
        <v/>
      </c>
      <c r="AW67" s="46" t="str">
        <f aca="false">IFERROR(IF(N67="","",IF(OR(ISNUMBER(SEARCH("grant",N67)),ISNUMBER(SEARCH("B",AC67))),"Granted",IF(OR(ISNUMBER(SEARCH("pend",N67)),ISNUMBER(SEARCH("A",AC67))),"Pending",IF(ISNUMBER(SEARCH("expir",N67)),"Expired",N67)))),"")</f>
        <v/>
      </c>
      <c r="AX67" s="47"/>
      <c r="AY67" s="46" t="str">
        <f aca="true">IFERROR(IF(M67&lt;&gt;"",ROUND(VALUE(M67),1),IF(L67&lt;&gt;"",ROUND(MAX(0,(DATEVALUE(TEXT(L67,"YYYY-MM-DD"))-TODAY())/365.25),1),"")),"")</f>
        <v/>
      </c>
      <c r="AZ67" s="46" t="str">
        <f aca="false">IFERROR(IF(O67&lt;&gt;"",O67,""),"")</f>
        <v/>
      </c>
      <c r="BA67" s="46" t="str">
        <f aca="false">IFERROR(IF(U67&lt;&gt;"",SUBSTITUTE(SUBSTITUTE(U67,"; ",", "),";",","),""),"")</f>
        <v/>
      </c>
      <c r="BB67" s="47"/>
      <c r="BC67" s="47"/>
      <c r="BD67" s="47"/>
      <c r="BE67" s="47"/>
      <c r="BF67" s="47"/>
      <c r="BG67" s="47"/>
      <c r="BH67" s="47"/>
      <c r="BI67" s="47"/>
      <c r="BJ67" s="47"/>
      <c r="BK67" s="46" t="str">
        <f aca="false">IFERROR(IF(W67&lt;&gt;"",VALUE(W67),""),"")</f>
        <v/>
      </c>
      <c r="BL67" s="46" t="str">
        <f aca="false">IFERROR(IF(X67&lt;&gt;"",VALUE(X67),""),"")</f>
        <v/>
      </c>
      <c r="BM67" s="46" t="str">
        <f aca="false">IFERROR(IF(AD67="","None",IF(ISNUMBER(SEARCH("surv",AD67)),"Survived",IF(ISNUMBER(SEARCH("pend",AD67)),"Pending",IF(ISNUMBER(SEARCH("yes",AD67)),"Pending","None")))),"None")</f>
        <v>None</v>
      </c>
      <c r="BN67" s="47"/>
      <c r="BO67" s="47"/>
      <c r="BP67" s="47"/>
      <c r="BQ67" s="47"/>
      <c r="BR67" s="47"/>
      <c r="BS67" s="47"/>
      <c r="BT67" s="47"/>
      <c r="BU67" s="48" t="n">
        <f aca="false">IFERROR(COUNTA(AE67:BT67)/42,0)</f>
        <v>0.30952380952381</v>
      </c>
      <c r="BV67" s="49"/>
      <c r="BW67" s="50" t="b">
        <f aca="false">IF(Configuration!$C$10="No","",IFERROR(IF(AG67&lt;&gt;"",TRUE(),FALSE()),FALSE()))</f>
        <v>0</v>
      </c>
      <c r="BX67" s="50" t="b">
        <f aca="false">IF(Configuration!$C$11="No","",IFERROR(IF(AND(N(AL67)&gt;=Configuration!$C$44,AM67&lt;&gt;""),TRUE(),FALSE()),FALSE()))</f>
        <v>0</v>
      </c>
      <c r="BY67" s="50" t="b">
        <f aca="false">IF(Configuration!$C$12="No","",IFERROR(IF(AJ67&lt;&gt;"",TRUE(),FALSE()),FALSE()))</f>
        <v>0</v>
      </c>
      <c r="BZ67" s="50" t="b">
        <f aca="false">IF(Configuration!$C$13="No","",IFERROR(IF(AI67&lt;&gt;"",TRUE(),FALSE()),FALSE()))</f>
        <v>0</v>
      </c>
      <c r="CA67" s="50" t="b">
        <f aca="false">IF(Configuration!$C$14="No","",IFERROR(IF(AK67&lt;&gt;"",TRUE(),FALSE()),FALSE()))</f>
        <v>0</v>
      </c>
      <c r="CB67" s="50" t="b">
        <f aca="false">IF(Configuration!$C$15="No","",IFERROR(IF(AND(OR(ISNUMBER(SEARCH("process",AG67)),ISNUMBER(SEARCH("fab",AG67)),ISNUMBER(SEARCH("manufac",AG67))),AO67="Method"),TRUE(),FALSE()),FALSE()))</f>
        <v>0</v>
      </c>
      <c r="CC67" s="50" t="b">
        <f aca="false">IF(Configuration!$C$16="No","",IFERROR(IF(AND(OR(ISNUMBER(SEARCH("material",AG67)),ISNUMBER(SEARCH("chem",AG67)),ISNUMBER(SEARCH("battery",AG67)),ISNUMBER(SEARCH("electrolyte",AG67)),ISNUMBER(SEARCH("polymer",AG67))),OR(AO67="Apparatus",AO67="Method")),TRUE(),FALSE()),FALSE()))</f>
        <v>0</v>
      </c>
      <c r="CD67" s="50" t="b">
        <f aca="false">IF(Configuration!$C$17="No","",IFERROR(IF(AND(OR(AI67="App",AI67="Middleware",AI67="Cloud"),OR(AO67="Method",AO67="CRM")),TRUE(),FALSE()),FALSE()))</f>
        <v>0</v>
      </c>
      <c r="CE67" s="50" t="b">
        <f aca="false">IF(Configuration!$C$18="No","",IFERROR(IF(N(AN67)&gt;=Configuration!$C$45,TRUE(),FALSE()),FALSE()))</f>
        <v>0</v>
      </c>
      <c r="CF67" s="50" t="b">
        <f aca="false">IF(Configuration!$C$19="No","",IFERROR(IF(BE67&lt;&gt;"",TRUE(),FALSE()),FALSE()))</f>
        <v>0</v>
      </c>
      <c r="CG67" s="50" t="b">
        <f aca="false">IF(Configuration!$C$20="No","",IFERROR(IF(AO67&lt;&gt;"",TRUE(),FALSE()),FALSE()))</f>
        <v>0</v>
      </c>
      <c r="CH67" s="50" t="b">
        <f aca="false">IF(Configuration!$C$21="No","",IFERROR(IF(OR(N(AS67)&gt;=Configuration!$C$46,N(AT67)&gt;=Configuration!$C$47),TRUE(),FALSE()),FALSE()))</f>
        <v>0</v>
      </c>
      <c r="CI67" s="50" t="b">
        <f aca="false">IF(Configuration!$C$22="No","",IFERROR(IF(BB67="Yes",TRUE(),FALSE()),FALSE()))</f>
        <v>0</v>
      </c>
      <c r="CJ67" s="50" t="b">
        <f aca="false">IF(Configuration!$C$23="No","",IFERROR(IF(N(AV67)&gt;=Configuration!$C$48,TRUE(),FALSE()),FALSE()))</f>
        <v>0</v>
      </c>
      <c r="CK67" s="50" t="b">
        <f aca="false">IF(Configuration!$C$24="No","",IFERROR(IF(N(AY67)&gt;0,TRUE(),FALSE()),FALSE()))</f>
        <v>0</v>
      </c>
      <c r="CL67" s="50" t="b">
        <f aca="false">IF(Configuration!$C$25="No","",IFERROR(IF(OR(N(AP67)=3,N(AP67)&lt;=1),TRUE(),FALSE()),FALSE()))</f>
        <v>1</v>
      </c>
      <c r="CM67" s="50" t="b">
        <f aca="false">IF(Configuration!$C$26="No","",IFERROR(IF(N(BF67)&gt;=Configuration!$C$49,TRUE(),FALSE()),FALSE()))</f>
        <v>0</v>
      </c>
      <c r="CN67" s="50" t="b">
        <f aca="false">IF(Configuration!$C$27="No","",IFERROR(IF(BD67&lt;&gt;"",TRUE(),FALSE()),FALSE()))</f>
        <v>0</v>
      </c>
      <c r="CO67" s="50" t="b">
        <f aca="false">IF(Configuration!$C$28="No","",IFERROR(IF(N(AU67)&gt;=Configuration!$C$50,TRUE(),FALSE()),FALSE()))</f>
        <v>0</v>
      </c>
      <c r="CP67" s="50" t="b">
        <f aca="false">IF(Configuration!$C$29="No","",IFERROR(IF(AND(N(AR67)&gt;=Configuration!$C$51,AG67&lt;&gt;""),TRUE(),FALSE()),FALSE()))</f>
        <v>0</v>
      </c>
      <c r="CQ67" s="50" t="b">
        <f aca="false">IF(Configuration!$C$30="No","",IFERROR(IF(OR(AW67="Pending",AX67="Yes"),TRUE(),FALSE()),FALSE()))</f>
        <v>0</v>
      </c>
      <c r="CR67" s="50" t="b">
        <f aca="false">IF(Configuration!$C$31="No","",IFERROR(IF(AND(N(BG67)&gt;=Configuration!$C$52,N(AP67)&gt;=1),TRUE(),FALSE()),FALSE()))</f>
        <v>0</v>
      </c>
      <c r="CS67" s="50" t="b">
        <f aca="false">IF(Configuration!$C$32="No","",IFERROR(IF(AND(N(AR67)&gt;=1,OR(AG67&lt;&gt;"",AM67&lt;&gt;"")),TRUE(),FALSE()),FALSE()))</f>
        <v>0</v>
      </c>
      <c r="CT67" s="50" t="b">
        <f aca="false">IF(Configuration!$C$33="No","",IFERROR(IF(AG67&lt;&gt;"",TRUE(),FALSE()),FALSE()))</f>
        <v>0</v>
      </c>
      <c r="CU67" s="50" t="b">
        <f aca="false">IF(Configuration!$C$34="No","",IFERROR(IF(AX67="Yes",TRUE(),FALSE()),FALSE()))</f>
        <v>0</v>
      </c>
      <c r="CV67" s="50" t="b">
        <f aca="false">IF(Configuration!$C$35="No","",IFERROR(IF(OR(BO67="Partial",BO67="Full"),TRUE(),FALSE()),FALSE()))</f>
        <v>0</v>
      </c>
      <c r="CW67" s="50" t="b">
        <f aca="false">IF(Configuration!$C$36="No","",IFERROR(IF(BM67="Survived",TRUE(),FALSE()),FALSE()))</f>
        <v>0</v>
      </c>
      <c r="CX67" s="50" t="b">
        <f aca="false">IF(Configuration!$C$37="No","",IFERROR(IF(AND(BN67="Clean",BP67="None"),TRUE(),FALSE()),FALSE()))</f>
        <v>0</v>
      </c>
      <c r="CY67" s="50" t="b">
        <f aca="false">IF(Configuration!$C$38="No","",IFERROR(IF(N(BK67)&gt;=Configuration!$C$53,TRUE(),FALSE()),FALSE()))</f>
        <v>0</v>
      </c>
      <c r="CZ67" s="50" t="b">
        <f aca="false">IF(Configuration!$C$39="No","",IFERROR(IF(AND(N(BS67)&gt;=2,N(BF67)&gt;=2),TRUE(),FALSE()),FALSE()))</f>
        <v>0</v>
      </c>
      <c r="DA67" s="50" t="b">
        <f aca="false">IF(Configuration!$C$40="No","",IFERROR(IF(OR(N(BG67)&lt;=Configuration!$C$56,N(AY67)&lt;Configuration!$C$57,N(BH67)&lt;=Configuration!$C$58),TRUE(),FALSE()),FALSE()))</f>
        <v>1</v>
      </c>
      <c r="DB67" s="50" t="b">
        <f aca="false">IF(Configuration!$C$41="No","",IFERROR(IF(AND(N(AY67)&gt;=Configuration!$C$54,N(AY67)&lt;=Configuration!$C$55),TRUE(),FALSE()),FALSE()))</f>
        <v>0</v>
      </c>
      <c r="DC67" s="50" t="b">
        <f aca="false">IF(Configuration!$C$42="No","",IFERROR(IF(AND(AG67&lt;&gt;"",AJ67&lt;&gt;""),TRUE(),FALSE()),FALSE()))</f>
        <v>0</v>
      </c>
      <c r="DD67" s="51" t="n">
        <f aca="false">COUNTIF(BW67:DC67,TRUE())</f>
        <v>2</v>
      </c>
    </row>
    <row r="68" customFormat="false" ht="15" hidden="false" customHeight="true" outlineLevel="0" collapsed="false">
      <c r="A68" s="18" t="n">
        <v>29</v>
      </c>
      <c r="B68" s="44"/>
      <c r="C68" s="44"/>
      <c r="D68" s="44"/>
      <c r="E68" s="44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6" t="str">
        <f aca="false">IFERROR(IF(F68&lt;&gt;"",F68,""),"")</f>
        <v/>
      </c>
      <c r="AF68" s="46" t="str">
        <f aca="false">IFERROR(IF(G68&lt;&gt;"",G68,""),"")</f>
        <v/>
      </c>
      <c r="AG68" s="46" t="str">
        <f aca="false">IFERROR(IF(AA68&lt;&gt;"",AA68,IF(R68&lt;&gt;"",R68,"")),"")</f>
        <v/>
      </c>
      <c r="AH68" s="46" t="str">
        <f aca="false">IFERROR(IF(AB68&lt;&gt;"",AB68,IF(S68&lt;&gt;"",S68,"")),"")</f>
        <v/>
      </c>
      <c r="AI68" s="47"/>
      <c r="AJ68" s="47"/>
      <c r="AK68" s="47"/>
      <c r="AL68" s="47"/>
      <c r="AM68" s="47"/>
      <c r="AN68" s="47"/>
      <c r="AO68" s="47"/>
      <c r="AP68" s="47"/>
      <c r="AQ68" s="46" t="str">
        <f aca="false">IFERROR(IF(Y68&lt;&gt;"",VALUE(Y68),""),"")</f>
        <v/>
      </c>
      <c r="AR68" s="47"/>
      <c r="AS68" s="47"/>
      <c r="AT68" s="47"/>
      <c r="AU68" s="47"/>
      <c r="AV68" s="46" t="str">
        <f aca="false">IFERROR(IF(T68&lt;&gt;"",VALUE(T68),""),"")</f>
        <v/>
      </c>
      <c r="AW68" s="46" t="str">
        <f aca="false">IFERROR(IF(N68="","",IF(OR(ISNUMBER(SEARCH("grant",N68)),ISNUMBER(SEARCH("B",AC68))),"Granted",IF(OR(ISNUMBER(SEARCH("pend",N68)),ISNUMBER(SEARCH("A",AC68))),"Pending",IF(ISNUMBER(SEARCH("expir",N68)),"Expired",N68)))),"")</f>
        <v/>
      </c>
      <c r="AX68" s="47"/>
      <c r="AY68" s="46" t="str">
        <f aca="true">IFERROR(IF(M68&lt;&gt;"",ROUND(VALUE(M68),1),IF(L68&lt;&gt;"",ROUND(MAX(0,(DATEVALUE(TEXT(L68,"YYYY-MM-DD"))-TODAY())/365.25),1),"")),"")</f>
        <v/>
      </c>
      <c r="AZ68" s="46" t="str">
        <f aca="false">IFERROR(IF(O68&lt;&gt;"",O68,""),"")</f>
        <v/>
      </c>
      <c r="BA68" s="46" t="str">
        <f aca="false">IFERROR(IF(U68&lt;&gt;"",SUBSTITUTE(SUBSTITUTE(U68,"; ",", "),";",","),""),"")</f>
        <v/>
      </c>
      <c r="BB68" s="47"/>
      <c r="BC68" s="47"/>
      <c r="BD68" s="47"/>
      <c r="BE68" s="47"/>
      <c r="BF68" s="47"/>
      <c r="BG68" s="47"/>
      <c r="BH68" s="47"/>
      <c r="BI68" s="47"/>
      <c r="BJ68" s="47"/>
      <c r="BK68" s="46" t="str">
        <f aca="false">IFERROR(IF(W68&lt;&gt;"",VALUE(W68),""),"")</f>
        <v/>
      </c>
      <c r="BL68" s="46" t="str">
        <f aca="false">IFERROR(IF(X68&lt;&gt;"",VALUE(X68),""),"")</f>
        <v/>
      </c>
      <c r="BM68" s="46" t="str">
        <f aca="false">IFERROR(IF(AD68="","None",IF(ISNUMBER(SEARCH("surv",AD68)),"Survived",IF(ISNUMBER(SEARCH("pend",AD68)),"Pending",IF(ISNUMBER(SEARCH("yes",AD68)),"Pending","None")))),"None")</f>
        <v>None</v>
      </c>
      <c r="BN68" s="47"/>
      <c r="BO68" s="47"/>
      <c r="BP68" s="47"/>
      <c r="BQ68" s="47"/>
      <c r="BR68" s="47"/>
      <c r="BS68" s="47"/>
      <c r="BT68" s="47"/>
      <c r="BU68" s="48" t="n">
        <f aca="false">IFERROR(COUNTA(AE68:BT68)/42,0)</f>
        <v>0.30952380952381</v>
      </c>
      <c r="BV68" s="49"/>
      <c r="BW68" s="50" t="b">
        <f aca="false">IF(Configuration!$C$10="No","",IFERROR(IF(AG68&lt;&gt;"",TRUE(),FALSE()),FALSE()))</f>
        <v>0</v>
      </c>
      <c r="BX68" s="50" t="b">
        <f aca="false">IF(Configuration!$C$11="No","",IFERROR(IF(AND(N(AL68)&gt;=Configuration!$C$44,AM68&lt;&gt;""),TRUE(),FALSE()),FALSE()))</f>
        <v>0</v>
      </c>
      <c r="BY68" s="50" t="b">
        <f aca="false">IF(Configuration!$C$12="No","",IFERROR(IF(AJ68&lt;&gt;"",TRUE(),FALSE()),FALSE()))</f>
        <v>0</v>
      </c>
      <c r="BZ68" s="50" t="b">
        <f aca="false">IF(Configuration!$C$13="No","",IFERROR(IF(AI68&lt;&gt;"",TRUE(),FALSE()),FALSE()))</f>
        <v>0</v>
      </c>
      <c r="CA68" s="50" t="b">
        <f aca="false">IF(Configuration!$C$14="No","",IFERROR(IF(AK68&lt;&gt;"",TRUE(),FALSE()),FALSE()))</f>
        <v>0</v>
      </c>
      <c r="CB68" s="50" t="b">
        <f aca="false">IF(Configuration!$C$15="No","",IFERROR(IF(AND(OR(ISNUMBER(SEARCH("process",AG68)),ISNUMBER(SEARCH("fab",AG68)),ISNUMBER(SEARCH("manufac",AG68))),AO68="Method"),TRUE(),FALSE()),FALSE()))</f>
        <v>0</v>
      </c>
      <c r="CC68" s="50" t="b">
        <f aca="false">IF(Configuration!$C$16="No","",IFERROR(IF(AND(OR(ISNUMBER(SEARCH("material",AG68)),ISNUMBER(SEARCH("chem",AG68)),ISNUMBER(SEARCH("battery",AG68)),ISNUMBER(SEARCH("electrolyte",AG68)),ISNUMBER(SEARCH("polymer",AG68))),OR(AO68="Apparatus",AO68="Method")),TRUE(),FALSE()),FALSE()))</f>
        <v>0</v>
      </c>
      <c r="CD68" s="50" t="b">
        <f aca="false">IF(Configuration!$C$17="No","",IFERROR(IF(AND(OR(AI68="App",AI68="Middleware",AI68="Cloud"),OR(AO68="Method",AO68="CRM")),TRUE(),FALSE()),FALSE()))</f>
        <v>0</v>
      </c>
      <c r="CE68" s="50" t="b">
        <f aca="false">IF(Configuration!$C$18="No","",IFERROR(IF(N(AN68)&gt;=Configuration!$C$45,TRUE(),FALSE()),FALSE()))</f>
        <v>0</v>
      </c>
      <c r="CF68" s="50" t="b">
        <f aca="false">IF(Configuration!$C$19="No","",IFERROR(IF(BE68&lt;&gt;"",TRUE(),FALSE()),FALSE()))</f>
        <v>0</v>
      </c>
      <c r="CG68" s="50" t="b">
        <f aca="false">IF(Configuration!$C$20="No","",IFERROR(IF(AO68&lt;&gt;"",TRUE(),FALSE()),FALSE()))</f>
        <v>0</v>
      </c>
      <c r="CH68" s="50" t="b">
        <f aca="false">IF(Configuration!$C$21="No","",IFERROR(IF(OR(N(AS68)&gt;=Configuration!$C$46,N(AT68)&gt;=Configuration!$C$47),TRUE(),FALSE()),FALSE()))</f>
        <v>0</v>
      </c>
      <c r="CI68" s="50" t="b">
        <f aca="false">IF(Configuration!$C$22="No","",IFERROR(IF(BB68="Yes",TRUE(),FALSE()),FALSE()))</f>
        <v>0</v>
      </c>
      <c r="CJ68" s="50" t="b">
        <f aca="false">IF(Configuration!$C$23="No","",IFERROR(IF(N(AV68)&gt;=Configuration!$C$48,TRUE(),FALSE()),FALSE()))</f>
        <v>0</v>
      </c>
      <c r="CK68" s="50" t="b">
        <f aca="false">IF(Configuration!$C$24="No","",IFERROR(IF(N(AY68)&gt;0,TRUE(),FALSE()),FALSE()))</f>
        <v>0</v>
      </c>
      <c r="CL68" s="50" t="b">
        <f aca="false">IF(Configuration!$C$25="No","",IFERROR(IF(OR(N(AP68)=3,N(AP68)&lt;=1),TRUE(),FALSE()),FALSE()))</f>
        <v>1</v>
      </c>
      <c r="CM68" s="50" t="b">
        <f aca="false">IF(Configuration!$C$26="No","",IFERROR(IF(N(BF68)&gt;=Configuration!$C$49,TRUE(),FALSE()),FALSE()))</f>
        <v>0</v>
      </c>
      <c r="CN68" s="50" t="b">
        <f aca="false">IF(Configuration!$C$27="No","",IFERROR(IF(BD68&lt;&gt;"",TRUE(),FALSE()),FALSE()))</f>
        <v>0</v>
      </c>
      <c r="CO68" s="50" t="b">
        <f aca="false">IF(Configuration!$C$28="No","",IFERROR(IF(N(AU68)&gt;=Configuration!$C$50,TRUE(),FALSE()),FALSE()))</f>
        <v>0</v>
      </c>
      <c r="CP68" s="50" t="b">
        <f aca="false">IF(Configuration!$C$29="No","",IFERROR(IF(AND(N(AR68)&gt;=Configuration!$C$51,AG68&lt;&gt;""),TRUE(),FALSE()),FALSE()))</f>
        <v>0</v>
      </c>
      <c r="CQ68" s="50" t="b">
        <f aca="false">IF(Configuration!$C$30="No","",IFERROR(IF(OR(AW68="Pending",AX68="Yes"),TRUE(),FALSE()),FALSE()))</f>
        <v>0</v>
      </c>
      <c r="CR68" s="50" t="b">
        <f aca="false">IF(Configuration!$C$31="No","",IFERROR(IF(AND(N(BG68)&gt;=Configuration!$C$52,N(AP68)&gt;=1),TRUE(),FALSE()),FALSE()))</f>
        <v>0</v>
      </c>
      <c r="CS68" s="50" t="b">
        <f aca="false">IF(Configuration!$C$32="No","",IFERROR(IF(AND(N(AR68)&gt;=1,OR(AG68&lt;&gt;"",AM68&lt;&gt;"")),TRUE(),FALSE()),FALSE()))</f>
        <v>0</v>
      </c>
      <c r="CT68" s="50" t="b">
        <f aca="false">IF(Configuration!$C$33="No","",IFERROR(IF(AG68&lt;&gt;"",TRUE(),FALSE()),FALSE()))</f>
        <v>0</v>
      </c>
      <c r="CU68" s="50" t="b">
        <f aca="false">IF(Configuration!$C$34="No","",IFERROR(IF(AX68="Yes",TRUE(),FALSE()),FALSE()))</f>
        <v>0</v>
      </c>
      <c r="CV68" s="50" t="b">
        <f aca="false">IF(Configuration!$C$35="No","",IFERROR(IF(OR(BO68="Partial",BO68="Full"),TRUE(),FALSE()),FALSE()))</f>
        <v>0</v>
      </c>
      <c r="CW68" s="50" t="b">
        <f aca="false">IF(Configuration!$C$36="No","",IFERROR(IF(BM68="Survived",TRUE(),FALSE()),FALSE()))</f>
        <v>0</v>
      </c>
      <c r="CX68" s="50" t="b">
        <f aca="false">IF(Configuration!$C$37="No","",IFERROR(IF(AND(BN68="Clean",BP68="None"),TRUE(),FALSE()),FALSE()))</f>
        <v>0</v>
      </c>
      <c r="CY68" s="50" t="b">
        <f aca="false">IF(Configuration!$C$38="No","",IFERROR(IF(N(BK68)&gt;=Configuration!$C$53,TRUE(),FALSE()),FALSE()))</f>
        <v>0</v>
      </c>
      <c r="CZ68" s="50" t="b">
        <f aca="false">IF(Configuration!$C$39="No","",IFERROR(IF(AND(N(BS68)&gt;=2,N(BF68)&gt;=2),TRUE(),FALSE()),FALSE()))</f>
        <v>0</v>
      </c>
      <c r="DA68" s="50" t="b">
        <f aca="false">IF(Configuration!$C$40="No","",IFERROR(IF(OR(N(BG68)&lt;=Configuration!$C$56,N(AY68)&lt;Configuration!$C$57,N(BH68)&lt;=Configuration!$C$58),TRUE(),FALSE()),FALSE()))</f>
        <v>1</v>
      </c>
      <c r="DB68" s="50" t="b">
        <f aca="false">IF(Configuration!$C$41="No","",IFERROR(IF(AND(N(AY68)&gt;=Configuration!$C$54,N(AY68)&lt;=Configuration!$C$55),TRUE(),FALSE()),FALSE()))</f>
        <v>0</v>
      </c>
      <c r="DC68" s="50" t="b">
        <f aca="false">IF(Configuration!$C$42="No","",IFERROR(IF(AND(AG68&lt;&gt;"",AJ68&lt;&gt;""),TRUE(),FALSE()),FALSE()))</f>
        <v>0</v>
      </c>
      <c r="DD68" s="51" t="n">
        <f aca="false">COUNTIF(BW68:DC68,TRUE())</f>
        <v>2</v>
      </c>
    </row>
    <row r="69" customFormat="false" ht="15" hidden="false" customHeight="true" outlineLevel="0" collapsed="false">
      <c r="A69" s="18" t="n">
        <v>30</v>
      </c>
      <c r="B69" s="44"/>
      <c r="C69" s="44"/>
      <c r="D69" s="44"/>
      <c r="E69" s="44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6" t="str">
        <f aca="false">IFERROR(IF(F69&lt;&gt;"",F69,""),"")</f>
        <v/>
      </c>
      <c r="AF69" s="46" t="str">
        <f aca="false">IFERROR(IF(G69&lt;&gt;"",G69,""),"")</f>
        <v/>
      </c>
      <c r="AG69" s="46" t="str">
        <f aca="false">IFERROR(IF(AA69&lt;&gt;"",AA69,IF(R69&lt;&gt;"",R69,"")),"")</f>
        <v/>
      </c>
      <c r="AH69" s="46" t="str">
        <f aca="false">IFERROR(IF(AB69&lt;&gt;"",AB69,IF(S69&lt;&gt;"",S69,"")),"")</f>
        <v/>
      </c>
      <c r="AI69" s="47"/>
      <c r="AJ69" s="47"/>
      <c r="AK69" s="47"/>
      <c r="AL69" s="47"/>
      <c r="AM69" s="47"/>
      <c r="AN69" s="47"/>
      <c r="AO69" s="47"/>
      <c r="AP69" s="47"/>
      <c r="AQ69" s="46" t="str">
        <f aca="false">IFERROR(IF(Y69&lt;&gt;"",VALUE(Y69),""),"")</f>
        <v/>
      </c>
      <c r="AR69" s="47"/>
      <c r="AS69" s="47"/>
      <c r="AT69" s="47"/>
      <c r="AU69" s="47"/>
      <c r="AV69" s="46" t="str">
        <f aca="false">IFERROR(IF(T69&lt;&gt;"",VALUE(T69),""),"")</f>
        <v/>
      </c>
      <c r="AW69" s="46" t="str">
        <f aca="false">IFERROR(IF(N69="","",IF(OR(ISNUMBER(SEARCH("grant",N69)),ISNUMBER(SEARCH("B",AC69))),"Granted",IF(OR(ISNUMBER(SEARCH("pend",N69)),ISNUMBER(SEARCH("A",AC69))),"Pending",IF(ISNUMBER(SEARCH("expir",N69)),"Expired",N69)))),"")</f>
        <v/>
      </c>
      <c r="AX69" s="47"/>
      <c r="AY69" s="46" t="str">
        <f aca="true">IFERROR(IF(M69&lt;&gt;"",ROUND(VALUE(M69),1),IF(L69&lt;&gt;"",ROUND(MAX(0,(DATEVALUE(TEXT(L69,"YYYY-MM-DD"))-TODAY())/365.25),1),"")),"")</f>
        <v/>
      </c>
      <c r="AZ69" s="46" t="str">
        <f aca="false">IFERROR(IF(O69&lt;&gt;"",O69,""),"")</f>
        <v/>
      </c>
      <c r="BA69" s="46" t="str">
        <f aca="false">IFERROR(IF(U69&lt;&gt;"",SUBSTITUTE(SUBSTITUTE(U69,"; ",", "),";",","),""),"")</f>
        <v/>
      </c>
      <c r="BB69" s="47"/>
      <c r="BC69" s="47"/>
      <c r="BD69" s="47"/>
      <c r="BE69" s="47"/>
      <c r="BF69" s="47"/>
      <c r="BG69" s="47"/>
      <c r="BH69" s="47"/>
      <c r="BI69" s="47"/>
      <c r="BJ69" s="47"/>
      <c r="BK69" s="46" t="str">
        <f aca="false">IFERROR(IF(W69&lt;&gt;"",VALUE(W69),""),"")</f>
        <v/>
      </c>
      <c r="BL69" s="46" t="str">
        <f aca="false">IFERROR(IF(X69&lt;&gt;"",VALUE(X69),""),"")</f>
        <v/>
      </c>
      <c r="BM69" s="46" t="str">
        <f aca="false">IFERROR(IF(AD69="","None",IF(ISNUMBER(SEARCH("surv",AD69)),"Survived",IF(ISNUMBER(SEARCH("pend",AD69)),"Pending",IF(ISNUMBER(SEARCH("yes",AD69)),"Pending","None")))),"None")</f>
        <v>None</v>
      </c>
      <c r="BN69" s="47"/>
      <c r="BO69" s="47"/>
      <c r="BP69" s="47"/>
      <c r="BQ69" s="47"/>
      <c r="BR69" s="47"/>
      <c r="BS69" s="47"/>
      <c r="BT69" s="47"/>
      <c r="BU69" s="48" t="n">
        <f aca="false">IFERROR(COUNTA(AE69:BT69)/42,0)</f>
        <v>0.30952380952381</v>
      </c>
      <c r="BV69" s="49"/>
      <c r="BW69" s="50" t="b">
        <f aca="false">IF(Configuration!$C$10="No","",IFERROR(IF(AG69&lt;&gt;"",TRUE(),FALSE()),FALSE()))</f>
        <v>0</v>
      </c>
      <c r="BX69" s="50" t="b">
        <f aca="false">IF(Configuration!$C$11="No","",IFERROR(IF(AND(N(AL69)&gt;=Configuration!$C$44,AM69&lt;&gt;""),TRUE(),FALSE()),FALSE()))</f>
        <v>0</v>
      </c>
      <c r="BY69" s="50" t="b">
        <f aca="false">IF(Configuration!$C$12="No","",IFERROR(IF(AJ69&lt;&gt;"",TRUE(),FALSE()),FALSE()))</f>
        <v>0</v>
      </c>
      <c r="BZ69" s="50" t="b">
        <f aca="false">IF(Configuration!$C$13="No","",IFERROR(IF(AI69&lt;&gt;"",TRUE(),FALSE()),FALSE()))</f>
        <v>0</v>
      </c>
      <c r="CA69" s="50" t="b">
        <f aca="false">IF(Configuration!$C$14="No","",IFERROR(IF(AK69&lt;&gt;"",TRUE(),FALSE()),FALSE()))</f>
        <v>0</v>
      </c>
      <c r="CB69" s="50" t="b">
        <f aca="false">IF(Configuration!$C$15="No","",IFERROR(IF(AND(OR(ISNUMBER(SEARCH("process",AG69)),ISNUMBER(SEARCH("fab",AG69)),ISNUMBER(SEARCH("manufac",AG69))),AO69="Method"),TRUE(),FALSE()),FALSE()))</f>
        <v>0</v>
      </c>
      <c r="CC69" s="50" t="b">
        <f aca="false">IF(Configuration!$C$16="No","",IFERROR(IF(AND(OR(ISNUMBER(SEARCH("material",AG69)),ISNUMBER(SEARCH("chem",AG69)),ISNUMBER(SEARCH("battery",AG69)),ISNUMBER(SEARCH("electrolyte",AG69)),ISNUMBER(SEARCH("polymer",AG69))),OR(AO69="Apparatus",AO69="Method")),TRUE(),FALSE()),FALSE()))</f>
        <v>0</v>
      </c>
      <c r="CD69" s="50" t="b">
        <f aca="false">IF(Configuration!$C$17="No","",IFERROR(IF(AND(OR(AI69="App",AI69="Middleware",AI69="Cloud"),OR(AO69="Method",AO69="CRM")),TRUE(),FALSE()),FALSE()))</f>
        <v>0</v>
      </c>
      <c r="CE69" s="50" t="b">
        <f aca="false">IF(Configuration!$C$18="No","",IFERROR(IF(N(AN69)&gt;=Configuration!$C$45,TRUE(),FALSE()),FALSE()))</f>
        <v>0</v>
      </c>
      <c r="CF69" s="50" t="b">
        <f aca="false">IF(Configuration!$C$19="No","",IFERROR(IF(BE69&lt;&gt;"",TRUE(),FALSE()),FALSE()))</f>
        <v>0</v>
      </c>
      <c r="CG69" s="50" t="b">
        <f aca="false">IF(Configuration!$C$20="No","",IFERROR(IF(AO69&lt;&gt;"",TRUE(),FALSE()),FALSE()))</f>
        <v>0</v>
      </c>
      <c r="CH69" s="50" t="b">
        <f aca="false">IF(Configuration!$C$21="No","",IFERROR(IF(OR(N(AS69)&gt;=Configuration!$C$46,N(AT69)&gt;=Configuration!$C$47),TRUE(),FALSE()),FALSE()))</f>
        <v>0</v>
      </c>
      <c r="CI69" s="50" t="b">
        <f aca="false">IF(Configuration!$C$22="No","",IFERROR(IF(BB69="Yes",TRUE(),FALSE()),FALSE()))</f>
        <v>0</v>
      </c>
      <c r="CJ69" s="50" t="b">
        <f aca="false">IF(Configuration!$C$23="No","",IFERROR(IF(N(AV69)&gt;=Configuration!$C$48,TRUE(),FALSE()),FALSE()))</f>
        <v>0</v>
      </c>
      <c r="CK69" s="50" t="b">
        <f aca="false">IF(Configuration!$C$24="No","",IFERROR(IF(N(AY69)&gt;0,TRUE(),FALSE()),FALSE()))</f>
        <v>0</v>
      </c>
      <c r="CL69" s="50" t="b">
        <f aca="false">IF(Configuration!$C$25="No","",IFERROR(IF(OR(N(AP69)=3,N(AP69)&lt;=1),TRUE(),FALSE()),FALSE()))</f>
        <v>1</v>
      </c>
      <c r="CM69" s="50" t="b">
        <f aca="false">IF(Configuration!$C$26="No","",IFERROR(IF(N(BF69)&gt;=Configuration!$C$49,TRUE(),FALSE()),FALSE()))</f>
        <v>0</v>
      </c>
      <c r="CN69" s="50" t="b">
        <f aca="false">IF(Configuration!$C$27="No","",IFERROR(IF(BD69&lt;&gt;"",TRUE(),FALSE()),FALSE()))</f>
        <v>0</v>
      </c>
      <c r="CO69" s="50" t="b">
        <f aca="false">IF(Configuration!$C$28="No","",IFERROR(IF(N(AU69)&gt;=Configuration!$C$50,TRUE(),FALSE()),FALSE()))</f>
        <v>0</v>
      </c>
      <c r="CP69" s="50" t="b">
        <f aca="false">IF(Configuration!$C$29="No","",IFERROR(IF(AND(N(AR69)&gt;=Configuration!$C$51,AG69&lt;&gt;""),TRUE(),FALSE()),FALSE()))</f>
        <v>0</v>
      </c>
      <c r="CQ69" s="50" t="b">
        <f aca="false">IF(Configuration!$C$30="No","",IFERROR(IF(OR(AW69="Pending",AX69="Yes"),TRUE(),FALSE()),FALSE()))</f>
        <v>0</v>
      </c>
      <c r="CR69" s="50" t="b">
        <f aca="false">IF(Configuration!$C$31="No","",IFERROR(IF(AND(N(BG69)&gt;=Configuration!$C$52,N(AP69)&gt;=1),TRUE(),FALSE()),FALSE()))</f>
        <v>0</v>
      </c>
      <c r="CS69" s="50" t="b">
        <f aca="false">IF(Configuration!$C$32="No","",IFERROR(IF(AND(N(AR69)&gt;=1,OR(AG69&lt;&gt;"",AM69&lt;&gt;"")),TRUE(),FALSE()),FALSE()))</f>
        <v>0</v>
      </c>
      <c r="CT69" s="50" t="b">
        <f aca="false">IF(Configuration!$C$33="No","",IFERROR(IF(AG69&lt;&gt;"",TRUE(),FALSE()),FALSE()))</f>
        <v>0</v>
      </c>
      <c r="CU69" s="50" t="b">
        <f aca="false">IF(Configuration!$C$34="No","",IFERROR(IF(AX69="Yes",TRUE(),FALSE()),FALSE()))</f>
        <v>0</v>
      </c>
      <c r="CV69" s="50" t="b">
        <f aca="false">IF(Configuration!$C$35="No","",IFERROR(IF(OR(BO69="Partial",BO69="Full"),TRUE(),FALSE()),FALSE()))</f>
        <v>0</v>
      </c>
      <c r="CW69" s="50" t="b">
        <f aca="false">IF(Configuration!$C$36="No","",IFERROR(IF(BM69="Survived",TRUE(),FALSE()),FALSE()))</f>
        <v>0</v>
      </c>
      <c r="CX69" s="50" t="b">
        <f aca="false">IF(Configuration!$C$37="No","",IFERROR(IF(AND(BN69="Clean",BP69="None"),TRUE(),FALSE()),FALSE()))</f>
        <v>0</v>
      </c>
      <c r="CY69" s="50" t="b">
        <f aca="false">IF(Configuration!$C$38="No","",IFERROR(IF(N(BK69)&gt;=Configuration!$C$53,TRUE(),FALSE()),FALSE()))</f>
        <v>0</v>
      </c>
      <c r="CZ69" s="50" t="b">
        <f aca="false">IF(Configuration!$C$39="No","",IFERROR(IF(AND(N(BS69)&gt;=2,N(BF69)&gt;=2),TRUE(),FALSE()),FALSE()))</f>
        <v>0</v>
      </c>
      <c r="DA69" s="50" t="b">
        <f aca="false">IF(Configuration!$C$40="No","",IFERROR(IF(OR(N(BG69)&lt;=Configuration!$C$56,N(AY69)&lt;Configuration!$C$57,N(BH69)&lt;=Configuration!$C$58),TRUE(),FALSE()),FALSE()))</f>
        <v>1</v>
      </c>
      <c r="DB69" s="50" t="b">
        <f aca="false">IF(Configuration!$C$41="No","",IFERROR(IF(AND(N(AY69)&gt;=Configuration!$C$54,N(AY69)&lt;=Configuration!$C$55),TRUE(),FALSE()),FALSE()))</f>
        <v>0</v>
      </c>
      <c r="DC69" s="50" t="b">
        <f aca="false">IF(Configuration!$C$42="No","",IFERROR(IF(AND(AG69&lt;&gt;"",AJ69&lt;&gt;""),TRUE(),FALSE()),FALSE()))</f>
        <v>0</v>
      </c>
      <c r="DD69" s="51" t="n">
        <f aca="false">COUNTIF(BW69:DC69,TRUE())</f>
        <v>2</v>
      </c>
    </row>
    <row r="70" customFormat="false" ht="15" hidden="false" customHeight="true" outlineLevel="0" collapsed="false">
      <c r="A70" s="18" t="n">
        <v>31</v>
      </c>
      <c r="B70" s="44"/>
      <c r="C70" s="44"/>
      <c r="D70" s="44"/>
      <c r="E70" s="44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6" t="str">
        <f aca="false">IFERROR(IF(F70&lt;&gt;"",F70,""),"")</f>
        <v/>
      </c>
      <c r="AF70" s="46" t="str">
        <f aca="false">IFERROR(IF(G70&lt;&gt;"",G70,""),"")</f>
        <v/>
      </c>
      <c r="AG70" s="46" t="str">
        <f aca="false">IFERROR(IF(AA70&lt;&gt;"",AA70,IF(R70&lt;&gt;"",R70,"")),"")</f>
        <v/>
      </c>
      <c r="AH70" s="46" t="str">
        <f aca="false">IFERROR(IF(AB70&lt;&gt;"",AB70,IF(S70&lt;&gt;"",S70,"")),"")</f>
        <v/>
      </c>
      <c r="AI70" s="47"/>
      <c r="AJ70" s="47"/>
      <c r="AK70" s="47"/>
      <c r="AL70" s="47"/>
      <c r="AM70" s="47"/>
      <c r="AN70" s="47"/>
      <c r="AO70" s="47"/>
      <c r="AP70" s="47"/>
      <c r="AQ70" s="46" t="str">
        <f aca="false">IFERROR(IF(Y70&lt;&gt;"",VALUE(Y70),""),"")</f>
        <v/>
      </c>
      <c r="AR70" s="47"/>
      <c r="AS70" s="47"/>
      <c r="AT70" s="47"/>
      <c r="AU70" s="47"/>
      <c r="AV70" s="46" t="str">
        <f aca="false">IFERROR(IF(T70&lt;&gt;"",VALUE(T70),""),"")</f>
        <v/>
      </c>
      <c r="AW70" s="46" t="str">
        <f aca="false">IFERROR(IF(N70="","",IF(OR(ISNUMBER(SEARCH("grant",N70)),ISNUMBER(SEARCH("B",AC70))),"Granted",IF(OR(ISNUMBER(SEARCH("pend",N70)),ISNUMBER(SEARCH("A",AC70))),"Pending",IF(ISNUMBER(SEARCH("expir",N70)),"Expired",N70)))),"")</f>
        <v/>
      </c>
      <c r="AX70" s="47"/>
      <c r="AY70" s="46" t="str">
        <f aca="true">IFERROR(IF(M70&lt;&gt;"",ROUND(VALUE(M70),1),IF(L70&lt;&gt;"",ROUND(MAX(0,(DATEVALUE(TEXT(L70,"YYYY-MM-DD"))-TODAY())/365.25),1),"")),"")</f>
        <v/>
      </c>
      <c r="AZ70" s="46" t="str">
        <f aca="false">IFERROR(IF(O70&lt;&gt;"",O70,""),"")</f>
        <v/>
      </c>
      <c r="BA70" s="46" t="str">
        <f aca="false">IFERROR(IF(U70&lt;&gt;"",SUBSTITUTE(SUBSTITUTE(U70,"; ",", "),";",","),""),"")</f>
        <v/>
      </c>
      <c r="BB70" s="47"/>
      <c r="BC70" s="47"/>
      <c r="BD70" s="47"/>
      <c r="BE70" s="47"/>
      <c r="BF70" s="47"/>
      <c r="BG70" s="47"/>
      <c r="BH70" s="47"/>
      <c r="BI70" s="47"/>
      <c r="BJ70" s="47"/>
      <c r="BK70" s="46" t="str">
        <f aca="false">IFERROR(IF(W70&lt;&gt;"",VALUE(W70),""),"")</f>
        <v/>
      </c>
      <c r="BL70" s="46" t="str">
        <f aca="false">IFERROR(IF(X70&lt;&gt;"",VALUE(X70),""),"")</f>
        <v/>
      </c>
      <c r="BM70" s="46" t="str">
        <f aca="false">IFERROR(IF(AD70="","None",IF(ISNUMBER(SEARCH("surv",AD70)),"Survived",IF(ISNUMBER(SEARCH("pend",AD70)),"Pending",IF(ISNUMBER(SEARCH("yes",AD70)),"Pending","None")))),"None")</f>
        <v>None</v>
      </c>
      <c r="BN70" s="47"/>
      <c r="BO70" s="47"/>
      <c r="BP70" s="47"/>
      <c r="BQ70" s="47"/>
      <c r="BR70" s="47"/>
      <c r="BS70" s="47"/>
      <c r="BT70" s="47"/>
      <c r="BU70" s="48" t="n">
        <f aca="false">IFERROR(COUNTA(AE70:BT70)/42,0)</f>
        <v>0.30952380952381</v>
      </c>
      <c r="BV70" s="49"/>
      <c r="BW70" s="50" t="b">
        <f aca="false">IF(Configuration!$C$10="No","",IFERROR(IF(AG70&lt;&gt;"",TRUE(),FALSE()),FALSE()))</f>
        <v>0</v>
      </c>
      <c r="BX70" s="50" t="b">
        <f aca="false">IF(Configuration!$C$11="No","",IFERROR(IF(AND(N(AL70)&gt;=Configuration!$C$44,AM70&lt;&gt;""),TRUE(),FALSE()),FALSE()))</f>
        <v>0</v>
      </c>
      <c r="BY70" s="50" t="b">
        <f aca="false">IF(Configuration!$C$12="No","",IFERROR(IF(AJ70&lt;&gt;"",TRUE(),FALSE()),FALSE()))</f>
        <v>0</v>
      </c>
      <c r="BZ70" s="50" t="b">
        <f aca="false">IF(Configuration!$C$13="No","",IFERROR(IF(AI70&lt;&gt;"",TRUE(),FALSE()),FALSE()))</f>
        <v>0</v>
      </c>
      <c r="CA70" s="50" t="b">
        <f aca="false">IF(Configuration!$C$14="No","",IFERROR(IF(AK70&lt;&gt;"",TRUE(),FALSE()),FALSE()))</f>
        <v>0</v>
      </c>
      <c r="CB70" s="50" t="b">
        <f aca="false">IF(Configuration!$C$15="No","",IFERROR(IF(AND(OR(ISNUMBER(SEARCH("process",AG70)),ISNUMBER(SEARCH("fab",AG70)),ISNUMBER(SEARCH("manufac",AG70))),AO70="Method"),TRUE(),FALSE()),FALSE()))</f>
        <v>0</v>
      </c>
      <c r="CC70" s="50" t="b">
        <f aca="false">IF(Configuration!$C$16="No","",IFERROR(IF(AND(OR(ISNUMBER(SEARCH("material",AG70)),ISNUMBER(SEARCH("chem",AG70)),ISNUMBER(SEARCH("battery",AG70)),ISNUMBER(SEARCH("electrolyte",AG70)),ISNUMBER(SEARCH("polymer",AG70))),OR(AO70="Apparatus",AO70="Method")),TRUE(),FALSE()),FALSE()))</f>
        <v>0</v>
      </c>
      <c r="CD70" s="50" t="b">
        <f aca="false">IF(Configuration!$C$17="No","",IFERROR(IF(AND(OR(AI70="App",AI70="Middleware",AI70="Cloud"),OR(AO70="Method",AO70="CRM")),TRUE(),FALSE()),FALSE()))</f>
        <v>0</v>
      </c>
      <c r="CE70" s="50" t="b">
        <f aca="false">IF(Configuration!$C$18="No","",IFERROR(IF(N(AN70)&gt;=Configuration!$C$45,TRUE(),FALSE()),FALSE()))</f>
        <v>0</v>
      </c>
      <c r="CF70" s="50" t="b">
        <f aca="false">IF(Configuration!$C$19="No","",IFERROR(IF(BE70&lt;&gt;"",TRUE(),FALSE()),FALSE()))</f>
        <v>0</v>
      </c>
      <c r="CG70" s="50" t="b">
        <f aca="false">IF(Configuration!$C$20="No","",IFERROR(IF(AO70&lt;&gt;"",TRUE(),FALSE()),FALSE()))</f>
        <v>0</v>
      </c>
      <c r="CH70" s="50" t="b">
        <f aca="false">IF(Configuration!$C$21="No","",IFERROR(IF(OR(N(AS70)&gt;=Configuration!$C$46,N(AT70)&gt;=Configuration!$C$47),TRUE(),FALSE()),FALSE()))</f>
        <v>0</v>
      </c>
      <c r="CI70" s="50" t="b">
        <f aca="false">IF(Configuration!$C$22="No","",IFERROR(IF(BB70="Yes",TRUE(),FALSE()),FALSE()))</f>
        <v>0</v>
      </c>
      <c r="CJ70" s="50" t="b">
        <f aca="false">IF(Configuration!$C$23="No","",IFERROR(IF(N(AV70)&gt;=Configuration!$C$48,TRUE(),FALSE()),FALSE()))</f>
        <v>0</v>
      </c>
      <c r="CK70" s="50" t="b">
        <f aca="false">IF(Configuration!$C$24="No","",IFERROR(IF(N(AY70)&gt;0,TRUE(),FALSE()),FALSE()))</f>
        <v>0</v>
      </c>
      <c r="CL70" s="50" t="b">
        <f aca="false">IF(Configuration!$C$25="No","",IFERROR(IF(OR(N(AP70)=3,N(AP70)&lt;=1),TRUE(),FALSE()),FALSE()))</f>
        <v>1</v>
      </c>
      <c r="CM70" s="50" t="b">
        <f aca="false">IF(Configuration!$C$26="No","",IFERROR(IF(N(BF70)&gt;=Configuration!$C$49,TRUE(),FALSE()),FALSE()))</f>
        <v>0</v>
      </c>
      <c r="CN70" s="50" t="b">
        <f aca="false">IF(Configuration!$C$27="No","",IFERROR(IF(BD70&lt;&gt;"",TRUE(),FALSE()),FALSE()))</f>
        <v>0</v>
      </c>
      <c r="CO70" s="50" t="b">
        <f aca="false">IF(Configuration!$C$28="No","",IFERROR(IF(N(AU70)&gt;=Configuration!$C$50,TRUE(),FALSE()),FALSE()))</f>
        <v>0</v>
      </c>
      <c r="CP70" s="50" t="b">
        <f aca="false">IF(Configuration!$C$29="No","",IFERROR(IF(AND(N(AR70)&gt;=Configuration!$C$51,AG70&lt;&gt;""),TRUE(),FALSE()),FALSE()))</f>
        <v>0</v>
      </c>
      <c r="CQ70" s="50" t="b">
        <f aca="false">IF(Configuration!$C$30="No","",IFERROR(IF(OR(AW70="Pending",AX70="Yes"),TRUE(),FALSE()),FALSE()))</f>
        <v>0</v>
      </c>
      <c r="CR70" s="50" t="b">
        <f aca="false">IF(Configuration!$C$31="No","",IFERROR(IF(AND(N(BG70)&gt;=Configuration!$C$52,N(AP70)&gt;=1),TRUE(),FALSE()),FALSE()))</f>
        <v>0</v>
      </c>
      <c r="CS70" s="50" t="b">
        <f aca="false">IF(Configuration!$C$32="No","",IFERROR(IF(AND(N(AR70)&gt;=1,OR(AG70&lt;&gt;"",AM70&lt;&gt;"")),TRUE(),FALSE()),FALSE()))</f>
        <v>0</v>
      </c>
      <c r="CT70" s="50" t="b">
        <f aca="false">IF(Configuration!$C$33="No","",IFERROR(IF(AG70&lt;&gt;"",TRUE(),FALSE()),FALSE()))</f>
        <v>0</v>
      </c>
      <c r="CU70" s="50" t="b">
        <f aca="false">IF(Configuration!$C$34="No","",IFERROR(IF(AX70="Yes",TRUE(),FALSE()),FALSE()))</f>
        <v>0</v>
      </c>
      <c r="CV70" s="50" t="b">
        <f aca="false">IF(Configuration!$C$35="No","",IFERROR(IF(OR(BO70="Partial",BO70="Full"),TRUE(),FALSE()),FALSE()))</f>
        <v>0</v>
      </c>
      <c r="CW70" s="50" t="b">
        <f aca="false">IF(Configuration!$C$36="No","",IFERROR(IF(BM70="Survived",TRUE(),FALSE()),FALSE()))</f>
        <v>0</v>
      </c>
      <c r="CX70" s="50" t="b">
        <f aca="false">IF(Configuration!$C$37="No","",IFERROR(IF(AND(BN70="Clean",BP70="None"),TRUE(),FALSE()),FALSE()))</f>
        <v>0</v>
      </c>
      <c r="CY70" s="50" t="b">
        <f aca="false">IF(Configuration!$C$38="No","",IFERROR(IF(N(BK70)&gt;=Configuration!$C$53,TRUE(),FALSE()),FALSE()))</f>
        <v>0</v>
      </c>
      <c r="CZ70" s="50" t="b">
        <f aca="false">IF(Configuration!$C$39="No","",IFERROR(IF(AND(N(BS70)&gt;=2,N(BF70)&gt;=2),TRUE(),FALSE()),FALSE()))</f>
        <v>0</v>
      </c>
      <c r="DA70" s="50" t="b">
        <f aca="false">IF(Configuration!$C$40="No","",IFERROR(IF(OR(N(BG70)&lt;=Configuration!$C$56,N(AY70)&lt;Configuration!$C$57,N(BH70)&lt;=Configuration!$C$58),TRUE(),FALSE()),FALSE()))</f>
        <v>1</v>
      </c>
      <c r="DB70" s="50" t="b">
        <f aca="false">IF(Configuration!$C$41="No","",IFERROR(IF(AND(N(AY70)&gt;=Configuration!$C$54,N(AY70)&lt;=Configuration!$C$55),TRUE(),FALSE()),FALSE()))</f>
        <v>0</v>
      </c>
      <c r="DC70" s="50" t="b">
        <f aca="false">IF(Configuration!$C$42="No","",IFERROR(IF(AND(AG70&lt;&gt;"",AJ70&lt;&gt;""),TRUE(),FALSE()),FALSE()))</f>
        <v>0</v>
      </c>
      <c r="DD70" s="51" t="n">
        <f aca="false">COUNTIF(BW70:DC70,TRUE())</f>
        <v>2</v>
      </c>
    </row>
    <row r="71" customFormat="false" ht="15" hidden="false" customHeight="true" outlineLevel="0" collapsed="false">
      <c r="A71" s="18" t="n">
        <v>32</v>
      </c>
      <c r="B71" s="44"/>
      <c r="C71" s="44"/>
      <c r="D71" s="44"/>
      <c r="E71" s="44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6" t="str">
        <f aca="false">IFERROR(IF(F71&lt;&gt;"",F71,""),"")</f>
        <v/>
      </c>
      <c r="AF71" s="46" t="str">
        <f aca="false">IFERROR(IF(G71&lt;&gt;"",G71,""),"")</f>
        <v/>
      </c>
      <c r="AG71" s="46" t="str">
        <f aca="false">IFERROR(IF(AA71&lt;&gt;"",AA71,IF(R71&lt;&gt;"",R71,"")),"")</f>
        <v/>
      </c>
      <c r="AH71" s="46" t="str">
        <f aca="false">IFERROR(IF(AB71&lt;&gt;"",AB71,IF(S71&lt;&gt;"",S71,"")),"")</f>
        <v/>
      </c>
      <c r="AI71" s="47"/>
      <c r="AJ71" s="47"/>
      <c r="AK71" s="47"/>
      <c r="AL71" s="47"/>
      <c r="AM71" s="47"/>
      <c r="AN71" s="47"/>
      <c r="AO71" s="47"/>
      <c r="AP71" s="47"/>
      <c r="AQ71" s="46" t="str">
        <f aca="false">IFERROR(IF(Y71&lt;&gt;"",VALUE(Y71),""),"")</f>
        <v/>
      </c>
      <c r="AR71" s="47"/>
      <c r="AS71" s="47"/>
      <c r="AT71" s="47"/>
      <c r="AU71" s="47"/>
      <c r="AV71" s="46" t="str">
        <f aca="false">IFERROR(IF(T71&lt;&gt;"",VALUE(T71),""),"")</f>
        <v/>
      </c>
      <c r="AW71" s="46" t="str">
        <f aca="false">IFERROR(IF(N71="","",IF(OR(ISNUMBER(SEARCH("grant",N71)),ISNUMBER(SEARCH("B",AC71))),"Granted",IF(OR(ISNUMBER(SEARCH("pend",N71)),ISNUMBER(SEARCH("A",AC71))),"Pending",IF(ISNUMBER(SEARCH("expir",N71)),"Expired",N71)))),"")</f>
        <v/>
      </c>
      <c r="AX71" s="47"/>
      <c r="AY71" s="46" t="str">
        <f aca="true">IFERROR(IF(M71&lt;&gt;"",ROUND(VALUE(M71),1),IF(L71&lt;&gt;"",ROUND(MAX(0,(DATEVALUE(TEXT(L71,"YYYY-MM-DD"))-TODAY())/365.25),1),"")),"")</f>
        <v/>
      </c>
      <c r="AZ71" s="46" t="str">
        <f aca="false">IFERROR(IF(O71&lt;&gt;"",O71,""),"")</f>
        <v/>
      </c>
      <c r="BA71" s="46" t="str">
        <f aca="false">IFERROR(IF(U71&lt;&gt;"",SUBSTITUTE(SUBSTITUTE(U71,"; ",", "),";",","),""),"")</f>
        <v/>
      </c>
      <c r="BB71" s="47"/>
      <c r="BC71" s="47"/>
      <c r="BD71" s="47"/>
      <c r="BE71" s="47"/>
      <c r="BF71" s="47"/>
      <c r="BG71" s="47"/>
      <c r="BH71" s="47"/>
      <c r="BI71" s="47"/>
      <c r="BJ71" s="47"/>
      <c r="BK71" s="46" t="str">
        <f aca="false">IFERROR(IF(W71&lt;&gt;"",VALUE(W71),""),"")</f>
        <v/>
      </c>
      <c r="BL71" s="46" t="str">
        <f aca="false">IFERROR(IF(X71&lt;&gt;"",VALUE(X71),""),"")</f>
        <v/>
      </c>
      <c r="BM71" s="46" t="str">
        <f aca="false">IFERROR(IF(AD71="","None",IF(ISNUMBER(SEARCH("surv",AD71)),"Survived",IF(ISNUMBER(SEARCH("pend",AD71)),"Pending",IF(ISNUMBER(SEARCH("yes",AD71)),"Pending","None")))),"None")</f>
        <v>None</v>
      </c>
      <c r="BN71" s="47"/>
      <c r="BO71" s="47"/>
      <c r="BP71" s="47"/>
      <c r="BQ71" s="47"/>
      <c r="BR71" s="47"/>
      <c r="BS71" s="47"/>
      <c r="BT71" s="47"/>
      <c r="BU71" s="48" t="n">
        <f aca="false">IFERROR(COUNTA(AE71:BT71)/42,0)</f>
        <v>0.30952380952381</v>
      </c>
      <c r="BV71" s="49"/>
      <c r="BW71" s="50" t="b">
        <f aca="false">IF(Configuration!$C$10="No","",IFERROR(IF(AG71&lt;&gt;"",TRUE(),FALSE()),FALSE()))</f>
        <v>0</v>
      </c>
      <c r="BX71" s="50" t="b">
        <f aca="false">IF(Configuration!$C$11="No","",IFERROR(IF(AND(N(AL71)&gt;=Configuration!$C$44,AM71&lt;&gt;""),TRUE(),FALSE()),FALSE()))</f>
        <v>0</v>
      </c>
      <c r="BY71" s="50" t="b">
        <f aca="false">IF(Configuration!$C$12="No","",IFERROR(IF(AJ71&lt;&gt;"",TRUE(),FALSE()),FALSE()))</f>
        <v>0</v>
      </c>
      <c r="BZ71" s="50" t="b">
        <f aca="false">IF(Configuration!$C$13="No","",IFERROR(IF(AI71&lt;&gt;"",TRUE(),FALSE()),FALSE()))</f>
        <v>0</v>
      </c>
      <c r="CA71" s="50" t="b">
        <f aca="false">IF(Configuration!$C$14="No","",IFERROR(IF(AK71&lt;&gt;"",TRUE(),FALSE()),FALSE()))</f>
        <v>0</v>
      </c>
      <c r="CB71" s="50" t="b">
        <f aca="false">IF(Configuration!$C$15="No","",IFERROR(IF(AND(OR(ISNUMBER(SEARCH("process",AG71)),ISNUMBER(SEARCH("fab",AG71)),ISNUMBER(SEARCH("manufac",AG71))),AO71="Method"),TRUE(),FALSE()),FALSE()))</f>
        <v>0</v>
      </c>
      <c r="CC71" s="50" t="b">
        <f aca="false">IF(Configuration!$C$16="No","",IFERROR(IF(AND(OR(ISNUMBER(SEARCH("material",AG71)),ISNUMBER(SEARCH("chem",AG71)),ISNUMBER(SEARCH("battery",AG71)),ISNUMBER(SEARCH("electrolyte",AG71)),ISNUMBER(SEARCH("polymer",AG71))),OR(AO71="Apparatus",AO71="Method")),TRUE(),FALSE()),FALSE()))</f>
        <v>0</v>
      </c>
      <c r="CD71" s="50" t="b">
        <f aca="false">IF(Configuration!$C$17="No","",IFERROR(IF(AND(OR(AI71="App",AI71="Middleware",AI71="Cloud"),OR(AO71="Method",AO71="CRM")),TRUE(),FALSE()),FALSE()))</f>
        <v>0</v>
      </c>
      <c r="CE71" s="50" t="b">
        <f aca="false">IF(Configuration!$C$18="No","",IFERROR(IF(N(AN71)&gt;=Configuration!$C$45,TRUE(),FALSE()),FALSE()))</f>
        <v>0</v>
      </c>
      <c r="CF71" s="50" t="b">
        <f aca="false">IF(Configuration!$C$19="No","",IFERROR(IF(BE71&lt;&gt;"",TRUE(),FALSE()),FALSE()))</f>
        <v>0</v>
      </c>
      <c r="CG71" s="50" t="b">
        <f aca="false">IF(Configuration!$C$20="No","",IFERROR(IF(AO71&lt;&gt;"",TRUE(),FALSE()),FALSE()))</f>
        <v>0</v>
      </c>
      <c r="CH71" s="50" t="b">
        <f aca="false">IF(Configuration!$C$21="No","",IFERROR(IF(OR(N(AS71)&gt;=Configuration!$C$46,N(AT71)&gt;=Configuration!$C$47),TRUE(),FALSE()),FALSE()))</f>
        <v>0</v>
      </c>
      <c r="CI71" s="50" t="b">
        <f aca="false">IF(Configuration!$C$22="No","",IFERROR(IF(BB71="Yes",TRUE(),FALSE()),FALSE()))</f>
        <v>0</v>
      </c>
      <c r="CJ71" s="50" t="b">
        <f aca="false">IF(Configuration!$C$23="No","",IFERROR(IF(N(AV71)&gt;=Configuration!$C$48,TRUE(),FALSE()),FALSE()))</f>
        <v>0</v>
      </c>
      <c r="CK71" s="50" t="b">
        <f aca="false">IF(Configuration!$C$24="No","",IFERROR(IF(N(AY71)&gt;0,TRUE(),FALSE()),FALSE()))</f>
        <v>0</v>
      </c>
      <c r="CL71" s="50" t="b">
        <f aca="false">IF(Configuration!$C$25="No","",IFERROR(IF(OR(N(AP71)=3,N(AP71)&lt;=1),TRUE(),FALSE()),FALSE()))</f>
        <v>1</v>
      </c>
      <c r="CM71" s="50" t="b">
        <f aca="false">IF(Configuration!$C$26="No","",IFERROR(IF(N(BF71)&gt;=Configuration!$C$49,TRUE(),FALSE()),FALSE()))</f>
        <v>0</v>
      </c>
      <c r="CN71" s="50" t="b">
        <f aca="false">IF(Configuration!$C$27="No","",IFERROR(IF(BD71&lt;&gt;"",TRUE(),FALSE()),FALSE()))</f>
        <v>0</v>
      </c>
      <c r="CO71" s="50" t="b">
        <f aca="false">IF(Configuration!$C$28="No","",IFERROR(IF(N(AU71)&gt;=Configuration!$C$50,TRUE(),FALSE()),FALSE()))</f>
        <v>0</v>
      </c>
      <c r="CP71" s="50" t="b">
        <f aca="false">IF(Configuration!$C$29="No","",IFERROR(IF(AND(N(AR71)&gt;=Configuration!$C$51,AG71&lt;&gt;""),TRUE(),FALSE()),FALSE()))</f>
        <v>0</v>
      </c>
      <c r="CQ71" s="50" t="b">
        <f aca="false">IF(Configuration!$C$30="No","",IFERROR(IF(OR(AW71="Pending",AX71="Yes"),TRUE(),FALSE()),FALSE()))</f>
        <v>0</v>
      </c>
      <c r="CR71" s="50" t="b">
        <f aca="false">IF(Configuration!$C$31="No","",IFERROR(IF(AND(N(BG71)&gt;=Configuration!$C$52,N(AP71)&gt;=1),TRUE(),FALSE()),FALSE()))</f>
        <v>0</v>
      </c>
      <c r="CS71" s="50" t="b">
        <f aca="false">IF(Configuration!$C$32="No","",IFERROR(IF(AND(N(AR71)&gt;=1,OR(AG71&lt;&gt;"",AM71&lt;&gt;"")),TRUE(),FALSE()),FALSE()))</f>
        <v>0</v>
      </c>
      <c r="CT71" s="50" t="b">
        <f aca="false">IF(Configuration!$C$33="No","",IFERROR(IF(AG71&lt;&gt;"",TRUE(),FALSE()),FALSE()))</f>
        <v>0</v>
      </c>
      <c r="CU71" s="50" t="b">
        <f aca="false">IF(Configuration!$C$34="No","",IFERROR(IF(AX71="Yes",TRUE(),FALSE()),FALSE()))</f>
        <v>0</v>
      </c>
      <c r="CV71" s="50" t="b">
        <f aca="false">IF(Configuration!$C$35="No","",IFERROR(IF(OR(BO71="Partial",BO71="Full"),TRUE(),FALSE()),FALSE()))</f>
        <v>0</v>
      </c>
      <c r="CW71" s="50" t="b">
        <f aca="false">IF(Configuration!$C$36="No","",IFERROR(IF(BM71="Survived",TRUE(),FALSE()),FALSE()))</f>
        <v>0</v>
      </c>
      <c r="CX71" s="50" t="b">
        <f aca="false">IF(Configuration!$C$37="No","",IFERROR(IF(AND(BN71="Clean",BP71="None"),TRUE(),FALSE()),FALSE()))</f>
        <v>0</v>
      </c>
      <c r="CY71" s="50" t="b">
        <f aca="false">IF(Configuration!$C$38="No","",IFERROR(IF(N(BK71)&gt;=Configuration!$C$53,TRUE(),FALSE()),FALSE()))</f>
        <v>0</v>
      </c>
      <c r="CZ71" s="50" t="b">
        <f aca="false">IF(Configuration!$C$39="No","",IFERROR(IF(AND(N(BS71)&gt;=2,N(BF71)&gt;=2),TRUE(),FALSE()),FALSE()))</f>
        <v>0</v>
      </c>
      <c r="DA71" s="50" t="b">
        <f aca="false">IF(Configuration!$C$40="No","",IFERROR(IF(OR(N(BG71)&lt;=Configuration!$C$56,N(AY71)&lt;Configuration!$C$57,N(BH71)&lt;=Configuration!$C$58),TRUE(),FALSE()),FALSE()))</f>
        <v>1</v>
      </c>
      <c r="DB71" s="50" t="b">
        <f aca="false">IF(Configuration!$C$41="No","",IFERROR(IF(AND(N(AY71)&gt;=Configuration!$C$54,N(AY71)&lt;=Configuration!$C$55),TRUE(),FALSE()),FALSE()))</f>
        <v>0</v>
      </c>
      <c r="DC71" s="50" t="b">
        <f aca="false">IF(Configuration!$C$42="No","",IFERROR(IF(AND(AG71&lt;&gt;"",AJ71&lt;&gt;""),TRUE(),FALSE()),FALSE()))</f>
        <v>0</v>
      </c>
      <c r="DD71" s="51" t="n">
        <f aca="false">COUNTIF(BW71:DC71,TRUE())</f>
        <v>2</v>
      </c>
    </row>
    <row r="72" customFormat="false" ht="15" hidden="false" customHeight="true" outlineLevel="0" collapsed="false">
      <c r="A72" s="18" t="n">
        <v>33</v>
      </c>
      <c r="B72" s="44"/>
      <c r="C72" s="44"/>
      <c r="D72" s="44"/>
      <c r="E72" s="44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6" t="str">
        <f aca="false">IFERROR(IF(F72&lt;&gt;"",F72,""),"")</f>
        <v/>
      </c>
      <c r="AF72" s="46" t="str">
        <f aca="false">IFERROR(IF(G72&lt;&gt;"",G72,""),"")</f>
        <v/>
      </c>
      <c r="AG72" s="46" t="str">
        <f aca="false">IFERROR(IF(AA72&lt;&gt;"",AA72,IF(R72&lt;&gt;"",R72,"")),"")</f>
        <v/>
      </c>
      <c r="AH72" s="46" t="str">
        <f aca="false">IFERROR(IF(AB72&lt;&gt;"",AB72,IF(S72&lt;&gt;"",S72,"")),"")</f>
        <v/>
      </c>
      <c r="AI72" s="47"/>
      <c r="AJ72" s="47"/>
      <c r="AK72" s="47"/>
      <c r="AL72" s="47"/>
      <c r="AM72" s="47"/>
      <c r="AN72" s="47"/>
      <c r="AO72" s="47"/>
      <c r="AP72" s="47"/>
      <c r="AQ72" s="46" t="str">
        <f aca="false">IFERROR(IF(Y72&lt;&gt;"",VALUE(Y72),""),"")</f>
        <v/>
      </c>
      <c r="AR72" s="47"/>
      <c r="AS72" s="47"/>
      <c r="AT72" s="47"/>
      <c r="AU72" s="47"/>
      <c r="AV72" s="46" t="str">
        <f aca="false">IFERROR(IF(T72&lt;&gt;"",VALUE(T72),""),"")</f>
        <v/>
      </c>
      <c r="AW72" s="46" t="str">
        <f aca="false">IFERROR(IF(N72="","",IF(OR(ISNUMBER(SEARCH("grant",N72)),ISNUMBER(SEARCH("B",AC72))),"Granted",IF(OR(ISNUMBER(SEARCH("pend",N72)),ISNUMBER(SEARCH("A",AC72))),"Pending",IF(ISNUMBER(SEARCH("expir",N72)),"Expired",N72)))),"")</f>
        <v/>
      </c>
      <c r="AX72" s="47"/>
      <c r="AY72" s="46" t="str">
        <f aca="true">IFERROR(IF(M72&lt;&gt;"",ROUND(VALUE(M72),1),IF(L72&lt;&gt;"",ROUND(MAX(0,(DATEVALUE(TEXT(L72,"YYYY-MM-DD"))-TODAY())/365.25),1),"")),"")</f>
        <v/>
      </c>
      <c r="AZ72" s="46" t="str">
        <f aca="false">IFERROR(IF(O72&lt;&gt;"",O72,""),"")</f>
        <v/>
      </c>
      <c r="BA72" s="46" t="str">
        <f aca="false">IFERROR(IF(U72&lt;&gt;"",SUBSTITUTE(SUBSTITUTE(U72,"; ",", "),";",","),""),"")</f>
        <v/>
      </c>
      <c r="BB72" s="47"/>
      <c r="BC72" s="47"/>
      <c r="BD72" s="47"/>
      <c r="BE72" s="47"/>
      <c r="BF72" s="47"/>
      <c r="BG72" s="47"/>
      <c r="BH72" s="47"/>
      <c r="BI72" s="47"/>
      <c r="BJ72" s="47"/>
      <c r="BK72" s="46" t="str">
        <f aca="false">IFERROR(IF(W72&lt;&gt;"",VALUE(W72),""),"")</f>
        <v/>
      </c>
      <c r="BL72" s="46" t="str">
        <f aca="false">IFERROR(IF(X72&lt;&gt;"",VALUE(X72),""),"")</f>
        <v/>
      </c>
      <c r="BM72" s="46" t="str">
        <f aca="false">IFERROR(IF(AD72="","None",IF(ISNUMBER(SEARCH("surv",AD72)),"Survived",IF(ISNUMBER(SEARCH("pend",AD72)),"Pending",IF(ISNUMBER(SEARCH("yes",AD72)),"Pending","None")))),"None")</f>
        <v>None</v>
      </c>
      <c r="BN72" s="47"/>
      <c r="BO72" s="47"/>
      <c r="BP72" s="47"/>
      <c r="BQ72" s="47"/>
      <c r="BR72" s="47"/>
      <c r="BS72" s="47"/>
      <c r="BT72" s="47"/>
      <c r="BU72" s="48" t="n">
        <f aca="false">IFERROR(COUNTA(AE72:BT72)/42,0)</f>
        <v>0.30952380952381</v>
      </c>
      <c r="BV72" s="49"/>
      <c r="BW72" s="50" t="b">
        <f aca="false">IF(Configuration!$C$10="No","",IFERROR(IF(AG72&lt;&gt;"",TRUE(),FALSE()),FALSE()))</f>
        <v>0</v>
      </c>
      <c r="BX72" s="50" t="b">
        <f aca="false">IF(Configuration!$C$11="No","",IFERROR(IF(AND(N(AL72)&gt;=Configuration!$C$44,AM72&lt;&gt;""),TRUE(),FALSE()),FALSE()))</f>
        <v>0</v>
      </c>
      <c r="BY72" s="50" t="b">
        <f aca="false">IF(Configuration!$C$12="No","",IFERROR(IF(AJ72&lt;&gt;"",TRUE(),FALSE()),FALSE()))</f>
        <v>0</v>
      </c>
      <c r="BZ72" s="50" t="b">
        <f aca="false">IF(Configuration!$C$13="No","",IFERROR(IF(AI72&lt;&gt;"",TRUE(),FALSE()),FALSE()))</f>
        <v>0</v>
      </c>
      <c r="CA72" s="50" t="b">
        <f aca="false">IF(Configuration!$C$14="No","",IFERROR(IF(AK72&lt;&gt;"",TRUE(),FALSE()),FALSE()))</f>
        <v>0</v>
      </c>
      <c r="CB72" s="50" t="b">
        <f aca="false">IF(Configuration!$C$15="No","",IFERROR(IF(AND(OR(ISNUMBER(SEARCH("process",AG72)),ISNUMBER(SEARCH("fab",AG72)),ISNUMBER(SEARCH("manufac",AG72))),AO72="Method"),TRUE(),FALSE()),FALSE()))</f>
        <v>0</v>
      </c>
      <c r="CC72" s="50" t="b">
        <f aca="false">IF(Configuration!$C$16="No","",IFERROR(IF(AND(OR(ISNUMBER(SEARCH("material",AG72)),ISNUMBER(SEARCH("chem",AG72)),ISNUMBER(SEARCH("battery",AG72)),ISNUMBER(SEARCH("electrolyte",AG72)),ISNUMBER(SEARCH("polymer",AG72))),OR(AO72="Apparatus",AO72="Method")),TRUE(),FALSE()),FALSE()))</f>
        <v>0</v>
      </c>
      <c r="CD72" s="50" t="b">
        <f aca="false">IF(Configuration!$C$17="No","",IFERROR(IF(AND(OR(AI72="App",AI72="Middleware",AI72="Cloud"),OR(AO72="Method",AO72="CRM")),TRUE(),FALSE()),FALSE()))</f>
        <v>0</v>
      </c>
      <c r="CE72" s="50" t="b">
        <f aca="false">IF(Configuration!$C$18="No","",IFERROR(IF(N(AN72)&gt;=Configuration!$C$45,TRUE(),FALSE()),FALSE()))</f>
        <v>0</v>
      </c>
      <c r="CF72" s="50" t="b">
        <f aca="false">IF(Configuration!$C$19="No","",IFERROR(IF(BE72&lt;&gt;"",TRUE(),FALSE()),FALSE()))</f>
        <v>0</v>
      </c>
      <c r="CG72" s="50" t="b">
        <f aca="false">IF(Configuration!$C$20="No","",IFERROR(IF(AO72&lt;&gt;"",TRUE(),FALSE()),FALSE()))</f>
        <v>0</v>
      </c>
      <c r="CH72" s="50" t="b">
        <f aca="false">IF(Configuration!$C$21="No","",IFERROR(IF(OR(N(AS72)&gt;=Configuration!$C$46,N(AT72)&gt;=Configuration!$C$47),TRUE(),FALSE()),FALSE()))</f>
        <v>0</v>
      </c>
      <c r="CI72" s="50" t="b">
        <f aca="false">IF(Configuration!$C$22="No","",IFERROR(IF(BB72="Yes",TRUE(),FALSE()),FALSE()))</f>
        <v>0</v>
      </c>
      <c r="CJ72" s="50" t="b">
        <f aca="false">IF(Configuration!$C$23="No","",IFERROR(IF(N(AV72)&gt;=Configuration!$C$48,TRUE(),FALSE()),FALSE()))</f>
        <v>0</v>
      </c>
      <c r="CK72" s="50" t="b">
        <f aca="false">IF(Configuration!$C$24="No","",IFERROR(IF(N(AY72)&gt;0,TRUE(),FALSE()),FALSE()))</f>
        <v>0</v>
      </c>
      <c r="CL72" s="50" t="b">
        <f aca="false">IF(Configuration!$C$25="No","",IFERROR(IF(OR(N(AP72)=3,N(AP72)&lt;=1),TRUE(),FALSE()),FALSE()))</f>
        <v>1</v>
      </c>
      <c r="CM72" s="50" t="b">
        <f aca="false">IF(Configuration!$C$26="No","",IFERROR(IF(N(BF72)&gt;=Configuration!$C$49,TRUE(),FALSE()),FALSE()))</f>
        <v>0</v>
      </c>
      <c r="CN72" s="50" t="b">
        <f aca="false">IF(Configuration!$C$27="No","",IFERROR(IF(BD72&lt;&gt;"",TRUE(),FALSE()),FALSE()))</f>
        <v>0</v>
      </c>
      <c r="CO72" s="50" t="b">
        <f aca="false">IF(Configuration!$C$28="No","",IFERROR(IF(N(AU72)&gt;=Configuration!$C$50,TRUE(),FALSE()),FALSE()))</f>
        <v>0</v>
      </c>
      <c r="CP72" s="50" t="b">
        <f aca="false">IF(Configuration!$C$29="No","",IFERROR(IF(AND(N(AR72)&gt;=Configuration!$C$51,AG72&lt;&gt;""),TRUE(),FALSE()),FALSE()))</f>
        <v>0</v>
      </c>
      <c r="CQ72" s="50" t="b">
        <f aca="false">IF(Configuration!$C$30="No","",IFERROR(IF(OR(AW72="Pending",AX72="Yes"),TRUE(),FALSE()),FALSE()))</f>
        <v>0</v>
      </c>
      <c r="CR72" s="50" t="b">
        <f aca="false">IF(Configuration!$C$31="No","",IFERROR(IF(AND(N(BG72)&gt;=Configuration!$C$52,N(AP72)&gt;=1),TRUE(),FALSE()),FALSE()))</f>
        <v>0</v>
      </c>
      <c r="CS72" s="50" t="b">
        <f aca="false">IF(Configuration!$C$32="No","",IFERROR(IF(AND(N(AR72)&gt;=1,OR(AG72&lt;&gt;"",AM72&lt;&gt;"")),TRUE(),FALSE()),FALSE()))</f>
        <v>0</v>
      </c>
      <c r="CT72" s="50" t="b">
        <f aca="false">IF(Configuration!$C$33="No","",IFERROR(IF(AG72&lt;&gt;"",TRUE(),FALSE()),FALSE()))</f>
        <v>0</v>
      </c>
      <c r="CU72" s="50" t="b">
        <f aca="false">IF(Configuration!$C$34="No","",IFERROR(IF(AX72="Yes",TRUE(),FALSE()),FALSE()))</f>
        <v>0</v>
      </c>
      <c r="CV72" s="50" t="b">
        <f aca="false">IF(Configuration!$C$35="No","",IFERROR(IF(OR(BO72="Partial",BO72="Full"),TRUE(),FALSE()),FALSE()))</f>
        <v>0</v>
      </c>
      <c r="CW72" s="50" t="b">
        <f aca="false">IF(Configuration!$C$36="No","",IFERROR(IF(BM72="Survived",TRUE(),FALSE()),FALSE()))</f>
        <v>0</v>
      </c>
      <c r="CX72" s="50" t="b">
        <f aca="false">IF(Configuration!$C$37="No","",IFERROR(IF(AND(BN72="Clean",BP72="None"),TRUE(),FALSE()),FALSE()))</f>
        <v>0</v>
      </c>
      <c r="CY72" s="50" t="b">
        <f aca="false">IF(Configuration!$C$38="No","",IFERROR(IF(N(BK72)&gt;=Configuration!$C$53,TRUE(),FALSE()),FALSE()))</f>
        <v>0</v>
      </c>
      <c r="CZ72" s="50" t="b">
        <f aca="false">IF(Configuration!$C$39="No","",IFERROR(IF(AND(N(BS72)&gt;=2,N(BF72)&gt;=2),TRUE(),FALSE()),FALSE()))</f>
        <v>0</v>
      </c>
      <c r="DA72" s="50" t="b">
        <f aca="false">IF(Configuration!$C$40="No","",IFERROR(IF(OR(N(BG72)&lt;=Configuration!$C$56,N(AY72)&lt;Configuration!$C$57,N(BH72)&lt;=Configuration!$C$58),TRUE(),FALSE()),FALSE()))</f>
        <v>1</v>
      </c>
      <c r="DB72" s="50" t="b">
        <f aca="false">IF(Configuration!$C$41="No","",IFERROR(IF(AND(N(AY72)&gt;=Configuration!$C$54,N(AY72)&lt;=Configuration!$C$55),TRUE(),FALSE()),FALSE()))</f>
        <v>0</v>
      </c>
      <c r="DC72" s="50" t="b">
        <f aca="false">IF(Configuration!$C$42="No","",IFERROR(IF(AND(AG72&lt;&gt;"",AJ72&lt;&gt;""),TRUE(),FALSE()),FALSE()))</f>
        <v>0</v>
      </c>
      <c r="DD72" s="51" t="n">
        <f aca="false">COUNTIF(BW72:DC72,TRUE())</f>
        <v>2</v>
      </c>
    </row>
    <row r="73" customFormat="false" ht="15" hidden="false" customHeight="true" outlineLevel="0" collapsed="false">
      <c r="A73" s="18" t="n">
        <v>34</v>
      </c>
      <c r="B73" s="44"/>
      <c r="C73" s="44"/>
      <c r="D73" s="44"/>
      <c r="E73" s="44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6" t="str">
        <f aca="false">IFERROR(IF(F73&lt;&gt;"",F73,""),"")</f>
        <v/>
      </c>
      <c r="AF73" s="46" t="str">
        <f aca="false">IFERROR(IF(G73&lt;&gt;"",G73,""),"")</f>
        <v/>
      </c>
      <c r="AG73" s="46" t="str">
        <f aca="false">IFERROR(IF(AA73&lt;&gt;"",AA73,IF(R73&lt;&gt;"",R73,"")),"")</f>
        <v/>
      </c>
      <c r="AH73" s="46" t="str">
        <f aca="false">IFERROR(IF(AB73&lt;&gt;"",AB73,IF(S73&lt;&gt;"",S73,"")),"")</f>
        <v/>
      </c>
      <c r="AI73" s="47"/>
      <c r="AJ73" s="47"/>
      <c r="AK73" s="47"/>
      <c r="AL73" s="47"/>
      <c r="AM73" s="47"/>
      <c r="AN73" s="47"/>
      <c r="AO73" s="47"/>
      <c r="AP73" s="47"/>
      <c r="AQ73" s="46" t="str">
        <f aca="false">IFERROR(IF(Y73&lt;&gt;"",VALUE(Y73),""),"")</f>
        <v/>
      </c>
      <c r="AR73" s="47"/>
      <c r="AS73" s="47"/>
      <c r="AT73" s="47"/>
      <c r="AU73" s="47"/>
      <c r="AV73" s="46" t="str">
        <f aca="false">IFERROR(IF(T73&lt;&gt;"",VALUE(T73),""),"")</f>
        <v/>
      </c>
      <c r="AW73" s="46" t="str">
        <f aca="false">IFERROR(IF(N73="","",IF(OR(ISNUMBER(SEARCH("grant",N73)),ISNUMBER(SEARCH("B",AC73))),"Granted",IF(OR(ISNUMBER(SEARCH("pend",N73)),ISNUMBER(SEARCH("A",AC73))),"Pending",IF(ISNUMBER(SEARCH("expir",N73)),"Expired",N73)))),"")</f>
        <v/>
      </c>
      <c r="AX73" s="47"/>
      <c r="AY73" s="46" t="str">
        <f aca="true">IFERROR(IF(M73&lt;&gt;"",ROUND(VALUE(M73),1),IF(L73&lt;&gt;"",ROUND(MAX(0,(DATEVALUE(TEXT(L73,"YYYY-MM-DD"))-TODAY())/365.25),1),"")),"")</f>
        <v/>
      </c>
      <c r="AZ73" s="46" t="str">
        <f aca="false">IFERROR(IF(O73&lt;&gt;"",O73,""),"")</f>
        <v/>
      </c>
      <c r="BA73" s="46" t="str">
        <f aca="false">IFERROR(IF(U73&lt;&gt;"",SUBSTITUTE(SUBSTITUTE(U73,"; ",", "),";",","),""),"")</f>
        <v/>
      </c>
      <c r="BB73" s="47"/>
      <c r="BC73" s="47"/>
      <c r="BD73" s="47"/>
      <c r="BE73" s="47"/>
      <c r="BF73" s="47"/>
      <c r="BG73" s="47"/>
      <c r="BH73" s="47"/>
      <c r="BI73" s="47"/>
      <c r="BJ73" s="47"/>
      <c r="BK73" s="46" t="str">
        <f aca="false">IFERROR(IF(W73&lt;&gt;"",VALUE(W73),""),"")</f>
        <v/>
      </c>
      <c r="BL73" s="46" t="str">
        <f aca="false">IFERROR(IF(X73&lt;&gt;"",VALUE(X73),""),"")</f>
        <v/>
      </c>
      <c r="BM73" s="46" t="str">
        <f aca="false">IFERROR(IF(AD73="","None",IF(ISNUMBER(SEARCH("surv",AD73)),"Survived",IF(ISNUMBER(SEARCH("pend",AD73)),"Pending",IF(ISNUMBER(SEARCH("yes",AD73)),"Pending","None")))),"None")</f>
        <v>None</v>
      </c>
      <c r="BN73" s="47"/>
      <c r="BO73" s="47"/>
      <c r="BP73" s="47"/>
      <c r="BQ73" s="47"/>
      <c r="BR73" s="47"/>
      <c r="BS73" s="47"/>
      <c r="BT73" s="47"/>
      <c r="BU73" s="48" t="n">
        <f aca="false">IFERROR(COUNTA(AE73:BT73)/42,0)</f>
        <v>0.30952380952381</v>
      </c>
      <c r="BV73" s="49"/>
      <c r="BW73" s="50" t="b">
        <f aca="false">IF(Configuration!$C$10="No","",IFERROR(IF(AG73&lt;&gt;"",TRUE(),FALSE()),FALSE()))</f>
        <v>0</v>
      </c>
      <c r="BX73" s="50" t="b">
        <f aca="false">IF(Configuration!$C$11="No","",IFERROR(IF(AND(N(AL73)&gt;=Configuration!$C$44,AM73&lt;&gt;""),TRUE(),FALSE()),FALSE()))</f>
        <v>0</v>
      </c>
      <c r="BY73" s="50" t="b">
        <f aca="false">IF(Configuration!$C$12="No","",IFERROR(IF(AJ73&lt;&gt;"",TRUE(),FALSE()),FALSE()))</f>
        <v>0</v>
      </c>
      <c r="BZ73" s="50" t="b">
        <f aca="false">IF(Configuration!$C$13="No","",IFERROR(IF(AI73&lt;&gt;"",TRUE(),FALSE()),FALSE()))</f>
        <v>0</v>
      </c>
      <c r="CA73" s="50" t="b">
        <f aca="false">IF(Configuration!$C$14="No","",IFERROR(IF(AK73&lt;&gt;"",TRUE(),FALSE()),FALSE()))</f>
        <v>0</v>
      </c>
      <c r="CB73" s="50" t="b">
        <f aca="false">IF(Configuration!$C$15="No","",IFERROR(IF(AND(OR(ISNUMBER(SEARCH("process",AG73)),ISNUMBER(SEARCH("fab",AG73)),ISNUMBER(SEARCH("manufac",AG73))),AO73="Method"),TRUE(),FALSE()),FALSE()))</f>
        <v>0</v>
      </c>
      <c r="CC73" s="50" t="b">
        <f aca="false">IF(Configuration!$C$16="No","",IFERROR(IF(AND(OR(ISNUMBER(SEARCH("material",AG73)),ISNUMBER(SEARCH("chem",AG73)),ISNUMBER(SEARCH("battery",AG73)),ISNUMBER(SEARCH("electrolyte",AG73)),ISNUMBER(SEARCH("polymer",AG73))),OR(AO73="Apparatus",AO73="Method")),TRUE(),FALSE()),FALSE()))</f>
        <v>0</v>
      </c>
      <c r="CD73" s="50" t="b">
        <f aca="false">IF(Configuration!$C$17="No","",IFERROR(IF(AND(OR(AI73="App",AI73="Middleware",AI73="Cloud"),OR(AO73="Method",AO73="CRM")),TRUE(),FALSE()),FALSE()))</f>
        <v>0</v>
      </c>
      <c r="CE73" s="50" t="b">
        <f aca="false">IF(Configuration!$C$18="No","",IFERROR(IF(N(AN73)&gt;=Configuration!$C$45,TRUE(),FALSE()),FALSE()))</f>
        <v>0</v>
      </c>
      <c r="CF73" s="50" t="b">
        <f aca="false">IF(Configuration!$C$19="No","",IFERROR(IF(BE73&lt;&gt;"",TRUE(),FALSE()),FALSE()))</f>
        <v>0</v>
      </c>
      <c r="CG73" s="50" t="b">
        <f aca="false">IF(Configuration!$C$20="No","",IFERROR(IF(AO73&lt;&gt;"",TRUE(),FALSE()),FALSE()))</f>
        <v>0</v>
      </c>
      <c r="CH73" s="50" t="b">
        <f aca="false">IF(Configuration!$C$21="No","",IFERROR(IF(OR(N(AS73)&gt;=Configuration!$C$46,N(AT73)&gt;=Configuration!$C$47),TRUE(),FALSE()),FALSE()))</f>
        <v>0</v>
      </c>
      <c r="CI73" s="50" t="b">
        <f aca="false">IF(Configuration!$C$22="No","",IFERROR(IF(BB73="Yes",TRUE(),FALSE()),FALSE()))</f>
        <v>0</v>
      </c>
      <c r="CJ73" s="50" t="b">
        <f aca="false">IF(Configuration!$C$23="No","",IFERROR(IF(N(AV73)&gt;=Configuration!$C$48,TRUE(),FALSE()),FALSE()))</f>
        <v>0</v>
      </c>
      <c r="CK73" s="50" t="b">
        <f aca="false">IF(Configuration!$C$24="No","",IFERROR(IF(N(AY73)&gt;0,TRUE(),FALSE()),FALSE()))</f>
        <v>0</v>
      </c>
      <c r="CL73" s="50" t="b">
        <f aca="false">IF(Configuration!$C$25="No","",IFERROR(IF(OR(N(AP73)=3,N(AP73)&lt;=1),TRUE(),FALSE()),FALSE()))</f>
        <v>1</v>
      </c>
      <c r="CM73" s="50" t="b">
        <f aca="false">IF(Configuration!$C$26="No","",IFERROR(IF(N(BF73)&gt;=Configuration!$C$49,TRUE(),FALSE()),FALSE()))</f>
        <v>0</v>
      </c>
      <c r="CN73" s="50" t="b">
        <f aca="false">IF(Configuration!$C$27="No","",IFERROR(IF(BD73&lt;&gt;"",TRUE(),FALSE()),FALSE()))</f>
        <v>0</v>
      </c>
      <c r="CO73" s="50" t="b">
        <f aca="false">IF(Configuration!$C$28="No","",IFERROR(IF(N(AU73)&gt;=Configuration!$C$50,TRUE(),FALSE()),FALSE()))</f>
        <v>0</v>
      </c>
      <c r="CP73" s="50" t="b">
        <f aca="false">IF(Configuration!$C$29="No","",IFERROR(IF(AND(N(AR73)&gt;=Configuration!$C$51,AG73&lt;&gt;""),TRUE(),FALSE()),FALSE()))</f>
        <v>0</v>
      </c>
      <c r="CQ73" s="50" t="b">
        <f aca="false">IF(Configuration!$C$30="No","",IFERROR(IF(OR(AW73="Pending",AX73="Yes"),TRUE(),FALSE()),FALSE()))</f>
        <v>0</v>
      </c>
      <c r="CR73" s="50" t="b">
        <f aca="false">IF(Configuration!$C$31="No","",IFERROR(IF(AND(N(BG73)&gt;=Configuration!$C$52,N(AP73)&gt;=1),TRUE(),FALSE()),FALSE()))</f>
        <v>0</v>
      </c>
      <c r="CS73" s="50" t="b">
        <f aca="false">IF(Configuration!$C$32="No","",IFERROR(IF(AND(N(AR73)&gt;=1,OR(AG73&lt;&gt;"",AM73&lt;&gt;"")),TRUE(),FALSE()),FALSE()))</f>
        <v>0</v>
      </c>
      <c r="CT73" s="50" t="b">
        <f aca="false">IF(Configuration!$C$33="No","",IFERROR(IF(AG73&lt;&gt;"",TRUE(),FALSE()),FALSE()))</f>
        <v>0</v>
      </c>
      <c r="CU73" s="50" t="b">
        <f aca="false">IF(Configuration!$C$34="No","",IFERROR(IF(AX73="Yes",TRUE(),FALSE()),FALSE()))</f>
        <v>0</v>
      </c>
      <c r="CV73" s="50" t="b">
        <f aca="false">IF(Configuration!$C$35="No","",IFERROR(IF(OR(BO73="Partial",BO73="Full"),TRUE(),FALSE()),FALSE()))</f>
        <v>0</v>
      </c>
      <c r="CW73" s="50" t="b">
        <f aca="false">IF(Configuration!$C$36="No","",IFERROR(IF(BM73="Survived",TRUE(),FALSE()),FALSE()))</f>
        <v>0</v>
      </c>
      <c r="CX73" s="50" t="b">
        <f aca="false">IF(Configuration!$C$37="No","",IFERROR(IF(AND(BN73="Clean",BP73="None"),TRUE(),FALSE()),FALSE()))</f>
        <v>0</v>
      </c>
      <c r="CY73" s="50" t="b">
        <f aca="false">IF(Configuration!$C$38="No","",IFERROR(IF(N(BK73)&gt;=Configuration!$C$53,TRUE(),FALSE()),FALSE()))</f>
        <v>0</v>
      </c>
      <c r="CZ73" s="50" t="b">
        <f aca="false">IF(Configuration!$C$39="No","",IFERROR(IF(AND(N(BS73)&gt;=2,N(BF73)&gt;=2),TRUE(),FALSE()),FALSE()))</f>
        <v>0</v>
      </c>
      <c r="DA73" s="50" t="b">
        <f aca="false">IF(Configuration!$C$40="No","",IFERROR(IF(OR(N(BG73)&lt;=Configuration!$C$56,N(AY73)&lt;Configuration!$C$57,N(BH73)&lt;=Configuration!$C$58),TRUE(),FALSE()),FALSE()))</f>
        <v>1</v>
      </c>
      <c r="DB73" s="50" t="b">
        <f aca="false">IF(Configuration!$C$41="No","",IFERROR(IF(AND(N(AY73)&gt;=Configuration!$C$54,N(AY73)&lt;=Configuration!$C$55),TRUE(),FALSE()),FALSE()))</f>
        <v>0</v>
      </c>
      <c r="DC73" s="50" t="b">
        <f aca="false">IF(Configuration!$C$42="No","",IFERROR(IF(AND(AG73&lt;&gt;"",AJ73&lt;&gt;""),TRUE(),FALSE()),FALSE()))</f>
        <v>0</v>
      </c>
      <c r="DD73" s="51" t="n">
        <f aca="false">COUNTIF(BW73:DC73,TRUE())</f>
        <v>2</v>
      </c>
    </row>
    <row r="74" customFormat="false" ht="15" hidden="false" customHeight="true" outlineLevel="0" collapsed="false">
      <c r="A74" s="18" t="n">
        <v>35</v>
      </c>
      <c r="B74" s="44"/>
      <c r="C74" s="44"/>
      <c r="D74" s="44"/>
      <c r="E74" s="44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6" t="str">
        <f aca="false">IFERROR(IF(F74&lt;&gt;"",F74,""),"")</f>
        <v/>
      </c>
      <c r="AF74" s="46" t="str">
        <f aca="false">IFERROR(IF(G74&lt;&gt;"",G74,""),"")</f>
        <v/>
      </c>
      <c r="AG74" s="46" t="str">
        <f aca="false">IFERROR(IF(AA74&lt;&gt;"",AA74,IF(R74&lt;&gt;"",R74,"")),"")</f>
        <v/>
      </c>
      <c r="AH74" s="46" t="str">
        <f aca="false">IFERROR(IF(AB74&lt;&gt;"",AB74,IF(S74&lt;&gt;"",S74,"")),"")</f>
        <v/>
      </c>
      <c r="AI74" s="47"/>
      <c r="AJ74" s="47"/>
      <c r="AK74" s="47"/>
      <c r="AL74" s="47"/>
      <c r="AM74" s="47"/>
      <c r="AN74" s="47"/>
      <c r="AO74" s="47"/>
      <c r="AP74" s="47"/>
      <c r="AQ74" s="46" t="str">
        <f aca="false">IFERROR(IF(Y74&lt;&gt;"",VALUE(Y74),""),"")</f>
        <v/>
      </c>
      <c r="AR74" s="47"/>
      <c r="AS74" s="47"/>
      <c r="AT74" s="47"/>
      <c r="AU74" s="47"/>
      <c r="AV74" s="46" t="str">
        <f aca="false">IFERROR(IF(T74&lt;&gt;"",VALUE(T74),""),"")</f>
        <v/>
      </c>
      <c r="AW74" s="46" t="str">
        <f aca="false">IFERROR(IF(N74="","",IF(OR(ISNUMBER(SEARCH("grant",N74)),ISNUMBER(SEARCH("B",AC74))),"Granted",IF(OR(ISNUMBER(SEARCH("pend",N74)),ISNUMBER(SEARCH("A",AC74))),"Pending",IF(ISNUMBER(SEARCH("expir",N74)),"Expired",N74)))),"")</f>
        <v/>
      </c>
      <c r="AX74" s="47"/>
      <c r="AY74" s="46" t="str">
        <f aca="true">IFERROR(IF(M74&lt;&gt;"",ROUND(VALUE(M74),1),IF(L74&lt;&gt;"",ROUND(MAX(0,(DATEVALUE(TEXT(L74,"YYYY-MM-DD"))-TODAY())/365.25),1),"")),"")</f>
        <v/>
      </c>
      <c r="AZ74" s="46" t="str">
        <f aca="false">IFERROR(IF(O74&lt;&gt;"",O74,""),"")</f>
        <v/>
      </c>
      <c r="BA74" s="46" t="str">
        <f aca="false">IFERROR(IF(U74&lt;&gt;"",SUBSTITUTE(SUBSTITUTE(U74,"; ",", "),";",","),""),"")</f>
        <v/>
      </c>
      <c r="BB74" s="47"/>
      <c r="BC74" s="47"/>
      <c r="BD74" s="47"/>
      <c r="BE74" s="47"/>
      <c r="BF74" s="47"/>
      <c r="BG74" s="47"/>
      <c r="BH74" s="47"/>
      <c r="BI74" s="47"/>
      <c r="BJ74" s="47"/>
      <c r="BK74" s="46" t="str">
        <f aca="false">IFERROR(IF(W74&lt;&gt;"",VALUE(W74),""),"")</f>
        <v/>
      </c>
      <c r="BL74" s="46" t="str">
        <f aca="false">IFERROR(IF(X74&lt;&gt;"",VALUE(X74),""),"")</f>
        <v/>
      </c>
      <c r="BM74" s="46" t="str">
        <f aca="false">IFERROR(IF(AD74="","None",IF(ISNUMBER(SEARCH("surv",AD74)),"Survived",IF(ISNUMBER(SEARCH("pend",AD74)),"Pending",IF(ISNUMBER(SEARCH("yes",AD74)),"Pending","None")))),"None")</f>
        <v>None</v>
      </c>
      <c r="BN74" s="47"/>
      <c r="BO74" s="47"/>
      <c r="BP74" s="47"/>
      <c r="BQ74" s="47"/>
      <c r="BR74" s="47"/>
      <c r="BS74" s="47"/>
      <c r="BT74" s="47"/>
      <c r="BU74" s="48" t="n">
        <f aca="false">IFERROR(COUNTA(AE74:BT74)/42,0)</f>
        <v>0.30952380952381</v>
      </c>
      <c r="BV74" s="49"/>
      <c r="BW74" s="50" t="b">
        <f aca="false">IF(Configuration!$C$10="No","",IFERROR(IF(AG74&lt;&gt;"",TRUE(),FALSE()),FALSE()))</f>
        <v>0</v>
      </c>
      <c r="BX74" s="50" t="b">
        <f aca="false">IF(Configuration!$C$11="No","",IFERROR(IF(AND(N(AL74)&gt;=Configuration!$C$44,AM74&lt;&gt;""),TRUE(),FALSE()),FALSE()))</f>
        <v>0</v>
      </c>
      <c r="BY74" s="50" t="b">
        <f aca="false">IF(Configuration!$C$12="No","",IFERROR(IF(AJ74&lt;&gt;"",TRUE(),FALSE()),FALSE()))</f>
        <v>0</v>
      </c>
      <c r="BZ74" s="50" t="b">
        <f aca="false">IF(Configuration!$C$13="No","",IFERROR(IF(AI74&lt;&gt;"",TRUE(),FALSE()),FALSE()))</f>
        <v>0</v>
      </c>
      <c r="CA74" s="50" t="b">
        <f aca="false">IF(Configuration!$C$14="No","",IFERROR(IF(AK74&lt;&gt;"",TRUE(),FALSE()),FALSE()))</f>
        <v>0</v>
      </c>
      <c r="CB74" s="50" t="b">
        <f aca="false">IF(Configuration!$C$15="No","",IFERROR(IF(AND(OR(ISNUMBER(SEARCH("process",AG74)),ISNUMBER(SEARCH("fab",AG74)),ISNUMBER(SEARCH("manufac",AG74))),AO74="Method"),TRUE(),FALSE()),FALSE()))</f>
        <v>0</v>
      </c>
      <c r="CC74" s="50" t="b">
        <f aca="false">IF(Configuration!$C$16="No","",IFERROR(IF(AND(OR(ISNUMBER(SEARCH("material",AG74)),ISNUMBER(SEARCH("chem",AG74)),ISNUMBER(SEARCH("battery",AG74)),ISNUMBER(SEARCH("electrolyte",AG74)),ISNUMBER(SEARCH("polymer",AG74))),OR(AO74="Apparatus",AO74="Method")),TRUE(),FALSE()),FALSE()))</f>
        <v>0</v>
      </c>
      <c r="CD74" s="50" t="b">
        <f aca="false">IF(Configuration!$C$17="No","",IFERROR(IF(AND(OR(AI74="App",AI74="Middleware",AI74="Cloud"),OR(AO74="Method",AO74="CRM")),TRUE(),FALSE()),FALSE()))</f>
        <v>0</v>
      </c>
      <c r="CE74" s="50" t="b">
        <f aca="false">IF(Configuration!$C$18="No","",IFERROR(IF(N(AN74)&gt;=Configuration!$C$45,TRUE(),FALSE()),FALSE()))</f>
        <v>0</v>
      </c>
      <c r="CF74" s="50" t="b">
        <f aca="false">IF(Configuration!$C$19="No","",IFERROR(IF(BE74&lt;&gt;"",TRUE(),FALSE()),FALSE()))</f>
        <v>0</v>
      </c>
      <c r="CG74" s="50" t="b">
        <f aca="false">IF(Configuration!$C$20="No","",IFERROR(IF(AO74&lt;&gt;"",TRUE(),FALSE()),FALSE()))</f>
        <v>0</v>
      </c>
      <c r="CH74" s="50" t="b">
        <f aca="false">IF(Configuration!$C$21="No","",IFERROR(IF(OR(N(AS74)&gt;=Configuration!$C$46,N(AT74)&gt;=Configuration!$C$47),TRUE(),FALSE()),FALSE()))</f>
        <v>0</v>
      </c>
      <c r="CI74" s="50" t="b">
        <f aca="false">IF(Configuration!$C$22="No","",IFERROR(IF(BB74="Yes",TRUE(),FALSE()),FALSE()))</f>
        <v>0</v>
      </c>
      <c r="CJ74" s="50" t="b">
        <f aca="false">IF(Configuration!$C$23="No","",IFERROR(IF(N(AV74)&gt;=Configuration!$C$48,TRUE(),FALSE()),FALSE()))</f>
        <v>0</v>
      </c>
      <c r="CK74" s="50" t="b">
        <f aca="false">IF(Configuration!$C$24="No","",IFERROR(IF(N(AY74)&gt;0,TRUE(),FALSE()),FALSE()))</f>
        <v>0</v>
      </c>
      <c r="CL74" s="50" t="b">
        <f aca="false">IF(Configuration!$C$25="No","",IFERROR(IF(OR(N(AP74)=3,N(AP74)&lt;=1),TRUE(),FALSE()),FALSE()))</f>
        <v>1</v>
      </c>
      <c r="CM74" s="50" t="b">
        <f aca="false">IF(Configuration!$C$26="No","",IFERROR(IF(N(BF74)&gt;=Configuration!$C$49,TRUE(),FALSE()),FALSE()))</f>
        <v>0</v>
      </c>
      <c r="CN74" s="50" t="b">
        <f aca="false">IF(Configuration!$C$27="No","",IFERROR(IF(BD74&lt;&gt;"",TRUE(),FALSE()),FALSE()))</f>
        <v>0</v>
      </c>
      <c r="CO74" s="50" t="b">
        <f aca="false">IF(Configuration!$C$28="No","",IFERROR(IF(N(AU74)&gt;=Configuration!$C$50,TRUE(),FALSE()),FALSE()))</f>
        <v>0</v>
      </c>
      <c r="CP74" s="50" t="b">
        <f aca="false">IF(Configuration!$C$29="No","",IFERROR(IF(AND(N(AR74)&gt;=Configuration!$C$51,AG74&lt;&gt;""),TRUE(),FALSE()),FALSE()))</f>
        <v>0</v>
      </c>
      <c r="CQ74" s="50" t="b">
        <f aca="false">IF(Configuration!$C$30="No","",IFERROR(IF(OR(AW74="Pending",AX74="Yes"),TRUE(),FALSE()),FALSE()))</f>
        <v>0</v>
      </c>
      <c r="CR74" s="50" t="b">
        <f aca="false">IF(Configuration!$C$31="No","",IFERROR(IF(AND(N(BG74)&gt;=Configuration!$C$52,N(AP74)&gt;=1),TRUE(),FALSE()),FALSE()))</f>
        <v>0</v>
      </c>
      <c r="CS74" s="50" t="b">
        <f aca="false">IF(Configuration!$C$32="No","",IFERROR(IF(AND(N(AR74)&gt;=1,OR(AG74&lt;&gt;"",AM74&lt;&gt;"")),TRUE(),FALSE()),FALSE()))</f>
        <v>0</v>
      </c>
      <c r="CT74" s="50" t="b">
        <f aca="false">IF(Configuration!$C$33="No","",IFERROR(IF(AG74&lt;&gt;"",TRUE(),FALSE()),FALSE()))</f>
        <v>0</v>
      </c>
      <c r="CU74" s="50" t="b">
        <f aca="false">IF(Configuration!$C$34="No","",IFERROR(IF(AX74="Yes",TRUE(),FALSE()),FALSE()))</f>
        <v>0</v>
      </c>
      <c r="CV74" s="50" t="b">
        <f aca="false">IF(Configuration!$C$35="No","",IFERROR(IF(OR(BO74="Partial",BO74="Full"),TRUE(),FALSE()),FALSE()))</f>
        <v>0</v>
      </c>
      <c r="CW74" s="50" t="b">
        <f aca="false">IF(Configuration!$C$36="No","",IFERROR(IF(BM74="Survived",TRUE(),FALSE()),FALSE()))</f>
        <v>0</v>
      </c>
      <c r="CX74" s="50" t="b">
        <f aca="false">IF(Configuration!$C$37="No","",IFERROR(IF(AND(BN74="Clean",BP74="None"),TRUE(),FALSE()),FALSE()))</f>
        <v>0</v>
      </c>
      <c r="CY74" s="50" t="b">
        <f aca="false">IF(Configuration!$C$38="No","",IFERROR(IF(N(BK74)&gt;=Configuration!$C$53,TRUE(),FALSE()),FALSE()))</f>
        <v>0</v>
      </c>
      <c r="CZ74" s="50" t="b">
        <f aca="false">IF(Configuration!$C$39="No","",IFERROR(IF(AND(N(BS74)&gt;=2,N(BF74)&gt;=2),TRUE(),FALSE()),FALSE()))</f>
        <v>0</v>
      </c>
      <c r="DA74" s="50" t="b">
        <f aca="false">IF(Configuration!$C$40="No","",IFERROR(IF(OR(N(BG74)&lt;=Configuration!$C$56,N(AY74)&lt;Configuration!$C$57,N(BH74)&lt;=Configuration!$C$58),TRUE(),FALSE()),FALSE()))</f>
        <v>1</v>
      </c>
      <c r="DB74" s="50" t="b">
        <f aca="false">IF(Configuration!$C$41="No","",IFERROR(IF(AND(N(AY74)&gt;=Configuration!$C$54,N(AY74)&lt;=Configuration!$C$55),TRUE(),FALSE()),FALSE()))</f>
        <v>0</v>
      </c>
      <c r="DC74" s="50" t="b">
        <f aca="false">IF(Configuration!$C$42="No","",IFERROR(IF(AND(AG74&lt;&gt;"",AJ74&lt;&gt;""),TRUE(),FALSE()),FALSE()))</f>
        <v>0</v>
      </c>
      <c r="DD74" s="51" t="n">
        <f aca="false">COUNTIF(BW74:DC74,TRUE())</f>
        <v>2</v>
      </c>
    </row>
    <row r="75" customFormat="false" ht="15" hidden="false" customHeight="true" outlineLevel="0" collapsed="false">
      <c r="A75" s="18" t="n">
        <v>36</v>
      </c>
      <c r="B75" s="44"/>
      <c r="C75" s="44"/>
      <c r="D75" s="44"/>
      <c r="E75" s="44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6" t="str">
        <f aca="false">IFERROR(IF(F75&lt;&gt;"",F75,""),"")</f>
        <v/>
      </c>
      <c r="AF75" s="46" t="str">
        <f aca="false">IFERROR(IF(G75&lt;&gt;"",G75,""),"")</f>
        <v/>
      </c>
      <c r="AG75" s="46" t="str">
        <f aca="false">IFERROR(IF(AA75&lt;&gt;"",AA75,IF(R75&lt;&gt;"",R75,"")),"")</f>
        <v/>
      </c>
      <c r="AH75" s="46" t="str">
        <f aca="false">IFERROR(IF(AB75&lt;&gt;"",AB75,IF(S75&lt;&gt;"",S75,"")),"")</f>
        <v/>
      </c>
      <c r="AI75" s="47"/>
      <c r="AJ75" s="47"/>
      <c r="AK75" s="47"/>
      <c r="AL75" s="47"/>
      <c r="AM75" s="47"/>
      <c r="AN75" s="47"/>
      <c r="AO75" s="47"/>
      <c r="AP75" s="47"/>
      <c r="AQ75" s="46" t="str">
        <f aca="false">IFERROR(IF(Y75&lt;&gt;"",VALUE(Y75),""),"")</f>
        <v/>
      </c>
      <c r="AR75" s="47"/>
      <c r="AS75" s="47"/>
      <c r="AT75" s="47"/>
      <c r="AU75" s="47"/>
      <c r="AV75" s="46" t="str">
        <f aca="false">IFERROR(IF(T75&lt;&gt;"",VALUE(T75),""),"")</f>
        <v/>
      </c>
      <c r="AW75" s="46" t="str">
        <f aca="false">IFERROR(IF(N75="","",IF(OR(ISNUMBER(SEARCH("grant",N75)),ISNUMBER(SEARCH("B",AC75))),"Granted",IF(OR(ISNUMBER(SEARCH("pend",N75)),ISNUMBER(SEARCH("A",AC75))),"Pending",IF(ISNUMBER(SEARCH("expir",N75)),"Expired",N75)))),"")</f>
        <v/>
      </c>
      <c r="AX75" s="47"/>
      <c r="AY75" s="46" t="str">
        <f aca="true">IFERROR(IF(M75&lt;&gt;"",ROUND(VALUE(M75),1),IF(L75&lt;&gt;"",ROUND(MAX(0,(DATEVALUE(TEXT(L75,"YYYY-MM-DD"))-TODAY())/365.25),1),"")),"")</f>
        <v/>
      </c>
      <c r="AZ75" s="46" t="str">
        <f aca="false">IFERROR(IF(O75&lt;&gt;"",O75,""),"")</f>
        <v/>
      </c>
      <c r="BA75" s="46" t="str">
        <f aca="false">IFERROR(IF(U75&lt;&gt;"",SUBSTITUTE(SUBSTITUTE(U75,"; ",", "),";",","),""),"")</f>
        <v/>
      </c>
      <c r="BB75" s="47"/>
      <c r="BC75" s="47"/>
      <c r="BD75" s="47"/>
      <c r="BE75" s="47"/>
      <c r="BF75" s="47"/>
      <c r="BG75" s="47"/>
      <c r="BH75" s="47"/>
      <c r="BI75" s="47"/>
      <c r="BJ75" s="47"/>
      <c r="BK75" s="46" t="str">
        <f aca="false">IFERROR(IF(W75&lt;&gt;"",VALUE(W75),""),"")</f>
        <v/>
      </c>
      <c r="BL75" s="46" t="str">
        <f aca="false">IFERROR(IF(X75&lt;&gt;"",VALUE(X75),""),"")</f>
        <v/>
      </c>
      <c r="BM75" s="46" t="str">
        <f aca="false">IFERROR(IF(AD75="","None",IF(ISNUMBER(SEARCH("surv",AD75)),"Survived",IF(ISNUMBER(SEARCH("pend",AD75)),"Pending",IF(ISNUMBER(SEARCH("yes",AD75)),"Pending","None")))),"None")</f>
        <v>None</v>
      </c>
      <c r="BN75" s="47"/>
      <c r="BO75" s="47"/>
      <c r="BP75" s="47"/>
      <c r="BQ75" s="47"/>
      <c r="BR75" s="47"/>
      <c r="BS75" s="47"/>
      <c r="BT75" s="47"/>
      <c r="BU75" s="48" t="n">
        <f aca="false">IFERROR(COUNTA(AE75:BT75)/42,0)</f>
        <v>0.30952380952381</v>
      </c>
      <c r="BV75" s="49"/>
      <c r="BW75" s="50" t="b">
        <f aca="false">IF(Configuration!$C$10="No","",IFERROR(IF(AG75&lt;&gt;"",TRUE(),FALSE()),FALSE()))</f>
        <v>0</v>
      </c>
      <c r="BX75" s="50" t="b">
        <f aca="false">IF(Configuration!$C$11="No","",IFERROR(IF(AND(N(AL75)&gt;=Configuration!$C$44,AM75&lt;&gt;""),TRUE(),FALSE()),FALSE()))</f>
        <v>0</v>
      </c>
      <c r="BY75" s="50" t="b">
        <f aca="false">IF(Configuration!$C$12="No","",IFERROR(IF(AJ75&lt;&gt;"",TRUE(),FALSE()),FALSE()))</f>
        <v>0</v>
      </c>
      <c r="BZ75" s="50" t="b">
        <f aca="false">IF(Configuration!$C$13="No","",IFERROR(IF(AI75&lt;&gt;"",TRUE(),FALSE()),FALSE()))</f>
        <v>0</v>
      </c>
      <c r="CA75" s="50" t="b">
        <f aca="false">IF(Configuration!$C$14="No","",IFERROR(IF(AK75&lt;&gt;"",TRUE(),FALSE()),FALSE()))</f>
        <v>0</v>
      </c>
      <c r="CB75" s="50" t="b">
        <f aca="false">IF(Configuration!$C$15="No","",IFERROR(IF(AND(OR(ISNUMBER(SEARCH("process",AG75)),ISNUMBER(SEARCH("fab",AG75)),ISNUMBER(SEARCH("manufac",AG75))),AO75="Method"),TRUE(),FALSE()),FALSE()))</f>
        <v>0</v>
      </c>
      <c r="CC75" s="50" t="b">
        <f aca="false">IF(Configuration!$C$16="No","",IFERROR(IF(AND(OR(ISNUMBER(SEARCH("material",AG75)),ISNUMBER(SEARCH("chem",AG75)),ISNUMBER(SEARCH("battery",AG75)),ISNUMBER(SEARCH("electrolyte",AG75)),ISNUMBER(SEARCH("polymer",AG75))),OR(AO75="Apparatus",AO75="Method")),TRUE(),FALSE()),FALSE()))</f>
        <v>0</v>
      </c>
      <c r="CD75" s="50" t="b">
        <f aca="false">IF(Configuration!$C$17="No","",IFERROR(IF(AND(OR(AI75="App",AI75="Middleware",AI75="Cloud"),OR(AO75="Method",AO75="CRM")),TRUE(),FALSE()),FALSE()))</f>
        <v>0</v>
      </c>
      <c r="CE75" s="50" t="b">
        <f aca="false">IF(Configuration!$C$18="No","",IFERROR(IF(N(AN75)&gt;=Configuration!$C$45,TRUE(),FALSE()),FALSE()))</f>
        <v>0</v>
      </c>
      <c r="CF75" s="50" t="b">
        <f aca="false">IF(Configuration!$C$19="No","",IFERROR(IF(BE75&lt;&gt;"",TRUE(),FALSE()),FALSE()))</f>
        <v>0</v>
      </c>
      <c r="CG75" s="50" t="b">
        <f aca="false">IF(Configuration!$C$20="No","",IFERROR(IF(AO75&lt;&gt;"",TRUE(),FALSE()),FALSE()))</f>
        <v>0</v>
      </c>
      <c r="CH75" s="50" t="b">
        <f aca="false">IF(Configuration!$C$21="No","",IFERROR(IF(OR(N(AS75)&gt;=Configuration!$C$46,N(AT75)&gt;=Configuration!$C$47),TRUE(),FALSE()),FALSE()))</f>
        <v>0</v>
      </c>
      <c r="CI75" s="50" t="b">
        <f aca="false">IF(Configuration!$C$22="No","",IFERROR(IF(BB75="Yes",TRUE(),FALSE()),FALSE()))</f>
        <v>0</v>
      </c>
      <c r="CJ75" s="50" t="b">
        <f aca="false">IF(Configuration!$C$23="No","",IFERROR(IF(N(AV75)&gt;=Configuration!$C$48,TRUE(),FALSE()),FALSE()))</f>
        <v>0</v>
      </c>
      <c r="CK75" s="50" t="b">
        <f aca="false">IF(Configuration!$C$24="No","",IFERROR(IF(N(AY75)&gt;0,TRUE(),FALSE()),FALSE()))</f>
        <v>0</v>
      </c>
      <c r="CL75" s="50" t="b">
        <f aca="false">IF(Configuration!$C$25="No","",IFERROR(IF(OR(N(AP75)=3,N(AP75)&lt;=1),TRUE(),FALSE()),FALSE()))</f>
        <v>1</v>
      </c>
      <c r="CM75" s="50" t="b">
        <f aca="false">IF(Configuration!$C$26="No","",IFERROR(IF(N(BF75)&gt;=Configuration!$C$49,TRUE(),FALSE()),FALSE()))</f>
        <v>0</v>
      </c>
      <c r="CN75" s="50" t="b">
        <f aca="false">IF(Configuration!$C$27="No","",IFERROR(IF(BD75&lt;&gt;"",TRUE(),FALSE()),FALSE()))</f>
        <v>0</v>
      </c>
      <c r="CO75" s="50" t="b">
        <f aca="false">IF(Configuration!$C$28="No","",IFERROR(IF(N(AU75)&gt;=Configuration!$C$50,TRUE(),FALSE()),FALSE()))</f>
        <v>0</v>
      </c>
      <c r="CP75" s="50" t="b">
        <f aca="false">IF(Configuration!$C$29="No","",IFERROR(IF(AND(N(AR75)&gt;=Configuration!$C$51,AG75&lt;&gt;""),TRUE(),FALSE()),FALSE()))</f>
        <v>0</v>
      </c>
      <c r="CQ75" s="50" t="b">
        <f aca="false">IF(Configuration!$C$30="No","",IFERROR(IF(OR(AW75="Pending",AX75="Yes"),TRUE(),FALSE()),FALSE()))</f>
        <v>0</v>
      </c>
      <c r="CR75" s="50" t="b">
        <f aca="false">IF(Configuration!$C$31="No","",IFERROR(IF(AND(N(BG75)&gt;=Configuration!$C$52,N(AP75)&gt;=1),TRUE(),FALSE()),FALSE()))</f>
        <v>0</v>
      </c>
      <c r="CS75" s="50" t="b">
        <f aca="false">IF(Configuration!$C$32="No","",IFERROR(IF(AND(N(AR75)&gt;=1,OR(AG75&lt;&gt;"",AM75&lt;&gt;"")),TRUE(),FALSE()),FALSE()))</f>
        <v>0</v>
      </c>
      <c r="CT75" s="50" t="b">
        <f aca="false">IF(Configuration!$C$33="No","",IFERROR(IF(AG75&lt;&gt;"",TRUE(),FALSE()),FALSE()))</f>
        <v>0</v>
      </c>
      <c r="CU75" s="50" t="b">
        <f aca="false">IF(Configuration!$C$34="No","",IFERROR(IF(AX75="Yes",TRUE(),FALSE()),FALSE()))</f>
        <v>0</v>
      </c>
      <c r="CV75" s="50" t="b">
        <f aca="false">IF(Configuration!$C$35="No","",IFERROR(IF(OR(BO75="Partial",BO75="Full"),TRUE(),FALSE()),FALSE()))</f>
        <v>0</v>
      </c>
      <c r="CW75" s="50" t="b">
        <f aca="false">IF(Configuration!$C$36="No","",IFERROR(IF(BM75="Survived",TRUE(),FALSE()),FALSE()))</f>
        <v>0</v>
      </c>
      <c r="CX75" s="50" t="b">
        <f aca="false">IF(Configuration!$C$37="No","",IFERROR(IF(AND(BN75="Clean",BP75="None"),TRUE(),FALSE()),FALSE()))</f>
        <v>0</v>
      </c>
      <c r="CY75" s="50" t="b">
        <f aca="false">IF(Configuration!$C$38="No","",IFERROR(IF(N(BK75)&gt;=Configuration!$C$53,TRUE(),FALSE()),FALSE()))</f>
        <v>0</v>
      </c>
      <c r="CZ75" s="50" t="b">
        <f aca="false">IF(Configuration!$C$39="No","",IFERROR(IF(AND(N(BS75)&gt;=2,N(BF75)&gt;=2),TRUE(),FALSE()),FALSE()))</f>
        <v>0</v>
      </c>
      <c r="DA75" s="50" t="b">
        <f aca="false">IF(Configuration!$C$40="No","",IFERROR(IF(OR(N(BG75)&lt;=Configuration!$C$56,N(AY75)&lt;Configuration!$C$57,N(BH75)&lt;=Configuration!$C$58),TRUE(),FALSE()),FALSE()))</f>
        <v>1</v>
      </c>
      <c r="DB75" s="50" t="b">
        <f aca="false">IF(Configuration!$C$41="No","",IFERROR(IF(AND(N(AY75)&gt;=Configuration!$C$54,N(AY75)&lt;=Configuration!$C$55),TRUE(),FALSE()),FALSE()))</f>
        <v>0</v>
      </c>
      <c r="DC75" s="50" t="b">
        <f aca="false">IF(Configuration!$C$42="No","",IFERROR(IF(AND(AG75&lt;&gt;"",AJ75&lt;&gt;""),TRUE(),FALSE()),FALSE()))</f>
        <v>0</v>
      </c>
      <c r="DD75" s="51" t="n">
        <f aca="false">COUNTIF(BW75:DC75,TRUE())</f>
        <v>2</v>
      </c>
    </row>
    <row r="76" customFormat="false" ht="15" hidden="false" customHeight="true" outlineLevel="0" collapsed="false">
      <c r="A76" s="18" t="n">
        <v>37</v>
      </c>
      <c r="B76" s="44"/>
      <c r="C76" s="44"/>
      <c r="D76" s="44"/>
      <c r="E76" s="44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6" t="str">
        <f aca="false">IFERROR(IF(F76&lt;&gt;"",F76,""),"")</f>
        <v/>
      </c>
      <c r="AF76" s="46" t="str">
        <f aca="false">IFERROR(IF(G76&lt;&gt;"",G76,""),"")</f>
        <v/>
      </c>
      <c r="AG76" s="46" t="str">
        <f aca="false">IFERROR(IF(AA76&lt;&gt;"",AA76,IF(R76&lt;&gt;"",R76,"")),"")</f>
        <v/>
      </c>
      <c r="AH76" s="46" t="str">
        <f aca="false">IFERROR(IF(AB76&lt;&gt;"",AB76,IF(S76&lt;&gt;"",S76,"")),"")</f>
        <v/>
      </c>
      <c r="AI76" s="47"/>
      <c r="AJ76" s="47"/>
      <c r="AK76" s="47"/>
      <c r="AL76" s="47"/>
      <c r="AM76" s="47"/>
      <c r="AN76" s="47"/>
      <c r="AO76" s="47"/>
      <c r="AP76" s="47"/>
      <c r="AQ76" s="46" t="str">
        <f aca="false">IFERROR(IF(Y76&lt;&gt;"",VALUE(Y76),""),"")</f>
        <v/>
      </c>
      <c r="AR76" s="47"/>
      <c r="AS76" s="47"/>
      <c r="AT76" s="47"/>
      <c r="AU76" s="47"/>
      <c r="AV76" s="46" t="str">
        <f aca="false">IFERROR(IF(T76&lt;&gt;"",VALUE(T76),""),"")</f>
        <v/>
      </c>
      <c r="AW76" s="46" t="str">
        <f aca="false">IFERROR(IF(N76="","",IF(OR(ISNUMBER(SEARCH("grant",N76)),ISNUMBER(SEARCH("B",AC76))),"Granted",IF(OR(ISNUMBER(SEARCH("pend",N76)),ISNUMBER(SEARCH("A",AC76))),"Pending",IF(ISNUMBER(SEARCH("expir",N76)),"Expired",N76)))),"")</f>
        <v/>
      </c>
      <c r="AX76" s="47"/>
      <c r="AY76" s="46" t="str">
        <f aca="true">IFERROR(IF(M76&lt;&gt;"",ROUND(VALUE(M76),1),IF(L76&lt;&gt;"",ROUND(MAX(0,(DATEVALUE(TEXT(L76,"YYYY-MM-DD"))-TODAY())/365.25),1),"")),"")</f>
        <v/>
      </c>
      <c r="AZ76" s="46" t="str">
        <f aca="false">IFERROR(IF(O76&lt;&gt;"",O76,""),"")</f>
        <v/>
      </c>
      <c r="BA76" s="46" t="str">
        <f aca="false">IFERROR(IF(U76&lt;&gt;"",SUBSTITUTE(SUBSTITUTE(U76,"; ",", "),";",","),""),"")</f>
        <v/>
      </c>
      <c r="BB76" s="47"/>
      <c r="BC76" s="47"/>
      <c r="BD76" s="47"/>
      <c r="BE76" s="47"/>
      <c r="BF76" s="47"/>
      <c r="BG76" s="47"/>
      <c r="BH76" s="47"/>
      <c r="BI76" s="47"/>
      <c r="BJ76" s="47"/>
      <c r="BK76" s="46" t="str">
        <f aca="false">IFERROR(IF(W76&lt;&gt;"",VALUE(W76),""),"")</f>
        <v/>
      </c>
      <c r="BL76" s="46" t="str">
        <f aca="false">IFERROR(IF(X76&lt;&gt;"",VALUE(X76),""),"")</f>
        <v/>
      </c>
      <c r="BM76" s="46" t="str">
        <f aca="false">IFERROR(IF(AD76="","None",IF(ISNUMBER(SEARCH("surv",AD76)),"Survived",IF(ISNUMBER(SEARCH("pend",AD76)),"Pending",IF(ISNUMBER(SEARCH("yes",AD76)),"Pending","None")))),"None")</f>
        <v>None</v>
      </c>
      <c r="BN76" s="47"/>
      <c r="BO76" s="47"/>
      <c r="BP76" s="47"/>
      <c r="BQ76" s="47"/>
      <c r="BR76" s="47"/>
      <c r="BS76" s="47"/>
      <c r="BT76" s="47"/>
      <c r="BU76" s="48" t="n">
        <f aca="false">IFERROR(COUNTA(AE76:BT76)/42,0)</f>
        <v>0.30952380952381</v>
      </c>
      <c r="BV76" s="49"/>
      <c r="BW76" s="50" t="b">
        <f aca="false">IF(Configuration!$C$10="No","",IFERROR(IF(AG76&lt;&gt;"",TRUE(),FALSE()),FALSE()))</f>
        <v>0</v>
      </c>
      <c r="BX76" s="50" t="b">
        <f aca="false">IF(Configuration!$C$11="No","",IFERROR(IF(AND(N(AL76)&gt;=Configuration!$C$44,AM76&lt;&gt;""),TRUE(),FALSE()),FALSE()))</f>
        <v>0</v>
      </c>
      <c r="BY76" s="50" t="b">
        <f aca="false">IF(Configuration!$C$12="No","",IFERROR(IF(AJ76&lt;&gt;"",TRUE(),FALSE()),FALSE()))</f>
        <v>0</v>
      </c>
      <c r="BZ76" s="50" t="b">
        <f aca="false">IF(Configuration!$C$13="No","",IFERROR(IF(AI76&lt;&gt;"",TRUE(),FALSE()),FALSE()))</f>
        <v>0</v>
      </c>
      <c r="CA76" s="50" t="b">
        <f aca="false">IF(Configuration!$C$14="No","",IFERROR(IF(AK76&lt;&gt;"",TRUE(),FALSE()),FALSE()))</f>
        <v>0</v>
      </c>
      <c r="CB76" s="50" t="b">
        <f aca="false">IF(Configuration!$C$15="No","",IFERROR(IF(AND(OR(ISNUMBER(SEARCH("process",AG76)),ISNUMBER(SEARCH("fab",AG76)),ISNUMBER(SEARCH("manufac",AG76))),AO76="Method"),TRUE(),FALSE()),FALSE()))</f>
        <v>0</v>
      </c>
      <c r="CC76" s="50" t="b">
        <f aca="false">IF(Configuration!$C$16="No","",IFERROR(IF(AND(OR(ISNUMBER(SEARCH("material",AG76)),ISNUMBER(SEARCH("chem",AG76)),ISNUMBER(SEARCH("battery",AG76)),ISNUMBER(SEARCH("electrolyte",AG76)),ISNUMBER(SEARCH("polymer",AG76))),OR(AO76="Apparatus",AO76="Method")),TRUE(),FALSE()),FALSE()))</f>
        <v>0</v>
      </c>
      <c r="CD76" s="50" t="b">
        <f aca="false">IF(Configuration!$C$17="No","",IFERROR(IF(AND(OR(AI76="App",AI76="Middleware",AI76="Cloud"),OR(AO76="Method",AO76="CRM")),TRUE(),FALSE()),FALSE()))</f>
        <v>0</v>
      </c>
      <c r="CE76" s="50" t="b">
        <f aca="false">IF(Configuration!$C$18="No","",IFERROR(IF(N(AN76)&gt;=Configuration!$C$45,TRUE(),FALSE()),FALSE()))</f>
        <v>0</v>
      </c>
      <c r="CF76" s="50" t="b">
        <f aca="false">IF(Configuration!$C$19="No","",IFERROR(IF(BE76&lt;&gt;"",TRUE(),FALSE()),FALSE()))</f>
        <v>0</v>
      </c>
      <c r="CG76" s="50" t="b">
        <f aca="false">IF(Configuration!$C$20="No","",IFERROR(IF(AO76&lt;&gt;"",TRUE(),FALSE()),FALSE()))</f>
        <v>0</v>
      </c>
      <c r="CH76" s="50" t="b">
        <f aca="false">IF(Configuration!$C$21="No","",IFERROR(IF(OR(N(AS76)&gt;=Configuration!$C$46,N(AT76)&gt;=Configuration!$C$47),TRUE(),FALSE()),FALSE()))</f>
        <v>0</v>
      </c>
      <c r="CI76" s="50" t="b">
        <f aca="false">IF(Configuration!$C$22="No","",IFERROR(IF(BB76="Yes",TRUE(),FALSE()),FALSE()))</f>
        <v>0</v>
      </c>
      <c r="CJ76" s="50" t="b">
        <f aca="false">IF(Configuration!$C$23="No","",IFERROR(IF(N(AV76)&gt;=Configuration!$C$48,TRUE(),FALSE()),FALSE()))</f>
        <v>0</v>
      </c>
      <c r="CK76" s="50" t="b">
        <f aca="false">IF(Configuration!$C$24="No","",IFERROR(IF(N(AY76)&gt;0,TRUE(),FALSE()),FALSE()))</f>
        <v>0</v>
      </c>
      <c r="CL76" s="50" t="b">
        <f aca="false">IF(Configuration!$C$25="No","",IFERROR(IF(OR(N(AP76)=3,N(AP76)&lt;=1),TRUE(),FALSE()),FALSE()))</f>
        <v>1</v>
      </c>
      <c r="CM76" s="50" t="b">
        <f aca="false">IF(Configuration!$C$26="No","",IFERROR(IF(N(BF76)&gt;=Configuration!$C$49,TRUE(),FALSE()),FALSE()))</f>
        <v>0</v>
      </c>
      <c r="CN76" s="50" t="b">
        <f aca="false">IF(Configuration!$C$27="No","",IFERROR(IF(BD76&lt;&gt;"",TRUE(),FALSE()),FALSE()))</f>
        <v>0</v>
      </c>
      <c r="CO76" s="50" t="b">
        <f aca="false">IF(Configuration!$C$28="No","",IFERROR(IF(N(AU76)&gt;=Configuration!$C$50,TRUE(),FALSE()),FALSE()))</f>
        <v>0</v>
      </c>
      <c r="CP76" s="50" t="b">
        <f aca="false">IF(Configuration!$C$29="No","",IFERROR(IF(AND(N(AR76)&gt;=Configuration!$C$51,AG76&lt;&gt;""),TRUE(),FALSE()),FALSE()))</f>
        <v>0</v>
      </c>
      <c r="CQ76" s="50" t="b">
        <f aca="false">IF(Configuration!$C$30="No","",IFERROR(IF(OR(AW76="Pending",AX76="Yes"),TRUE(),FALSE()),FALSE()))</f>
        <v>0</v>
      </c>
      <c r="CR76" s="50" t="b">
        <f aca="false">IF(Configuration!$C$31="No","",IFERROR(IF(AND(N(BG76)&gt;=Configuration!$C$52,N(AP76)&gt;=1),TRUE(),FALSE()),FALSE()))</f>
        <v>0</v>
      </c>
      <c r="CS76" s="50" t="b">
        <f aca="false">IF(Configuration!$C$32="No","",IFERROR(IF(AND(N(AR76)&gt;=1,OR(AG76&lt;&gt;"",AM76&lt;&gt;"")),TRUE(),FALSE()),FALSE()))</f>
        <v>0</v>
      </c>
      <c r="CT76" s="50" t="b">
        <f aca="false">IF(Configuration!$C$33="No","",IFERROR(IF(AG76&lt;&gt;"",TRUE(),FALSE()),FALSE()))</f>
        <v>0</v>
      </c>
      <c r="CU76" s="50" t="b">
        <f aca="false">IF(Configuration!$C$34="No","",IFERROR(IF(AX76="Yes",TRUE(),FALSE()),FALSE()))</f>
        <v>0</v>
      </c>
      <c r="CV76" s="50" t="b">
        <f aca="false">IF(Configuration!$C$35="No","",IFERROR(IF(OR(BO76="Partial",BO76="Full"),TRUE(),FALSE()),FALSE()))</f>
        <v>0</v>
      </c>
      <c r="CW76" s="50" t="b">
        <f aca="false">IF(Configuration!$C$36="No","",IFERROR(IF(BM76="Survived",TRUE(),FALSE()),FALSE()))</f>
        <v>0</v>
      </c>
      <c r="CX76" s="50" t="b">
        <f aca="false">IF(Configuration!$C$37="No","",IFERROR(IF(AND(BN76="Clean",BP76="None"),TRUE(),FALSE()),FALSE()))</f>
        <v>0</v>
      </c>
      <c r="CY76" s="50" t="b">
        <f aca="false">IF(Configuration!$C$38="No","",IFERROR(IF(N(BK76)&gt;=Configuration!$C$53,TRUE(),FALSE()),FALSE()))</f>
        <v>0</v>
      </c>
      <c r="CZ76" s="50" t="b">
        <f aca="false">IF(Configuration!$C$39="No","",IFERROR(IF(AND(N(BS76)&gt;=2,N(BF76)&gt;=2),TRUE(),FALSE()),FALSE()))</f>
        <v>0</v>
      </c>
      <c r="DA76" s="50" t="b">
        <f aca="false">IF(Configuration!$C$40="No","",IFERROR(IF(OR(N(BG76)&lt;=Configuration!$C$56,N(AY76)&lt;Configuration!$C$57,N(BH76)&lt;=Configuration!$C$58),TRUE(),FALSE()),FALSE()))</f>
        <v>1</v>
      </c>
      <c r="DB76" s="50" t="b">
        <f aca="false">IF(Configuration!$C$41="No","",IFERROR(IF(AND(N(AY76)&gt;=Configuration!$C$54,N(AY76)&lt;=Configuration!$C$55),TRUE(),FALSE()),FALSE()))</f>
        <v>0</v>
      </c>
      <c r="DC76" s="50" t="b">
        <f aca="false">IF(Configuration!$C$42="No","",IFERROR(IF(AND(AG76&lt;&gt;"",AJ76&lt;&gt;""),TRUE(),FALSE()),FALSE()))</f>
        <v>0</v>
      </c>
      <c r="DD76" s="51" t="n">
        <f aca="false">COUNTIF(BW76:DC76,TRUE())</f>
        <v>2</v>
      </c>
    </row>
    <row r="77" customFormat="false" ht="15" hidden="false" customHeight="true" outlineLevel="0" collapsed="false">
      <c r="A77" s="18" t="n">
        <v>38</v>
      </c>
      <c r="B77" s="44"/>
      <c r="C77" s="44"/>
      <c r="D77" s="44"/>
      <c r="E77" s="44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6" t="str">
        <f aca="false">IFERROR(IF(F77&lt;&gt;"",F77,""),"")</f>
        <v/>
      </c>
      <c r="AF77" s="46" t="str">
        <f aca="false">IFERROR(IF(G77&lt;&gt;"",G77,""),"")</f>
        <v/>
      </c>
      <c r="AG77" s="46" t="str">
        <f aca="false">IFERROR(IF(AA77&lt;&gt;"",AA77,IF(R77&lt;&gt;"",R77,"")),"")</f>
        <v/>
      </c>
      <c r="AH77" s="46" t="str">
        <f aca="false">IFERROR(IF(AB77&lt;&gt;"",AB77,IF(S77&lt;&gt;"",S77,"")),"")</f>
        <v/>
      </c>
      <c r="AI77" s="47"/>
      <c r="AJ77" s="47"/>
      <c r="AK77" s="47"/>
      <c r="AL77" s="47"/>
      <c r="AM77" s="47"/>
      <c r="AN77" s="47"/>
      <c r="AO77" s="47"/>
      <c r="AP77" s="47"/>
      <c r="AQ77" s="46" t="str">
        <f aca="false">IFERROR(IF(Y77&lt;&gt;"",VALUE(Y77),""),"")</f>
        <v/>
      </c>
      <c r="AR77" s="47"/>
      <c r="AS77" s="47"/>
      <c r="AT77" s="47"/>
      <c r="AU77" s="47"/>
      <c r="AV77" s="46" t="str">
        <f aca="false">IFERROR(IF(T77&lt;&gt;"",VALUE(T77),""),"")</f>
        <v/>
      </c>
      <c r="AW77" s="46" t="str">
        <f aca="false">IFERROR(IF(N77="","",IF(OR(ISNUMBER(SEARCH("grant",N77)),ISNUMBER(SEARCH("B",AC77))),"Granted",IF(OR(ISNUMBER(SEARCH("pend",N77)),ISNUMBER(SEARCH("A",AC77))),"Pending",IF(ISNUMBER(SEARCH("expir",N77)),"Expired",N77)))),"")</f>
        <v/>
      </c>
      <c r="AX77" s="47"/>
      <c r="AY77" s="46" t="str">
        <f aca="true">IFERROR(IF(M77&lt;&gt;"",ROUND(VALUE(M77),1),IF(L77&lt;&gt;"",ROUND(MAX(0,(DATEVALUE(TEXT(L77,"YYYY-MM-DD"))-TODAY())/365.25),1),"")),"")</f>
        <v/>
      </c>
      <c r="AZ77" s="46" t="str">
        <f aca="false">IFERROR(IF(O77&lt;&gt;"",O77,""),"")</f>
        <v/>
      </c>
      <c r="BA77" s="46" t="str">
        <f aca="false">IFERROR(IF(U77&lt;&gt;"",SUBSTITUTE(SUBSTITUTE(U77,"; ",", "),";",","),""),"")</f>
        <v/>
      </c>
      <c r="BB77" s="47"/>
      <c r="BC77" s="47"/>
      <c r="BD77" s="47"/>
      <c r="BE77" s="47"/>
      <c r="BF77" s="47"/>
      <c r="BG77" s="47"/>
      <c r="BH77" s="47"/>
      <c r="BI77" s="47"/>
      <c r="BJ77" s="47"/>
      <c r="BK77" s="46" t="str">
        <f aca="false">IFERROR(IF(W77&lt;&gt;"",VALUE(W77),""),"")</f>
        <v/>
      </c>
      <c r="BL77" s="46" t="str">
        <f aca="false">IFERROR(IF(X77&lt;&gt;"",VALUE(X77),""),"")</f>
        <v/>
      </c>
      <c r="BM77" s="46" t="str">
        <f aca="false">IFERROR(IF(AD77="","None",IF(ISNUMBER(SEARCH("surv",AD77)),"Survived",IF(ISNUMBER(SEARCH("pend",AD77)),"Pending",IF(ISNUMBER(SEARCH("yes",AD77)),"Pending","None")))),"None")</f>
        <v>None</v>
      </c>
      <c r="BN77" s="47"/>
      <c r="BO77" s="47"/>
      <c r="BP77" s="47"/>
      <c r="BQ77" s="47"/>
      <c r="BR77" s="47"/>
      <c r="BS77" s="47"/>
      <c r="BT77" s="47"/>
      <c r="BU77" s="48" t="n">
        <f aca="false">IFERROR(COUNTA(AE77:BT77)/42,0)</f>
        <v>0.30952380952381</v>
      </c>
      <c r="BV77" s="49"/>
      <c r="BW77" s="50" t="b">
        <f aca="false">IF(Configuration!$C$10="No","",IFERROR(IF(AG77&lt;&gt;"",TRUE(),FALSE()),FALSE()))</f>
        <v>0</v>
      </c>
      <c r="BX77" s="50" t="b">
        <f aca="false">IF(Configuration!$C$11="No","",IFERROR(IF(AND(N(AL77)&gt;=Configuration!$C$44,AM77&lt;&gt;""),TRUE(),FALSE()),FALSE()))</f>
        <v>0</v>
      </c>
      <c r="BY77" s="50" t="b">
        <f aca="false">IF(Configuration!$C$12="No","",IFERROR(IF(AJ77&lt;&gt;"",TRUE(),FALSE()),FALSE()))</f>
        <v>0</v>
      </c>
      <c r="BZ77" s="50" t="b">
        <f aca="false">IF(Configuration!$C$13="No","",IFERROR(IF(AI77&lt;&gt;"",TRUE(),FALSE()),FALSE()))</f>
        <v>0</v>
      </c>
      <c r="CA77" s="50" t="b">
        <f aca="false">IF(Configuration!$C$14="No","",IFERROR(IF(AK77&lt;&gt;"",TRUE(),FALSE()),FALSE()))</f>
        <v>0</v>
      </c>
      <c r="CB77" s="50" t="b">
        <f aca="false">IF(Configuration!$C$15="No","",IFERROR(IF(AND(OR(ISNUMBER(SEARCH("process",AG77)),ISNUMBER(SEARCH("fab",AG77)),ISNUMBER(SEARCH("manufac",AG77))),AO77="Method"),TRUE(),FALSE()),FALSE()))</f>
        <v>0</v>
      </c>
      <c r="CC77" s="50" t="b">
        <f aca="false">IF(Configuration!$C$16="No","",IFERROR(IF(AND(OR(ISNUMBER(SEARCH("material",AG77)),ISNUMBER(SEARCH("chem",AG77)),ISNUMBER(SEARCH("battery",AG77)),ISNUMBER(SEARCH("electrolyte",AG77)),ISNUMBER(SEARCH("polymer",AG77))),OR(AO77="Apparatus",AO77="Method")),TRUE(),FALSE()),FALSE()))</f>
        <v>0</v>
      </c>
      <c r="CD77" s="50" t="b">
        <f aca="false">IF(Configuration!$C$17="No","",IFERROR(IF(AND(OR(AI77="App",AI77="Middleware",AI77="Cloud"),OR(AO77="Method",AO77="CRM")),TRUE(),FALSE()),FALSE()))</f>
        <v>0</v>
      </c>
      <c r="CE77" s="50" t="b">
        <f aca="false">IF(Configuration!$C$18="No","",IFERROR(IF(N(AN77)&gt;=Configuration!$C$45,TRUE(),FALSE()),FALSE()))</f>
        <v>0</v>
      </c>
      <c r="CF77" s="50" t="b">
        <f aca="false">IF(Configuration!$C$19="No","",IFERROR(IF(BE77&lt;&gt;"",TRUE(),FALSE()),FALSE()))</f>
        <v>0</v>
      </c>
      <c r="CG77" s="50" t="b">
        <f aca="false">IF(Configuration!$C$20="No","",IFERROR(IF(AO77&lt;&gt;"",TRUE(),FALSE()),FALSE()))</f>
        <v>0</v>
      </c>
      <c r="CH77" s="50" t="b">
        <f aca="false">IF(Configuration!$C$21="No","",IFERROR(IF(OR(N(AS77)&gt;=Configuration!$C$46,N(AT77)&gt;=Configuration!$C$47),TRUE(),FALSE()),FALSE()))</f>
        <v>0</v>
      </c>
      <c r="CI77" s="50" t="b">
        <f aca="false">IF(Configuration!$C$22="No","",IFERROR(IF(BB77="Yes",TRUE(),FALSE()),FALSE()))</f>
        <v>0</v>
      </c>
      <c r="CJ77" s="50" t="b">
        <f aca="false">IF(Configuration!$C$23="No","",IFERROR(IF(N(AV77)&gt;=Configuration!$C$48,TRUE(),FALSE()),FALSE()))</f>
        <v>0</v>
      </c>
      <c r="CK77" s="50" t="b">
        <f aca="false">IF(Configuration!$C$24="No","",IFERROR(IF(N(AY77)&gt;0,TRUE(),FALSE()),FALSE()))</f>
        <v>0</v>
      </c>
      <c r="CL77" s="50" t="b">
        <f aca="false">IF(Configuration!$C$25="No","",IFERROR(IF(OR(N(AP77)=3,N(AP77)&lt;=1),TRUE(),FALSE()),FALSE()))</f>
        <v>1</v>
      </c>
      <c r="CM77" s="50" t="b">
        <f aca="false">IF(Configuration!$C$26="No","",IFERROR(IF(N(BF77)&gt;=Configuration!$C$49,TRUE(),FALSE()),FALSE()))</f>
        <v>0</v>
      </c>
      <c r="CN77" s="50" t="b">
        <f aca="false">IF(Configuration!$C$27="No","",IFERROR(IF(BD77&lt;&gt;"",TRUE(),FALSE()),FALSE()))</f>
        <v>0</v>
      </c>
      <c r="CO77" s="50" t="b">
        <f aca="false">IF(Configuration!$C$28="No","",IFERROR(IF(N(AU77)&gt;=Configuration!$C$50,TRUE(),FALSE()),FALSE()))</f>
        <v>0</v>
      </c>
      <c r="CP77" s="50" t="b">
        <f aca="false">IF(Configuration!$C$29="No","",IFERROR(IF(AND(N(AR77)&gt;=Configuration!$C$51,AG77&lt;&gt;""),TRUE(),FALSE()),FALSE()))</f>
        <v>0</v>
      </c>
      <c r="CQ77" s="50" t="b">
        <f aca="false">IF(Configuration!$C$30="No","",IFERROR(IF(OR(AW77="Pending",AX77="Yes"),TRUE(),FALSE()),FALSE()))</f>
        <v>0</v>
      </c>
      <c r="CR77" s="50" t="b">
        <f aca="false">IF(Configuration!$C$31="No","",IFERROR(IF(AND(N(BG77)&gt;=Configuration!$C$52,N(AP77)&gt;=1),TRUE(),FALSE()),FALSE()))</f>
        <v>0</v>
      </c>
      <c r="CS77" s="50" t="b">
        <f aca="false">IF(Configuration!$C$32="No","",IFERROR(IF(AND(N(AR77)&gt;=1,OR(AG77&lt;&gt;"",AM77&lt;&gt;"")),TRUE(),FALSE()),FALSE()))</f>
        <v>0</v>
      </c>
      <c r="CT77" s="50" t="b">
        <f aca="false">IF(Configuration!$C$33="No","",IFERROR(IF(AG77&lt;&gt;"",TRUE(),FALSE()),FALSE()))</f>
        <v>0</v>
      </c>
      <c r="CU77" s="50" t="b">
        <f aca="false">IF(Configuration!$C$34="No","",IFERROR(IF(AX77="Yes",TRUE(),FALSE()),FALSE()))</f>
        <v>0</v>
      </c>
      <c r="CV77" s="50" t="b">
        <f aca="false">IF(Configuration!$C$35="No","",IFERROR(IF(OR(BO77="Partial",BO77="Full"),TRUE(),FALSE()),FALSE()))</f>
        <v>0</v>
      </c>
      <c r="CW77" s="50" t="b">
        <f aca="false">IF(Configuration!$C$36="No","",IFERROR(IF(BM77="Survived",TRUE(),FALSE()),FALSE()))</f>
        <v>0</v>
      </c>
      <c r="CX77" s="50" t="b">
        <f aca="false">IF(Configuration!$C$37="No","",IFERROR(IF(AND(BN77="Clean",BP77="None"),TRUE(),FALSE()),FALSE()))</f>
        <v>0</v>
      </c>
      <c r="CY77" s="50" t="b">
        <f aca="false">IF(Configuration!$C$38="No","",IFERROR(IF(N(BK77)&gt;=Configuration!$C$53,TRUE(),FALSE()),FALSE()))</f>
        <v>0</v>
      </c>
      <c r="CZ77" s="50" t="b">
        <f aca="false">IF(Configuration!$C$39="No","",IFERROR(IF(AND(N(BS77)&gt;=2,N(BF77)&gt;=2),TRUE(),FALSE()),FALSE()))</f>
        <v>0</v>
      </c>
      <c r="DA77" s="50" t="b">
        <f aca="false">IF(Configuration!$C$40="No","",IFERROR(IF(OR(N(BG77)&lt;=Configuration!$C$56,N(AY77)&lt;Configuration!$C$57,N(BH77)&lt;=Configuration!$C$58),TRUE(),FALSE()),FALSE()))</f>
        <v>1</v>
      </c>
      <c r="DB77" s="50" t="b">
        <f aca="false">IF(Configuration!$C$41="No","",IFERROR(IF(AND(N(AY77)&gt;=Configuration!$C$54,N(AY77)&lt;=Configuration!$C$55),TRUE(),FALSE()),FALSE()))</f>
        <v>0</v>
      </c>
      <c r="DC77" s="50" t="b">
        <f aca="false">IF(Configuration!$C$42="No","",IFERROR(IF(AND(AG77&lt;&gt;"",AJ77&lt;&gt;""),TRUE(),FALSE()),FALSE()))</f>
        <v>0</v>
      </c>
      <c r="DD77" s="51" t="n">
        <f aca="false">COUNTIF(BW77:DC77,TRUE())</f>
        <v>2</v>
      </c>
    </row>
    <row r="78" customFormat="false" ht="15" hidden="false" customHeight="true" outlineLevel="0" collapsed="false">
      <c r="A78" s="18" t="n">
        <v>39</v>
      </c>
      <c r="B78" s="44"/>
      <c r="C78" s="44"/>
      <c r="D78" s="44"/>
      <c r="E78" s="44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6" t="str">
        <f aca="false">IFERROR(IF(F78&lt;&gt;"",F78,""),"")</f>
        <v/>
      </c>
      <c r="AF78" s="46" t="str">
        <f aca="false">IFERROR(IF(G78&lt;&gt;"",G78,""),"")</f>
        <v/>
      </c>
      <c r="AG78" s="46" t="str">
        <f aca="false">IFERROR(IF(AA78&lt;&gt;"",AA78,IF(R78&lt;&gt;"",R78,"")),"")</f>
        <v/>
      </c>
      <c r="AH78" s="46" t="str">
        <f aca="false">IFERROR(IF(AB78&lt;&gt;"",AB78,IF(S78&lt;&gt;"",S78,"")),"")</f>
        <v/>
      </c>
      <c r="AI78" s="47"/>
      <c r="AJ78" s="47"/>
      <c r="AK78" s="47"/>
      <c r="AL78" s="47"/>
      <c r="AM78" s="47"/>
      <c r="AN78" s="47"/>
      <c r="AO78" s="47"/>
      <c r="AP78" s="47"/>
      <c r="AQ78" s="46" t="str">
        <f aca="false">IFERROR(IF(Y78&lt;&gt;"",VALUE(Y78),""),"")</f>
        <v/>
      </c>
      <c r="AR78" s="47"/>
      <c r="AS78" s="47"/>
      <c r="AT78" s="47"/>
      <c r="AU78" s="47"/>
      <c r="AV78" s="46" t="str">
        <f aca="false">IFERROR(IF(T78&lt;&gt;"",VALUE(T78),""),"")</f>
        <v/>
      </c>
      <c r="AW78" s="46" t="str">
        <f aca="false">IFERROR(IF(N78="","",IF(OR(ISNUMBER(SEARCH("grant",N78)),ISNUMBER(SEARCH("B",AC78))),"Granted",IF(OR(ISNUMBER(SEARCH("pend",N78)),ISNUMBER(SEARCH("A",AC78))),"Pending",IF(ISNUMBER(SEARCH("expir",N78)),"Expired",N78)))),"")</f>
        <v/>
      </c>
      <c r="AX78" s="47"/>
      <c r="AY78" s="46" t="str">
        <f aca="true">IFERROR(IF(M78&lt;&gt;"",ROUND(VALUE(M78),1),IF(L78&lt;&gt;"",ROUND(MAX(0,(DATEVALUE(TEXT(L78,"YYYY-MM-DD"))-TODAY())/365.25),1),"")),"")</f>
        <v/>
      </c>
      <c r="AZ78" s="46" t="str">
        <f aca="false">IFERROR(IF(O78&lt;&gt;"",O78,""),"")</f>
        <v/>
      </c>
      <c r="BA78" s="46" t="str">
        <f aca="false">IFERROR(IF(U78&lt;&gt;"",SUBSTITUTE(SUBSTITUTE(U78,"; ",", "),";",","),""),"")</f>
        <v/>
      </c>
      <c r="BB78" s="47"/>
      <c r="BC78" s="47"/>
      <c r="BD78" s="47"/>
      <c r="BE78" s="47"/>
      <c r="BF78" s="47"/>
      <c r="BG78" s="47"/>
      <c r="BH78" s="47"/>
      <c r="BI78" s="47"/>
      <c r="BJ78" s="47"/>
      <c r="BK78" s="46" t="str">
        <f aca="false">IFERROR(IF(W78&lt;&gt;"",VALUE(W78),""),"")</f>
        <v/>
      </c>
      <c r="BL78" s="46" t="str">
        <f aca="false">IFERROR(IF(X78&lt;&gt;"",VALUE(X78),""),"")</f>
        <v/>
      </c>
      <c r="BM78" s="46" t="str">
        <f aca="false">IFERROR(IF(AD78="","None",IF(ISNUMBER(SEARCH("surv",AD78)),"Survived",IF(ISNUMBER(SEARCH("pend",AD78)),"Pending",IF(ISNUMBER(SEARCH("yes",AD78)),"Pending","None")))),"None")</f>
        <v>None</v>
      </c>
      <c r="BN78" s="47"/>
      <c r="BO78" s="47"/>
      <c r="BP78" s="47"/>
      <c r="BQ78" s="47"/>
      <c r="BR78" s="47"/>
      <c r="BS78" s="47"/>
      <c r="BT78" s="47"/>
      <c r="BU78" s="48" t="n">
        <f aca="false">IFERROR(COUNTA(AE78:BT78)/42,0)</f>
        <v>0.30952380952381</v>
      </c>
      <c r="BV78" s="49"/>
      <c r="BW78" s="50" t="b">
        <f aca="false">IF(Configuration!$C$10="No","",IFERROR(IF(AG78&lt;&gt;"",TRUE(),FALSE()),FALSE()))</f>
        <v>0</v>
      </c>
      <c r="BX78" s="50" t="b">
        <f aca="false">IF(Configuration!$C$11="No","",IFERROR(IF(AND(N(AL78)&gt;=Configuration!$C$44,AM78&lt;&gt;""),TRUE(),FALSE()),FALSE()))</f>
        <v>0</v>
      </c>
      <c r="BY78" s="50" t="b">
        <f aca="false">IF(Configuration!$C$12="No","",IFERROR(IF(AJ78&lt;&gt;"",TRUE(),FALSE()),FALSE()))</f>
        <v>0</v>
      </c>
      <c r="BZ78" s="50" t="b">
        <f aca="false">IF(Configuration!$C$13="No","",IFERROR(IF(AI78&lt;&gt;"",TRUE(),FALSE()),FALSE()))</f>
        <v>0</v>
      </c>
      <c r="CA78" s="50" t="b">
        <f aca="false">IF(Configuration!$C$14="No","",IFERROR(IF(AK78&lt;&gt;"",TRUE(),FALSE()),FALSE()))</f>
        <v>0</v>
      </c>
      <c r="CB78" s="50" t="b">
        <f aca="false">IF(Configuration!$C$15="No","",IFERROR(IF(AND(OR(ISNUMBER(SEARCH("process",AG78)),ISNUMBER(SEARCH("fab",AG78)),ISNUMBER(SEARCH("manufac",AG78))),AO78="Method"),TRUE(),FALSE()),FALSE()))</f>
        <v>0</v>
      </c>
      <c r="CC78" s="50" t="b">
        <f aca="false">IF(Configuration!$C$16="No","",IFERROR(IF(AND(OR(ISNUMBER(SEARCH("material",AG78)),ISNUMBER(SEARCH("chem",AG78)),ISNUMBER(SEARCH("battery",AG78)),ISNUMBER(SEARCH("electrolyte",AG78)),ISNUMBER(SEARCH("polymer",AG78))),OR(AO78="Apparatus",AO78="Method")),TRUE(),FALSE()),FALSE()))</f>
        <v>0</v>
      </c>
      <c r="CD78" s="50" t="b">
        <f aca="false">IF(Configuration!$C$17="No","",IFERROR(IF(AND(OR(AI78="App",AI78="Middleware",AI78="Cloud"),OR(AO78="Method",AO78="CRM")),TRUE(),FALSE()),FALSE()))</f>
        <v>0</v>
      </c>
      <c r="CE78" s="50" t="b">
        <f aca="false">IF(Configuration!$C$18="No","",IFERROR(IF(N(AN78)&gt;=Configuration!$C$45,TRUE(),FALSE()),FALSE()))</f>
        <v>0</v>
      </c>
      <c r="CF78" s="50" t="b">
        <f aca="false">IF(Configuration!$C$19="No","",IFERROR(IF(BE78&lt;&gt;"",TRUE(),FALSE()),FALSE()))</f>
        <v>0</v>
      </c>
      <c r="CG78" s="50" t="b">
        <f aca="false">IF(Configuration!$C$20="No","",IFERROR(IF(AO78&lt;&gt;"",TRUE(),FALSE()),FALSE()))</f>
        <v>0</v>
      </c>
      <c r="CH78" s="50" t="b">
        <f aca="false">IF(Configuration!$C$21="No","",IFERROR(IF(OR(N(AS78)&gt;=Configuration!$C$46,N(AT78)&gt;=Configuration!$C$47),TRUE(),FALSE()),FALSE()))</f>
        <v>0</v>
      </c>
      <c r="CI78" s="50" t="b">
        <f aca="false">IF(Configuration!$C$22="No","",IFERROR(IF(BB78="Yes",TRUE(),FALSE()),FALSE()))</f>
        <v>0</v>
      </c>
      <c r="CJ78" s="50" t="b">
        <f aca="false">IF(Configuration!$C$23="No","",IFERROR(IF(N(AV78)&gt;=Configuration!$C$48,TRUE(),FALSE()),FALSE()))</f>
        <v>0</v>
      </c>
      <c r="CK78" s="50" t="b">
        <f aca="false">IF(Configuration!$C$24="No","",IFERROR(IF(N(AY78)&gt;0,TRUE(),FALSE()),FALSE()))</f>
        <v>0</v>
      </c>
      <c r="CL78" s="50" t="b">
        <f aca="false">IF(Configuration!$C$25="No","",IFERROR(IF(OR(N(AP78)=3,N(AP78)&lt;=1),TRUE(),FALSE()),FALSE()))</f>
        <v>1</v>
      </c>
      <c r="CM78" s="50" t="b">
        <f aca="false">IF(Configuration!$C$26="No","",IFERROR(IF(N(BF78)&gt;=Configuration!$C$49,TRUE(),FALSE()),FALSE()))</f>
        <v>0</v>
      </c>
      <c r="CN78" s="50" t="b">
        <f aca="false">IF(Configuration!$C$27="No","",IFERROR(IF(BD78&lt;&gt;"",TRUE(),FALSE()),FALSE()))</f>
        <v>0</v>
      </c>
      <c r="CO78" s="50" t="b">
        <f aca="false">IF(Configuration!$C$28="No","",IFERROR(IF(N(AU78)&gt;=Configuration!$C$50,TRUE(),FALSE()),FALSE()))</f>
        <v>0</v>
      </c>
      <c r="CP78" s="50" t="b">
        <f aca="false">IF(Configuration!$C$29="No","",IFERROR(IF(AND(N(AR78)&gt;=Configuration!$C$51,AG78&lt;&gt;""),TRUE(),FALSE()),FALSE()))</f>
        <v>0</v>
      </c>
      <c r="CQ78" s="50" t="b">
        <f aca="false">IF(Configuration!$C$30="No","",IFERROR(IF(OR(AW78="Pending",AX78="Yes"),TRUE(),FALSE()),FALSE()))</f>
        <v>0</v>
      </c>
      <c r="CR78" s="50" t="b">
        <f aca="false">IF(Configuration!$C$31="No","",IFERROR(IF(AND(N(BG78)&gt;=Configuration!$C$52,N(AP78)&gt;=1),TRUE(),FALSE()),FALSE()))</f>
        <v>0</v>
      </c>
      <c r="CS78" s="50" t="b">
        <f aca="false">IF(Configuration!$C$32="No","",IFERROR(IF(AND(N(AR78)&gt;=1,OR(AG78&lt;&gt;"",AM78&lt;&gt;"")),TRUE(),FALSE()),FALSE()))</f>
        <v>0</v>
      </c>
      <c r="CT78" s="50" t="b">
        <f aca="false">IF(Configuration!$C$33="No","",IFERROR(IF(AG78&lt;&gt;"",TRUE(),FALSE()),FALSE()))</f>
        <v>0</v>
      </c>
      <c r="CU78" s="50" t="b">
        <f aca="false">IF(Configuration!$C$34="No","",IFERROR(IF(AX78="Yes",TRUE(),FALSE()),FALSE()))</f>
        <v>0</v>
      </c>
      <c r="CV78" s="50" t="b">
        <f aca="false">IF(Configuration!$C$35="No","",IFERROR(IF(OR(BO78="Partial",BO78="Full"),TRUE(),FALSE()),FALSE()))</f>
        <v>0</v>
      </c>
      <c r="CW78" s="50" t="b">
        <f aca="false">IF(Configuration!$C$36="No","",IFERROR(IF(BM78="Survived",TRUE(),FALSE()),FALSE()))</f>
        <v>0</v>
      </c>
      <c r="CX78" s="50" t="b">
        <f aca="false">IF(Configuration!$C$37="No","",IFERROR(IF(AND(BN78="Clean",BP78="None"),TRUE(),FALSE()),FALSE()))</f>
        <v>0</v>
      </c>
      <c r="CY78" s="50" t="b">
        <f aca="false">IF(Configuration!$C$38="No","",IFERROR(IF(N(BK78)&gt;=Configuration!$C$53,TRUE(),FALSE()),FALSE()))</f>
        <v>0</v>
      </c>
      <c r="CZ78" s="50" t="b">
        <f aca="false">IF(Configuration!$C$39="No","",IFERROR(IF(AND(N(BS78)&gt;=2,N(BF78)&gt;=2),TRUE(),FALSE()),FALSE()))</f>
        <v>0</v>
      </c>
      <c r="DA78" s="50" t="b">
        <f aca="false">IF(Configuration!$C$40="No","",IFERROR(IF(OR(N(BG78)&lt;=Configuration!$C$56,N(AY78)&lt;Configuration!$C$57,N(BH78)&lt;=Configuration!$C$58),TRUE(),FALSE()),FALSE()))</f>
        <v>1</v>
      </c>
      <c r="DB78" s="50" t="b">
        <f aca="false">IF(Configuration!$C$41="No","",IFERROR(IF(AND(N(AY78)&gt;=Configuration!$C$54,N(AY78)&lt;=Configuration!$C$55),TRUE(),FALSE()),FALSE()))</f>
        <v>0</v>
      </c>
      <c r="DC78" s="50" t="b">
        <f aca="false">IF(Configuration!$C$42="No","",IFERROR(IF(AND(AG78&lt;&gt;"",AJ78&lt;&gt;""),TRUE(),FALSE()),FALSE()))</f>
        <v>0</v>
      </c>
      <c r="DD78" s="51" t="n">
        <f aca="false">COUNTIF(BW78:DC78,TRUE())</f>
        <v>2</v>
      </c>
    </row>
    <row r="79" customFormat="false" ht="15" hidden="false" customHeight="true" outlineLevel="0" collapsed="false">
      <c r="A79" s="18" t="n">
        <v>40</v>
      </c>
      <c r="B79" s="44"/>
      <c r="C79" s="44"/>
      <c r="D79" s="44"/>
      <c r="E79" s="44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6" t="str">
        <f aca="false">IFERROR(IF(F79&lt;&gt;"",F79,""),"")</f>
        <v/>
      </c>
      <c r="AF79" s="46" t="str">
        <f aca="false">IFERROR(IF(G79&lt;&gt;"",G79,""),"")</f>
        <v/>
      </c>
      <c r="AG79" s="46" t="str">
        <f aca="false">IFERROR(IF(AA79&lt;&gt;"",AA79,IF(R79&lt;&gt;"",R79,"")),"")</f>
        <v/>
      </c>
      <c r="AH79" s="46" t="str">
        <f aca="false">IFERROR(IF(AB79&lt;&gt;"",AB79,IF(S79&lt;&gt;"",S79,"")),"")</f>
        <v/>
      </c>
      <c r="AI79" s="47"/>
      <c r="AJ79" s="47"/>
      <c r="AK79" s="47"/>
      <c r="AL79" s="47"/>
      <c r="AM79" s="47"/>
      <c r="AN79" s="47"/>
      <c r="AO79" s="47"/>
      <c r="AP79" s="47"/>
      <c r="AQ79" s="46" t="str">
        <f aca="false">IFERROR(IF(Y79&lt;&gt;"",VALUE(Y79),""),"")</f>
        <v/>
      </c>
      <c r="AR79" s="47"/>
      <c r="AS79" s="47"/>
      <c r="AT79" s="47"/>
      <c r="AU79" s="47"/>
      <c r="AV79" s="46" t="str">
        <f aca="false">IFERROR(IF(T79&lt;&gt;"",VALUE(T79),""),"")</f>
        <v/>
      </c>
      <c r="AW79" s="46" t="str">
        <f aca="false">IFERROR(IF(N79="","",IF(OR(ISNUMBER(SEARCH("grant",N79)),ISNUMBER(SEARCH("B",AC79))),"Granted",IF(OR(ISNUMBER(SEARCH("pend",N79)),ISNUMBER(SEARCH("A",AC79))),"Pending",IF(ISNUMBER(SEARCH("expir",N79)),"Expired",N79)))),"")</f>
        <v/>
      </c>
      <c r="AX79" s="47"/>
      <c r="AY79" s="46" t="str">
        <f aca="true">IFERROR(IF(M79&lt;&gt;"",ROUND(VALUE(M79),1),IF(L79&lt;&gt;"",ROUND(MAX(0,(DATEVALUE(TEXT(L79,"YYYY-MM-DD"))-TODAY())/365.25),1),"")),"")</f>
        <v/>
      </c>
      <c r="AZ79" s="46" t="str">
        <f aca="false">IFERROR(IF(O79&lt;&gt;"",O79,""),"")</f>
        <v/>
      </c>
      <c r="BA79" s="46" t="str">
        <f aca="false">IFERROR(IF(U79&lt;&gt;"",SUBSTITUTE(SUBSTITUTE(U79,"; ",", "),";",","),""),"")</f>
        <v/>
      </c>
      <c r="BB79" s="47"/>
      <c r="BC79" s="47"/>
      <c r="BD79" s="47"/>
      <c r="BE79" s="47"/>
      <c r="BF79" s="47"/>
      <c r="BG79" s="47"/>
      <c r="BH79" s="47"/>
      <c r="BI79" s="47"/>
      <c r="BJ79" s="47"/>
      <c r="BK79" s="46" t="str">
        <f aca="false">IFERROR(IF(W79&lt;&gt;"",VALUE(W79),""),"")</f>
        <v/>
      </c>
      <c r="BL79" s="46" t="str">
        <f aca="false">IFERROR(IF(X79&lt;&gt;"",VALUE(X79),""),"")</f>
        <v/>
      </c>
      <c r="BM79" s="46" t="str">
        <f aca="false">IFERROR(IF(AD79="","None",IF(ISNUMBER(SEARCH("surv",AD79)),"Survived",IF(ISNUMBER(SEARCH("pend",AD79)),"Pending",IF(ISNUMBER(SEARCH("yes",AD79)),"Pending","None")))),"None")</f>
        <v>None</v>
      </c>
      <c r="BN79" s="47"/>
      <c r="BO79" s="47"/>
      <c r="BP79" s="47"/>
      <c r="BQ79" s="47"/>
      <c r="BR79" s="47"/>
      <c r="BS79" s="47"/>
      <c r="BT79" s="47"/>
      <c r="BU79" s="48" t="n">
        <f aca="false">IFERROR(COUNTA(AE79:BT79)/42,0)</f>
        <v>0.30952380952381</v>
      </c>
      <c r="BV79" s="49"/>
      <c r="BW79" s="50" t="b">
        <f aca="false">IF(Configuration!$C$10="No","",IFERROR(IF(AG79&lt;&gt;"",TRUE(),FALSE()),FALSE()))</f>
        <v>0</v>
      </c>
      <c r="BX79" s="50" t="b">
        <f aca="false">IF(Configuration!$C$11="No","",IFERROR(IF(AND(N(AL79)&gt;=Configuration!$C$44,AM79&lt;&gt;""),TRUE(),FALSE()),FALSE()))</f>
        <v>0</v>
      </c>
      <c r="BY79" s="50" t="b">
        <f aca="false">IF(Configuration!$C$12="No","",IFERROR(IF(AJ79&lt;&gt;"",TRUE(),FALSE()),FALSE()))</f>
        <v>0</v>
      </c>
      <c r="BZ79" s="50" t="b">
        <f aca="false">IF(Configuration!$C$13="No","",IFERROR(IF(AI79&lt;&gt;"",TRUE(),FALSE()),FALSE()))</f>
        <v>0</v>
      </c>
      <c r="CA79" s="50" t="b">
        <f aca="false">IF(Configuration!$C$14="No","",IFERROR(IF(AK79&lt;&gt;"",TRUE(),FALSE()),FALSE()))</f>
        <v>0</v>
      </c>
      <c r="CB79" s="50" t="b">
        <f aca="false">IF(Configuration!$C$15="No","",IFERROR(IF(AND(OR(ISNUMBER(SEARCH("process",AG79)),ISNUMBER(SEARCH("fab",AG79)),ISNUMBER(SEARCH("manufac",AG79))),AO79="Method"),TRUE(),FALSE()),FALSE()))</f>
        <v>0</v>
      </c>
      <c r="CC79" s="50" t="b">
        <f aca="false">IF(Configuration!$C$16="No","",IFERROR(IF(AND(OR(ISNUMBER(SEARCH("material",AG79)),ISNUMBER(SEARCH("chem",AG79)),ISNUMBER(SEARCH("battery",AG79)),ISNUMBER(SEARCH("electrolyte",AG79)),ISNUMBER(SEARCH("polymer",AG79))),OR(AO79="Apparatus",AO79="Method")),TRUE(),FALSE()),FALSE()))</f>
        <v>0</v>
      </c>
      <c r="CD79" s="50" t="b">
        <f aca="false">IF(Configuration!$C$17="No","",IFERROR(IF(AND(OR(AI79="App",AI79="Middleware",AI79="Cloud"),OR(AO79="Method",AO79="CRM")),TRUE(),FALSE()),FALSE()))</f>
        <v>0</v>
      </c>
      <c r="CE79" s="50" t="b">
        <f aca="false">IF(Configuration!$C$18="No","",IFERROR(IF(N(AN79)&gt;=Configuration!$C$45,TRUE(),FALSE()),FALSE()))</f>
        <v>0</v>
      </c>
      <c r="CF79" s="50" t="b">
        <f aca="false">IF(Configuration!$C$19="No","",IFERROR(IF(BE79&lt;&gt;"",TRUE(),FALSE()),FALSE()))</f>
        <v>0</v>
      </c>
      <c r="CG79" s="50" t="b">
        <f aca="false">IF(Configuration!$C$20="No","",IFERROR(IF(AO79&lt;&gt;"",TRUE(),FALSE()),FALSE()))</f>
        <v>0</v>
      </c>
      <c r="CH79" s="50" t="b">
        <f aca="false">IF(Configuration!$C$21="No","",IFERROR(IF(OR(N(AS79)&gt;=Configuration!$C$46,N(AT79)&gt;=Configuration!$C$47),TRUE(),FALSE()),FALSE()))</f>
        <v>0</v>
      </c>
      <c r="CI79" s="50" t="b">
        <f aca="false">IF(Configuration!$C$22="No","",IFERROR(IF(BB79="Yes",TRUE(),FALSE()),FALSE()))</f>
        <v>0</v>
      </c>
      <c r="CJ79" s="50" t="b">
        <f aca="false">IF(Configuration!$C$23="No","",IFERROR(IF(N(AV79)&gt;=Configuration!$C$48,TRUE(),FALSE()),FALSE()))</f>
        <v>0</v>
      </c>
      <c r="CK79" s="50" t="b">
        <f aca="false">IF(Configuration!$C$24="No","",IFERROR(IF(N(AY79)&gt;0,TRUE(),FALSE()),FALSE()))</f>
        <v>0</v>
      </c>
      <c r="CL79" s="50" t="b">
        <f aca="false">IF(Configuration!$C$25="No","",IFERROR(IF(OR(N(AP79)=3,N(AP79)&lt;=1),TRUE(),FALSE()),FALSE()))</f>
        <v>1</v>
      </c>
      <c r="CM79" s="50" t="b">
        <f aca="false">IF(Configuration!$C$26="No","",IFERROR(IF(N(BF79)&gt;=Configuration!$C$49,TRUE(),FALSE()),FALSE()))</f>
        <v>0</v>
      </c>
      <c r="CN79" s="50" t="b">
        <f aca="false">IF(Configuration!$C$27="No","",IFERROR(IF(BD79&lt;&gt;"",TRUE(),FALSE()),FALSE()))</f>
        <v>0</v>
      </c>
      <c r="CO79" s="50" t="b">
        <f aca="false">IF(Configuration!$C$28="No","",IFERROR(IF(N(AU79)&gt;=Configuration!$C$50,TRUE(),FALSE()),FALSE()))</f>
        <v>0</v>
      </c>
      <c r="CP79" s="50" t="b">
        <f aca="false">IF(Configuration!$C$29="No","",IFERROR(IF(AND(N(AR79)&gt;=Configuration!$C$51,AG79&lt;&gt;""),TRUE(),FALSE()),FALSE()))</f>
        <v>0</v>
      </c>
      <c r="CQ79" s="50" t="b">
        <f aca="false">IF(Configuration!$C$30="No","",IFERROR(IF(OR(AW79="Pending",AX79="Yes"),TRUE(),FALSE()),FALSE()))</f>
        <v>0</v>
      </c>
      <c r="CR79" s="50" t="b">
        <f aca="false">IF(Configuration!$C$31="No","",IFERROR(IF(AND(N(BG79)&gt;=Configuration!$C$52,N(AP79)&gt;=1),TRUE(),FALSE()),FALSE()))</f>
        <v>0</v>
      </c>
      <c r="CS79" s="50" t="b">
        <f aca="false">IF(Configuration!$C$32="No","",IFERROR(IF(AND(N(AR79)&gt;=1,OR(AG79&lt;&gt;"",AM79&lt;&gt;"")),TRUE(),FALSE()),FALSE()))</f>
        <v>0</v>
      </c>
      <c r="CT79" s="50" t="b">
        <f aca="false">IF(Configuration!$C$33="No","",IFERROR(IF(AG79&lt;&gt;"",TRUE(),FALSE()),FALSE()))</f>
        <v>0</v>
      </c>
      <c r="CU79" s="50" t="b">
        <f aca="false">IF(Configuration!$C$34="No","",IFERROR(IF(AX79="Yes",TRUE(),FALSE()),FALSE()))</f>
        <v>0</v>
      </c>
      <c r="CV79" s="50" t="b">
        <f aca="false">IF(Configuration!$C$35="No","",IFERROR(IF(OR(BO79="Partial",BO79="Full"),TRUE(),FALSE()),FALSE()))</f>
        <v>0</v>
      </c>
      <c r="CW79" s="50" t="b">
        <f aca="false">IF(Configuration!$C$36="No","",IFERROR(IF(BM79="Survived",TRUE(),FALSE()),FALSE()))</f>
        <v>0</v>
      </c>
      <c r="CX79" s="50" t="b">
        <f aca="false">IF(Configuration!$C$37="No","",IFERROR(IF(AND(BN79="Clean",BP79="None"),TRUE(),FALSE()),FALSE()))</f>
        <v>0</v>
      </c>
      <c r="CY79" s="50" t="b">
        <f aca="false">IF(Configuration!$C$38="No","",IFERROR(IF(N(BK79)&gt;=Configuration!$C$53,TRUE(),FALSE()),FALSE()))</f>
        <v>0</v>
      </c>
      <c r="CZ79" s="50" t="b">
        <f aca="false">IF(Configuration!$C$39="No","",IFERROR(IF(AND(N(BS79)&gt;=2,N(BF79)&gt;=2),TRUE(),FALSE()),FALSE()))</f>
        <v>0</v>
      </c>
      <c r="DA79" s="50" t="b">
        <f aca="false">IF(Configuration!$C$40="No","",IFERROR(IF(OR(N(BG79)&lt;=Configuration!$C$56,N(AY79)&lt;Configuration!$C$57,N(BH79)&lt;=Configuration!$C$58),TRUE(),FALSE()),FALSE()))</f>
        <v>1</v>
      </c>
      <c r="DB79" s="50" t="b">
        <f aca="false">IF(Configuration!$C$41="No","",IFERROR(IF(AND(N(AY79)&gt;=Configuration!$C$54,N(AY79)&lt;=Configuration!$C$55),TRUE(),FALSE()),FALSE()))</f>
        <v>0</v>
      </c>
      <c r="DC79" s="50" t="b">
        <f aca="false">IF(Configuration!$C$42="No","",IFERROR(IF(AND(AG79&lt;&gt;"",AJ79&lt;&gt;""),TRUE(),FALSE()),FALSE()))</f>
        <v>0</v>
      </c>
      <c r="DD79" s="51" t="n">
        <f aca="false">COUNTIF(BW79:DC79,TRUE())</f>
        <v>2</v>
      </c>
    </row>
    <row r="80" customFormat="false" ht="15" hidden="false" customHeight="true" outlineLevel="0" collapsed="false">
      <c r="A80" s="18" t="n">
        <v>41</v>
      </c>
      <c r="B80" s="44"/>
      <c r="C80" s="44"/>
      <c r="D80" s="44"/>
      <c r="E80" s="44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6" t="str">
        <f aca="false">IFERROR(IF(F80&lt;&gt;"",F80,""),"")</f>
        <v/>
      </c>
      <c r="AF80" s="46" t="str">
        <f aca="false">IFERROR(IF(G80&lt;&gt;"",G80,""),"")</f>
        <v/>
      </c>
      <c r="AG80" s="46" t="str">
        <f aca="false">IFERROR(IF(AA80&lt;&gt;"",AA80,IF(R80&lt;&gt;"",R80,"")),"")</f>
        <v/>
      </c>
      <c r="AH80" s="46" t="str">
        <f aca="false">IFERROR(IF(AB80&lt;&gt;"",AB80,IF(S80&lt;&gt;"",S80,"")),"")</f>
        <v/>
      </c>
      <c r="AI80" s="47"/>
      <c r="AJ80" s="47"/>
      <c r="AK80" s="47"/>
      <c r="AL80" s="47"/>
      <c r="AM80" s="47"/>
      <c r="AN80" s="47"/>
      <c r="AO80" s="47"/>
      <c r="AP80" s="47"/>
      <c r="AQ80" s="46" t="str">
        <f aca="false">IFERROR(IF(Y80&lt;&gt;"",VALUE(Y80),""),"")</f>
        <v/>
      </c>
      <c r="AR80" s="47"/>
      <c r="AS80" s="47"/>
      <c r="AT80" s="47"/>
      <c r="AU80" s="47"/>
      <c r="AV80" s="46" t="str">
        <f aca="false">IFERROR(IF(T80&lt;&gt;"",VALUE(T80),""),"")</f>
        <v/>
      </c>
      <c r="AW80" s="46" t="str">
        <f aca="false">IFERROR(IF(N80="","",IF(OR(ISNUMBER(SEARCH("grant",N80)),ISNUMBER(SEARCH("B",AC80))),"Granted",IF(OR(ISNUMBER(SEARCH("pend",N80)),ISNUMBER(SEARCH("A",AC80))),"Pending",IF(ISNUMBER(SEARCH("expir",N80)),"Expired",N80)))),"")</f>
        <v/>
      </c>
      <c r="AX80" s="47"/>
      <c r="AY80" s="46" t="str">
        <f aca="true">IFERROR(IF(M80&lt;&gt;"",ROUND(VALUE(M80),1),IF(L80&lt;&gt;"",ROUND(MAX(0,(DATEVALUE(TEXT(L80,"YYYY-MM-DD"))-TODAY())/365.25),1),"")),"")</f>
        <v/>
      </c>
      <c r="AZ80" s="46" t="str">
        <f aca="false">IFERROR(IF(O80&lt;&gt;"",O80,""),"")</f>
        <v/>
      </c>
      <c r="BA80" s="46" t="str">
        <f aca="false">IFERROR(IF(U80&lt;&gt;"",SUBSTITUTE(SUBSTITUTE(U80,"; ",", "),";",","),""),"")</f>
        <v/>
      </c>
      <c r="BB80" s="47"/>
      <c r="BC80" s="47"/>
      <c r="BD80" s="47"/>
      <c r="BE80" s="47"/>
      <c r="BF80" s="47"/>
      <c r="BG80" s="47"/>
      <c r="BH80" s="47"/>
      <c r="BI80" s="47"/>
      <c r="BJ80" s="47"/>
      <c r="BK80" s="46" t="str">
        <f aca="false">IFERROR(IF(W80&lt;&gt;"",VALUE(W80),""),"")</f>
        <v/>
      </c>
      <c r="BL80" s="46" t="str">
        <f aca="false">IFERROR(IF(X80&lt;&gt;"",VALUE(X80),""),"")</f>
        <v/>
      </c>
      <c r="BM80" s="46" t="str">
        <f aca="false">IFERROR(IF(AD80="","None",IF(ISNUMBER(SEARCH("surv",AD80)),"Survived",IF(ISNUMBER(SEARCH("pend",AD80)),"Pending",IF(ISNUMBER(SEARCH("yes",AD80)),"Pending","None")))),"None")</f>
        <v>None</v>
      </c>
      <c r="BN80" s="47"/>
      <c r="BO80" s="47"/>
      <c r="BP80" s="47"/>
      <c r="BQ80" s="47"/>
      <c r="BR80" s="47"/>
      <c r="BS80" s="47"/>
      <c r="BT80" s="47"/>
      <c r="BU80" s="48" t="n">
        <f aca="false">IFERROR(COUNTA(AE80:BT80)/42,0)</f>
        <v>0.30952380952381</v>
      </c>
      <c r="BV80" s="49"/>
      <c r="BW80" s="50" t="b">
        <f aca="false">IF(Configuration!$C$10="No","",IFERROR(IF(AG80&lt;&gt;"",TRUE(),FALSE()),FALSE()))</f>
        <v>0</v>
      </c>
      <c r="BX80" s="50" t="b">
        <f aca="false">IF(Configuration!$C$11="No","",IFERROR(IF(AND(N(AL80)&gt;=Configuration!$C$44,AM80&lt;&gt;""),TRUE(),FALSE()),FALSE()))</f>
        <v>0</v>
      </c>
      <c r="BY80" s="50" t="b">
        <f aca="false">IF(Configuration!$C$12="No","",IFERROR(IF(AJ80&lt;&gt;"",TRUE(),FALSE()),FALSE()))</f>
        <v>0</v>
      </c>
      <c r="BZ80" s="50" t="b">
        <f aca="false">IF(Configuration!$C$13="No","",IFERROR(IF(AI80&lt;&gt;"",TRUE(),FALSE()),FALSE()))</f>
        <v>0</v>
      </c>
      <c r="CA80" s="50" t="b">
        <f aca="false">IF(Configuration!$C$14="No","",IFERROR(IF(AK80&lt;&gt;"",TRUE(),FALSE()),FALSE()))</f>
        <v>0</v>
      </c>
      <c r="CB80" s="50" t="b">
        <f aca="false">IF(Configuration!$C$15="No","",IFERROR(IF(AND(OR(ISNUMBER(SEARCH("process",AG80)),ISNUMBER(SEARCH("fab",AG80)),ISNUMBER(SEARCH("manufac",AG80))),AO80="Method"),TRUE(),FALSE()),FALSE()))</f>
        <v>0</v>
      </c>
      <c r="CC80" s="50" t="b">
        <f aca="false">IF(Configuration!$C$16="No","",IFERROR(IF(AND(OR(ISNUMBER(SEARCH("material",AG80)),ISNUMBER(SEARCH("chem",AG80)),ISNUMBER(SEARCH("battery",AG80)),ISNUMBER(SEARCH("electrolyte",AG80)),ISNUMBER(SEARCH("polymer",AG80))),OR(AO80="Apparatus",AO80="Method")),TRUE(),FALSE()),FALSE()))</f>
        <v>0</v>
      </c>
      <c r="CD80" s="50" t="b">
        <f aca="false">IF(Configuration!$C$17="No","",IFERROR(IF(AND(OR(AI80="App",AI80="Middleware",AI80="Cloud"),OR(AO80="Method",AO80="CRM")),TRUE(),FALSE()),FALSE()))</f>
        <v>0</v>
      </c>
      <c r="CE80" s="50" t="b">
        <f aca="false">IF(Configuration!$C$18="No","",IFERROR(IF(N(AN80)&gt;=Configuration!$C$45,TRUE(),FALSE()),FALSE()))</f>
        <v>0</v>
      </c>
      <c r="CF80" s="50" t="b">
        <f aca="false">IF(Configuration!$C$19="No","",IFERROR(IF(BE80&lt;&gt;"",TRUE(),FALSE()),FALSE()))</f>
        <v>0</v>
      </c>
      <c r="CG80" s="50" t="b">
        <f aca="false">IF(Configuration!$C$20="No","",IFERROR(IF(AO80&lt;&gt;"",TRUE(),FALSE()),FALSE()))</f>
        <v>0</v>
      </c>
      <c r="CH80" s="50" t="b">
        <f aca="false">IF(Configuration!$C$21="No","",IFERROR(IF(OR(N(AS80)&gt;=Configuration!$C$46,N(AT80)&gt;=Configuration!$C$47),TRUE(),FALSE()),FALSE()))</f>
        <v>0</v>
      </c>
      <c r="CI80" s="50" t="b">
        <f aca="false">IF(Configuration!$C$22="No","",IFERROR(IF(BB80="Yes",TRUE(),FALSE()),FALSE()))</f>
        <v>0</v>
      </c>
      <c r="CJ80" s="50" t="b">
        <f aca="false">IF(Configuration!$C$23="No","",IFERROR(IF(N(AV80)&gt;=Configuration!$C$48,TRUE(),FALSE()),FALSE()))</f>
        <v>0</v>
      </c>
      <c r="CK80" s="50" t="b">
        <f aca="false">IF(Configuration!$C$24="No","",IFERROR(IF(N(AY80)&gt;0,TRUE(),FALSE()),FALSE()))</f>
        <v>0</v>
      </c>
      <c r="CL80" s="50" t="b">
        <f aca="false">IF(Configuration!$C$25="No","",IFERROR(IF(OR(N(AP80)=3,N(AP80)&lt;=1),TRUE(),FALSE()),FALSE()))</f>
        <v>1</v>
      </c>
      <c r="CM80" s="50" t="b">
        <f aca="false">IF(Configuration!$C$26="No","",IFERROR(IF(N(BF80)&gt;=Configuration!$C$49,TRUE(),FALSE()),FALSE()))</f>
        <v>0</v>
      </c>
      <c r="CN80" s="50" t="b">
        <f aca="false">IF(Configuration!$C$27="No","",IFERROR(IF(BD80&lt;&gt;"",TRUE(),FALSE()),FALSE()))</f>
        <v>0</v>
      </c>
      <c r="CO80" s="50" t="b">
        <f aca="false">IF(Configuration!$C$28="No","",IFERROR(IF(N(AU80)&gt;=Configuration!$C$50,TRUE(),FALSE()),FALSE()))</f>
        <v>0</v>
      </c>
      <c r="CP80" s="50" t="b">
        <f aca="false">IF(Configuration!$C$29="No","",IFERROR(IF(AND(N(AR80)&gt;=Configuration!$C$51,AG80&lt;&gt;""),TRUE(),FALSE()),FALSE()))</f>
        <v>0</v>
      </c>
      <c r="CQ80" s="50" t="b">
        <f aca="false">IF(Configuration!$C$30="No","",IFERROR(IF(OR(AW80="Pending",AX80="Yes"),TRUE(),FALSE()),FALSE()))</f>
        <v>0</v>
      </c>
      <c r="CR80" s="50" t="b">
        <f aca="false">IF(Configuration!$C$31="No","",IFERROR(IF(AND(N(BG80)&gt;=Configuration!$C$52,N(AP80)&gt;=1),TRUE(),FALSE()),FALSE()))</f>
        <v>0</v>
      </c>
      <c r="CS80" s="50" t="b">
        <f aca="false">IF(Configuration!$C$32="No","",IFERROR(IF(AND(N(AR80)&gt;=1,OR(AG80&lt;&gt;"",AM80&lt;&gt;"")),TRUE(),FALSE()),FALSE()))</f>
        <v>0</v>
      </c>
      <c r="CT80" s="50" t="b">
        <f aca="false">IF(Configuration!$C$33="No","",IFERROR(IF(AG80&lt;&gt;"",TRUE(),FALSE()),FALSE()))</f>
        <v>0</v>
      </c>
      <c r="CU80" s="50" t="b">
        <f aca="false">IF(Configuration!$C$34="No","",IFERROR(IF(AX80="Yes",TRUE(),FALSE()),FALSE()))</f>
        <v>0</v>
      </c>
      <c r="CV80" s="50" t="b">
        <f aca="false">IF(Configuration!$C$35="No","",IFERROR(IF(OR(BO80="Partial",BO80="Full"),TRUE(),FALSE()),FALSE()))</f>
        <v>0</v>
      </c>
      <c r="CW80" s="50" t="b">
        <f aca="false">IF(Configuration!$C$36="No","",IFERROR(IF(BM80="Survived",TRUE(),FALSE()),FALSE()))</f>
        <v>0</v>
      </c>
      <c r="CX80" s="50" t="b">
        <f aca="false">IF(Configuration!$C$37="No","",IFERROR(IF(AND(BN80="Clean",BP80="None"),TRUE(),FALSE()),FALSE()))</f>
        <v>0</v>
      </c>
      <c r="CY80" s="50" t="b">
        <f aca="false">IF(Configuration!$C$38="No","",IFERROR(IF(N(BK80)&gt;=Configuration!$C$53,TRUE(),FALSE()),FALSE()))</f>
        <v>0</v>
      </c>
      <c r="CZ80" s="50" t="b">
        <f aca="false">IF(Configuration!$C$39="No","",IFERROR(IF(AND(N(BS80)&gt;=2,N(BF80)&gt;=2),TRUE(),FALSE()),FALSE()))</f>
        <v>0</v>
      </c>
      <c r="DA80" s="50" t="b">
        <f aca="false">IF(Configuration!$C$40="No","",IFERROR(IF(OR(N(BG80)&lt;=Configuration!$C$56,N(AY80)&lt;Configuration!$C$57,N(BH80)&lt;=Configuration!$C$58),TRUE(),FALSE()),FALSE()))</f>
        <v>1</v>
      </c>
      <c r="DB80" s="50" t="b">
        <f aca="false">IF(Configuration!$C$41="No","",IFERROR(IF(AND(N(AY80)&gt;=Configuration!$C$54,N(AY80)&lt;=Configuration!$C$55),TRUE(),FALSE()),FALSE()))</f>
        <v>0</v>
      </c>
      <c r="DC80" s="50" t="b">
        <f aca="false">IF(Configuration!$C$42="No","",IFERROR(IF(AND(AG80&lt;&gt;"",AJ80&lt;&gt;""),TRUE(),FALSE()),FALSE()))</f>
        <v>0</v>
      </c>
      <c r="DD80" s="51" t="n">
        <f aca="false">COUNTIF(BW80:DC80,TRUE())</f>
        <v>2</v>
      </c>
    </row>
    <row r="81" customFormat="false" ht="15" hidden="false" customHeight="true" outlineLevel="0" collapsed="false">
      <c r="A81" s="18" t="n">
        <v>42</v>
      </c>
      <c r="B81" s="44"/>
      <c r="C81" s="44"/>
      <c r="D81" s="44"/>
      <c r="E81" s="44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6" t="str">
        <f aca="false">IFERROR(IF(F81&lt;&gt;"",F81,""),"")</f>
        <v/>
      </c>
      <c r="AF81" s="46" t="str">
        <f aca="false">IFERROR(IF(G81&lt;&gt;"",G81,""),"")</f>
        <v/>
      </c>
      <c r="AG81" s="46" t="str">
        <f aca="false">IFERROR(IF(AA81&lt;&gt;"",AA81,IF(R81&lt;&gt;"",R81,"")),"")</f>
        <v/>
      </c>
      <c r="AH81" s="46" t="str">
        <f aca="false">IFERROR(IF(AB81&lt;&gt;"",AB81,IF(S81&lt;&gt;"",S81,"")),"")</f>
        <v/>
      </c>
      <c r="AI81" s="47"/>
      <c r="AJ81" s="47"/>
      <c r="AK81" s="47"/>
      <c r="AL81" s="47"/>
      <c r="AM81" s="47"/>
      <c r="AN81" s="47"/>
      <c r="AO81" s="47"/>
      <c r="AP81" s="47"/>
      <c r="AQ81" s="46" t="str">
        <f aca="false">IFERROR(IF(Y81&lt;&gt;"",VALUE(Y81),""),"")</f>
        <v/>
      </c>
      <c r="AR81" s="47"/>
      <c r="AS81" s="47"/>
      <c r="AT81" s="47"/>
      <c r="AU81" s="47"/>
      <c r="AV81" s="46" t="str">
        <f aca="false">IFERROR(IF(T81&lt;&gt;"",VALUE(T81),""),"")</f>
        <v/>
      </c>
      <c r="AW81" s="46" t="str">
        <f aca="false">IFERROR(IF(N81="","",IF(OR(ISNUMBER(SEARCH("grant",N81)),ISNUMBER(SEARCH("B",AC81))),"Granted",IF(OR(ISNUMBER(SEARCH("pend",N81)),ISNUMBER(SEARCH("A",AC81))),"Pending",IF(ISNUMBER(SEARCH("expir",N81)),"Expired",N81)))),"")</f>
        <v/>
      </c>
      <c r="AX81" s="47"/>
      <c r="AY81" s="46" t="str">
        <f aca="true">IFERROR(IF(M81&lt;&gt;"",ROUND(VALUE(M81),1),IF(L81&lt;&gt;"",ROUND(MAX(0,(DATEVALUE(TEXT(L81,"YYYY-MM-DD"))-TODAY())/365.25),1),"")),"")</f>
        <v/>
      </c>
      <c r="AZ81" s="46" t="str">
        <f aca="false">IFERROR(IF(O81&lt;&gt;"",O81,""),"")</f>
        <v/>
      </c>
      <c r="BA81" s="46" t="str">
        <f aca="false">IFERROR(IF(U81&lt;&gt;"",SUBSTITUTE(SUBSTITUTE(U81,"; ",", "),";",","),""),"")</f>
        <v/>
      </c>
      <c r="BB81" s="47"/>
      <c r="BC81" s="47"/>
      <c r="BD81" s="47"/>
      <c r="BE81" s="47"/>
      <c r="BF81" s="47"/>
      <c r="BG81" s="47"/>
      <c r="BH81" s="47"/>
      <c r="BI81" s="47"/>
      <c r="BJ81" s="47"/>
      <c r="BK81" s="46" t="str">
        <f aca="false">IFERROR(IF(W81&lt;&gt;"",VALUE(W81),""),"")</f>
        <v/>
      </c>
      <c r="BL81" s="46" t="str">
        <f aca="false">IFERROR(IF(X81&lt;&gt;"",VALUE(X81),""),"")</f>
        <v/>
      </c>
      <c r="BM81" s="46" t="str">
        <f aca="false">IFERROR(IF(AD81="","None",IF(ISNUMBER(SEARCH("surv",AD81)),"Survived",IF(ISNUMBER(SEARCH("pend",AD81)),"Pending",IF(ISNUMBER(SEARCH("yes",AD81)),"Pending","None")))),"None")</f>
        <v>None</v>
      </c>
      <c r="BN81" s="47"/>
      <c r="BO81" s="47"/>
      <c r="BP81" s="47"/>
      <c r="BQ81" s="47"/>
      <c r="BR81" s="47"/>
      <c r="BS81" s="47"/>
      <c r="BT81" s="47"/>
      <c r="BU81" s="48" t="n">
        <f aca="false">IFERROR(COUNTA(AE81:BT81)/42,0)</f>
        <v>0.30952380952381</v>
      </c>
      <c r="BV81" s="49"/>
      <c r="BW81" s="50" t="b">
        <f aca="false">IF(Configuration!$C$10="No","",IFERROR(IF(AG81&lt;&gt;"",TRUE(),FALSE()),FALSE()))</f>
        <v>0</v>
      </c>
      <c r="BX81" s="50" t="b">
        <f aca="false">IF(Configuration!$C$11="No","",IFERROR(IF(AND(N(AL81)&gt;=Configuration!$C$44,AM81&lt;&gt;""),TRUE(),FALSE()),FALSE()))</f>
        <v>0</v>
      </c>
      <c r="BY81" s="50" t="b">
        <f aca="false">IF(Configuration!$C$12="No","",IFERROR(IF(AJ81&lt;&gt;"",TRUE(),FALSE()),FALSE()))</f>
        <v>0</v>
      </c>
      <c r="BZ81" s="50" t="b">
        <f aca="false">IF(Configuration!$C$13="No","",IFERROR(IF(AI81&lt;&gt;"",TRUE(),FALSE()),FALSE()))</f>
        <v>0</v>
      </c>
      <c r="CA81" s="50" t="b">
        <f aca="false">IF(Configuration!$C$14="No","",IFERROR(IF(AK81&lt;&gt;"",TRUE(),FALSE()),FALSE()))</f>
        <v>0</v>
      </c>
      <c r="CB81" s="50" t="b">
        <f aca="false">IF(Configuration!$C$15="No","",IFERROR(IF(AND(OR(ISNUMBER(SEARCH("process",AG81)),ISNUMBER(SEARCH("fab",AG81)),ISNUMBER(SEARCH("manufac",AG81))),AO81="Method"),TRUE(),FALSE()),FALSE()))</f>
        <v>0</v>
      </c>
      <c r="CC81" s="50" t="b">
        <f aca="false">IF(Configuration!$C$16="No","",IFERROR(IF(AND(OR(ISNUMBER(SEARCH("material",AG81)),ISNUMBER(SEARCH("chem",AG81)),ISNUMBER(SEARCH("battery",AG81)),ISNUMBER(SEARCH("electrolyte",AG81)),ISNUMBER(SEARCH("polymer",AG81))),OR(AO81="Apparatus",AO81="Method")),TRUE(),FALSE()),FALSE()))</f>
        <v>0</v>
      </c>
      <c r="CD81" s="50" t="b">
        <f aca="false">IF(Configuration!$C$17="No","",IFERROR(IF(AND(OR(AI81="App",AI81="Middleware",AI81="Cloud"),OR(AO81="Method",AO81="CRM")),TRUE(),FALSE()),FALSE()))</f>
        <v>0</v>
      </c>
      <c r="CE81" s="50" t="b">
        <f aca="false">IF(Configuration!$C$18="No","",IFERROR(IF(N(AN81)&gt;=Configuration!$C$45,TRUE(),FALSE()),FALSE()))</f>
        <v>0</v>
      </c>
      <c r="CF81" s="50" t="b">
        <f aca="false">IF(Configuration!$C$19="No","",IFERROR(IF(BE81&lt;&gt;"",TRUE(),FALSE()),FALSE()))</f>
        <v>0</v>
      </c>
      <c r="CG81" s="50" t="b">
        <f aca="false">IF(Configuration!$C$20="No","",IFERROR(IF(AO81&lt;&gt;"",TRUE(),FALSE()),FALSE()))</f>
        <v>0</v>
      </c>
      <c r="CH81" s="50" t="b">
        <f aca="false">IF(Configuration!$C$21="No","",IFERROR(IF(OR(N(AS81)&gt;=Configuration!$C$46,N(AT81)&gt;=Configuration!$C$47),TRUE(),FALSE()),FALSE()))</f>
        <v>0</v>
      </c>
      <c r="CI81" s="50" t="b">
        <f aca="false">IF(Configuration!$C$22="No","",IFERROR(IF(BB81="Yes",TRUE(),FALSE()),FALSE()))</f>
        <v>0</v>
      </c>
      <c r="CJ81" s="50" t="b">
        <f aca="false">IF(Configuration!$C$23="No","",IFERROR(IF(N(AV81)&gt;=Configuration!$C$48,TRUE(),FALSE()),FALSE()))</f>
        <v>0</v>
      </c>
      <c r="CK81" s="50" t="b">
        <f aca="false">IF(Configuration!$C$24="No","",IFERROR(IF(N(AY81)&gt;0,TRUE(),FALSE()),FALSE()))</f>
        <v>0</v>
      </c>
      <c r="CL81" s="50" t="b">
        <f aca="false">IF(Configuration!$C$25="No","",IFERROR(IF(OR(N(AP81)=3,N(AP81)&lt;=1),TRUE(),FALSE()),FALSE()))</f>
        <v>1</v>
      </c>
      <c r="CM81" s="50" t="b">
        <f aca="false">IF(Configuration!$C$26="No","",IFERROR(IF(N(BF81)&gt;=Configuration!$C$49,TRUE(),FALSE()),FALSE()))</f>
        <v>0</v>
      </c>
      <c r="CN81" s="50" t="b">
        <f aca="false">IF(Configuration!$C$27="No","",IFERROR(IF(BD81&lt;&gt;"",TRUE(),FALSE()),FALSE()))</f>
        <v>0</v>
      </c>
      <c r="CO81" s="50" t="b">
        <f aca="false">IF(Configuration!$C$28="No","",IFERROR(IF(N(AU81)&gt;=Configuration!$C$50,TRUE(),FALSE()),FALSE()))</f>
        <v>0</v>
      </c>
      <c r="CP81" s="50" t="b">
        <f aca="false">IF(Configuration!$C$29="No","",IFERROR(IF(AND(N(AR81)&gt;=Configuration!$C$51,AG81&lt;&gt;""),TRUE(),FALSE()),FALSE()))</f>
        <v>0</v>
      </c>
      <c r="CQ81" s="50" t="b">
        <f aca="false">IF(Configuration!$C$30="No","",IFERROR(IF(OR(AW81="Pending",AX81="Yes"),TRUE(),FALSE()),FALSE()))</f>
        <v>0</v>
      </c>
      <c r="CR81" s="50" t="b">
        <f aca="false">IF(Configuration!$C$31="No","",IFERROR(IF(AND(N(BG81)&gt;=Configuration!$C$52,N(AP81)&gt;=1),TRUE(),FALSE()),FALSE()))</f>
        <v>0</v>
      </c>
      <c r="CS81" s="50" t="b">
        <f aca="false">IF(Configuration!$C$32="No","",IFERROR(IF(AND(N(AR81)&gt;=1,OR(AG81&lt;&gt;"",AM81&lt;&gt;"")),TRUE(),FALSE()),FALSE()))</f>
        <v>0</v>
      </c>
      <c r="CT81" s="50" t="b">
        <f aca="false">IF(Configuration!$C$33="No","",IFERROR(IF(AG81&lt;&gt;"",TRUE(),FALSE()),FALSE()))</f>
        <v>0</v>
      </c>
      <c r="CU81" s="50" t="b">
        <f aca="false">IF(Configuration!$C$34="No","",IFERROR(IF(AX81="Yes",TRUE(),FALSE()),FALSE()))</f>
        <v>0</v>
      </c>
      <c r="CV81" s="50" t="b">
        <f aca="false">IF(Configuration!$C$35="No","",IFERROR(IF(OR(BO81="Partial",BO81="Full"),TRUE(),FALSE()),FALSE()))</f>
        <v>0</v>
      </c>
      <c r="CW81" s="50" t="b">
        <f aca="false">IF(Configuration!$C$36="No","",IFERROR(IF(BM81="Survived",TRUE(),FALSE()),FALSE()))</f>
        <v>0</v>
      </c>
      <c r="CX81" s="50" t="b">
        <f aca="false">IF(Configuration!$C$37="No","",IFERROR(IF(AND(BN81="Clean",BP81="None"),TRUE(),FALSE()),FALSE()))</f>
        <v>0</v>
      </c>
      <c r="CY81" s="50" t="b">
        <f aca="false">IF(Configuration!$C$38="No","",IFERROR(IF(N(BK81)&gt;=Configuration!$C$53,TRUE(),FALSE()),FALSE()))</f>
        <v>0</v>
      </c>
      <c r="CZ81" s="50" t="b">
        <f aca="false">IF(Configuration!$C$39="No","",IFERROR(IF(AND(N(BS81)&gt;=2,N(BF81)&gt;=2),TRUE(),FALSE()),FALSE()))</f>
        <v>0</v>
      </c>
      <c r="DA81" s="50" t="b">
        <f aca="false">IF(Configuration!$C$40="No","",IFERROR(IF(OR(N(BG81)&lt;=Configuration!$C$56,N(AY81)&lt;Configuration!$C$57,N(BH81)&lt;=Configuration!$C$58),TRUE(),FALSE()),FALSE()))</f>
        <v>1</v>
      </c>
      <c r="DB81" s="50" t="b">
        <f aca="false">IF(Configuration!$C$41="No","",IFERROR(IF(AND(N(AY81)&gt;=Configuration!$C$54,N(AY81)&lt;=Configuration!$C$55),TRUE(),FALSE()),FALSE()))</f>
        <v>0</v>
      </c>
      <c r="DC81" s="50" t="b">
        <f aca="false">IF(Configuration!$C$42="No","",IFERROR(IF(AND(AG81&lt;&gt;"",AJ81&lt;&gt;""),TRUE(),FALSE()),FALSE()))</f>
        <v>0</v>
      </c>
      <c r="DD81" s="51" t="n">
        <f aca="false">COUNTIF(BW81:DC81,TRUE())</f>
        <v>2</v>
      </c>
    </row>
    <row r="82" customFormat="false" ht="15" hidden="false" customHeight="true" outlineLevel="0" collapsed="false">
      <c r="A82" s="18" t="n">
        <v>43</v>
      </c>
      <c r="B82" s="44"/>
      <c r="C82" s="44"/>
      <c r="D82" s="44"/>
      <c r="E82" s="44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6" t="str">
        <f aca="false">IFERROR(IF(F82&lt;&gt;"",F82,""),"")</f>
        <v/>
      </c>
      <c r="AF82" s="46" t="str">
        <f aca="false">IFERROR(IF(G82&lt;&gt;"",G82,""),"")</f>
        <v/>
      </c>
      <c r="AG82" s="46" t="str">
        <f aca="false">IFERROR(IF(AA82&lt;&gt;"",AA82,IF(R82&lt;&gt;"",R82,"")),"")</f>
        <v/>
      </c>
      <c r="AH82" s="46" t="str">
        <f aca="false">IFERROR(IF(AB82&lt;&gt;"",AB82,IF(S82&lt;&gt;"",S82,"")),"")</f>
        <v/>
      </c>
      <c r="AI82" s="47"/>
      <c r="AJ82" s="47"/>
      <c r="AK82" s="47"/>
      <c r="AL82" s="47"/>
      <c r="AM82" s="47"/>
      <c r="AN82" s="47"/>
      <c r="AO82" s="47"/>
      <c r="AP82" s="47"/>
      <c r="AQ82" s="46" t="str">
        <f aca="false">IFERROR(IF(Y82&lt;&gt;"",VALUE(Y82),""),"")</f>
        <v/>
      </c>
      <c r="AR82" s="47"/>
      <c r="AS82" s="47"/>
      <c r="AT82" s="47"/>
      <c r="AU82" s="47"/>
      <c r="AV82" s="46" t="str">
        <f aca="false">IFERROR(IF(T82&lt;&gt;"",VALUE(T82),""),"")</f>
        <v/>
      </c>
      <c r="AW82" s="46" t="str">
        <f aca="false">IFERROR(IF(N82="","",IF(OR(ISNUMBER(SEARCH("grant",N82)),ISNUMBER(SEARCH("B",AC82))),"Granted",IF(OR(ISNUMBER(SEARCH("pend",N82)),ISNUMBER(SEARCH("A",AC82))),"Pending",IF(ISNUMBER(SEARCH("expir",N82)),"Expired",N82)))),"")</f>
        <v/>
      </c>
      <c r="AX82" s="47"/>
      <c r="AY82" s="46" t="str">
        <f aca="true">IFERROR(IF(M82&lt;&gt;"",ROUND(VALUE(M82),1),IF(L82&lt;&gt;"",ROUND(MAX(0,(DATEVALUE(TEXT(L82,"YYYY-MM-DD"))-TODAY())/365.25),1),"")),"")</f>
        <v/>
      </c>
      <c r="AZ82" s="46" t="str">
        <f aca="false">IFERROR(IF(O82&lt;&gt;"",O82,""),"")</f>
        <v/>
      </c>
      <c r="BA82" s="46" t="str">
        <f aca="false">IFERROR(IF(U82&lt;&gt;"",SUBSTITUTE(SUBSTITUTE(U82,"; ",", "),";",","),""),"")</f>
        <v/>
      </c>
      <c r="BB82" s="47"/>
      <c r="BC82" s="47"/>
      <c r="BD82" s="47"/>
      <c r="BE82" s="47"/>
      <c r="BF82" s="47"/>
      <c r="BG82" s="47"/>
      <c r="BH82" s="47"/>
      <c r="BI82" s="47"/>
      <c r="BJ82" s="47"/>
      <c r="BK82" s="46" t="str">
        <f aca="false">IFERROR(IF(W82&lt;&gt;"",VALUE(W82),""),"")</f>
        <v/>
      </c>
      <c r="BL82" s="46" t="str">
        <f aca="false">IFERROR(IF(X82&lt;&gt;"",VALUE(X82),""),"")</f>
        <v/>
      </c>
      <c r="BM82" s="46" t="str">
        <f aca="false">IFERROR(IF(AD82="","None",IF(ISNUMBER(SEARCH("surv",AD82)),"Survived",IF(ISNUMBER(SEARCH("pend",AD82)),"Pending",IF(ISNUMBER(SEARCH("yes",AD82)),"Pending","None")))),"None")</f>
        <v>None</v>
      </c>
      <c r="BN82" s="47"/>
      <c r="BO82" s="47"/>
      <c r="BP82" s="47"/>
      <c r="BQ82" s="47"/>
      <c r="BR82" s="47"/>
      <c r="BS82" s="47"/>
      <c r="BT82" s="47"/>
      <c r="BU82" s="48" t="n">
        <f aca="false">IFERROR(COUNTA(AE82:BT82)/42,0)</f>
        <v>0.30952380952381</v>
      </c>
      <c r="BV82" s="49"/>
      <c r="BW82" s="50" t="b">
        <f aca="false">IF(Configuration!$C$10="No","",IFERROR(IF(AG82&lt;&gt;"",TRUE(),FALSE()),FALSE()))</f>
        <v>0</v>
      </c>
      <c r="BX82" s="50" t="b">
        <f aca="false">IF(Configuration!$C$11="No","",IFERROR(IF(AND(N(AL82)&gt;=Configuration!$C$44,AM82&lt;&gt;""),TRUE(),FALSE()),FALSE()))</f>
        <v>0</v>
      </c>
      <c r="BY82" s="50" t="b">
        <f aca="false">IF(Configuration!$C$12="No","",IFERROR(IF(AJ82&lt;&gt;"",TRUE(),FALSE()),FALSE()))</f>
        <v>0</v>
      </c>
      <c r="BZ82" s="50" t="b">
        <f aca="false">IF(Configuration!$C$13="No","",IFERROR(IF(AI82&lt;&gt;"",TRUE(),FALSE()),FALSE()))</f>
        <v>0</v>
      </c>
      <c r="CA82" s="50" t="b">
        <f aca="false">IF(Configuration!$C$14="No","",IFERROR(IF(AK82&lt;&gt;"",TRUE(),FALSE()),FALSE()))</f>
        <v>0</v>
      </c>
      <c r="CB82" s="50" t="b">
        <f aca="false">IF(Configuration!$C$15="No","",IFERROR(IF(AND(OR(ISNUMBER(SEARCH("process",AG82)),ISNUMBER(SEARCH("fab",AG82)),ISNUMBER(SEARCH("manufac",AG82))),AO82="Method"),TRUE(),FALSE()),FALSE()))</f>
        <v>0</v>
      </c>
      <c r="CC82" s="50" t="b">
        <f aca="false">IF(Configuration!$C$16="No","",IFERROR(IF(AND(OR(ISNUMBER(SEARCH("material",AG82)),ISNUMBER(SEARCH("chem",AG82)),ISNUMBER(SEARCH("battery",AG82)),ISNUMBER(SEARCH("electrolyte",AG82)),ISNUMBER(SEARCH("polymer",AG82))),OR(AO82="Apparatus",AO82="Method")),TRUE(),FALSE()),FALSE()))</f>
        <v>0</v>
      </c>
      <c r="CD82" s="50" t="b">
        <f aca="false">IF(Configuration!$C$17="No","",IFERROR(IF(AND(OR(AI82="App",AI82="Middleware",AI82="Cloud"),OR(AO82="Method",AO82="CRM")),TRUE(),FALSE()),FALSE()))</f>
        <v>0</v>
      </c>
      <c r="CE82" s="50" t="b">
        <f aca="false">IF(Configuration!$C$18="No","",IFERROR(IF(N(AN82)&gt;=Configuration!$C$45,TRUE(),FALSE()),FALSE()))</f>
        <v>0</v>
      </c>
      <c r="CF82" s="50" t="b">
        <f aca="false">IF(Configuration!$C$19="No","",IFERROR(IF(BE82&lt;&gt;"",TRUE(),FALSE()),FALSE()))</f>
        <v>0</v>
      </c>
      <c r="CG82" s="50" t="b">
        <f aca="false">IF(Configuration!$C$20="No","",IFERROR(IF(AO82&lt;&gt;"",TRUE(),FALSE()),FALSE()))</f>
        <v>0</v>
      </c>
      <c r="CH82" s="50" t="b">
        <f aca="false">IF(Configuration!$C$21="No","",IFERROR(IF(OR(N(AS82)&gt;=Configuration!$C$46,N(AT82)&gt;=Configuration!$C$47),TRUE(),FALSE()),FALSE()))</f>
        <v>0</v>
      </c>
      <c r="CI82" s="50" t="b">
        <f aca="false">IF(Configuration!$C$22="No","",IFERROR(IF(BB82="Yes",TRUE(),FALSE()),FALSE()))</f>
        <v>0</v>
      </c>
      <c r="CJ82" s="50" t="b">
        <f aca="false">IF(Configuration!$C$23="No","",IFERROR(IF(N(AV82)&gt;=Configuration!$C$48,TRUE(),FALSE()),FALSE()))</f>
        <v>0</v>
      </c>
      <c r="CK82" s="50" t="b">
        <f aca="false">IF(Configuration!$C$24="No","",IFERROR(IF(N(AY82)&gt;0,TRUE(),FALSE()),FALSE()))</f>
        <v>0</v>
      </c>
      <c r="CL82" s="50" t="b">
        <f aca="false">IF(Configuration!$C$25="No","",IFERROR(IF(OR(N(AP82)=3,N(AP82)&lt;=1),TRUE(),FALSE()),FALSE()))</f>
        <v>1</v>
      </c>
      <c r="CM82" s="50" t="b">
        <f aca="false">IF(Configuration!$C$26="No","",IFERROR(IF(N(BF82)&gt;=Configuration!$C$49,TRUE(),FALSE()),FALSE()))</f>
        <v>0</v>
      </c>
      <c r="CN82" s="50" t="b">
        <f aca="false">IF(Configuration!$C$27="No","",IFERROR(IF(BD82&lt;&gt;"",TRUE(),FALSE()),FALSE()))</f>
        <v>0</v>
      </c>
      <c r="CO82" s="50" t="b">
        <f aca="false">IF(Configuration!$C$28="No","",IFERROR(IF(N(AU82)&gt;=Configuration!$C$50,TRUE(),FALSE()),FALSE()))</f>
        <v>0</v>
      </c>
      <c r="CP82" s="50" t="b">
        <f aca="false">IF(Configuration!$C$29="No","",IFERROR(IF(AND(N(AR82)&gt;=Configuration!$C$51,AG82&lt;&gt;""),TRUE(),FALSE()),FALSE()))</f>
        <v>0</v>
      </c>
      <c r="CQ82" s="50" t="b">
        <f aca="false">IF(Configuration!$C$30="No","",IFERROR(IF(OR(AW82="Pending",AX82="Yes"),TRUE(),FALSE()),FALSE()))</f>
        <v>0</v>
      </c>
      <c r="CR82" s="50" t="b">
        <f aca="false">IF(Configuration!$C$31="No","",IFERROR(IF(AND(N(BG82)&gt;=Configuration!$C$52,N(AP82)&gt;=1),TRUE(),FALSE()),FALSE()))</f>
        <v>0</v>
      </c>
      <c r="CS82" s="50" t="b">
        <f aca="false">IF(Configuration!$C$32="No","",IFERROR(IF(AND(N(AR82)&gt;=1,OR(AG82&lt;&gt;"",AM82&lt;&gt;"")),TRUE(),FALSE()),FALSE()))</f>
        <v>0</v>
      </c>
      <c r="CT82" s="50" t="b">
        <f aca="false">IF(Configuration!$C$33="No","",IFERROR(IF(AG82&lt;&gt;"",TRUE(),FALSE()),FALSE()))</f>
        <v>0</v>
      </c>
      <c r="CU82" s="50" t="b">
        <f aca="false">IF(Configuration!$C$34="No","",IFERROR(IF(AX82="Yes",TRUE(),FALSE()),FALSE()))</f>
        <v>0</v>
      </c>
      <c r="CV82" s="50" t="b">
        <f aca="false">IF(Configuration!$C$35="No","",IFERROR(IF(OR(BO82="Partial",BO82="Full"),TRUE(),FALSE()),FALSE()))</f>
        <v>0</v>
      </c>
      <c r="CW82" s="50" t="b">
        <f aca="false">IF(Configuration!$C$36="No","",IFERROR(IF(BM82="Survived",TRUE(),FALSE()),FALSE()))</f>
        <v>0</v>
      </c>
      <c r="CX82" s="50" t="b">
        <f aca="false">IF(Configuration!$C$37="No","",IFERROR(IF(AND(BN82="Clean",BP82="None"),TRUE(),FALSE()),FALSE()))</f>
        <v>0</v>
      </c>
      <c r="CY82" s="50" t="b">
        <f aca="false">IF(Configuration!$C$38="No","",IFERROR(IF(N(BK82)&gt;=Configuration!$C$53,TRUE(),FALSE()),FALSE()))</f>
        <v>0</v>
      </c>
      <c r="CZ82" s="50" t="b">
        <f aca="false">IF(Configuration!$C$39="No","",IFERROR(IF(AND(N(BS82)&gt;=2,N(BF82)&gt;=2),TRUE(),FALSE()),FALSE()))</f>
        <v>0</v>
      </c>
      <c r="DA82" s="50" t="b">
        <f aca="false">IF(Configuration!$C$40="No","",IFERROR(IF(OR(N(BG82)&lt;=Configuration!$C$56,N(AY82)&lt;Configuration!$C$57,N(BH82)&lt;=Configuration!$C$58),TRUE(),FALSE()),FALSE()))</f>
        <v>1</v>
      </c>
      <c r="DB82" s="50" t="b">
        <f aca="false">IF(Configuration!$C$41="No","",IFERROR(IF(AND(N(AY82)&gt;=Configuration!$C$54,N(AY82)&lt;=Configuration!$C$55),TRUE(),FALSE()),FALSE()))</f>
        <v>0</v>
      </c>
      <c r="DC82" s="50" t="b">
        <f aca="false">IF(Configuration!$C$42="No","",IFERROR(IF(AND(AG82&lt;&gt;"",AJ82&lt;&gt;""),TRUE(),FALSE()),FALSE()))</f>
        <v>0</v>
      </c>
      <c r="DD82" s="51" t="n">
        <f aca="false">COUNTIF(BW82:DC82,TRUE())</f>
        <v>2</v>
      </c>
    </row>
    <row r="83" customFormat="false" ht="15" hidden="false" customHeight="true" outlineLevel="0" collapsed="false">
      <c r="A83" s="18" t="n">
        <v>44</v>
      </c>
      <c r="B83" s="44"/>
      <c r="C83" s="44"/>
      <c r="D83" s="44"/>
      <c r="E83" s="44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6" t="str">
        <f aca="false">IFERROR(IF(F83&lt;&gt;"",F83,""),"")</f>
        <v/>
      </c>
      <c r="AF83" s="46" t="str">
        <f aca="false">IFERROR(IF(G83&lt;&gt;"",G83,""),"")</f>
        <v/>
      </c>
      <c r="AG83" s="46" t="str">
        <f aca="false">IFERROR(IF(AA83&lt;&gt;"",AA83,IF(R83&lt;&gt;"",R83,"")),"")</f>
        <v/>
      </c>
      <c r="AH83" s="46" t="str">
        <f aca="false">IFERROR(IF(AB83&lt;&gt;"",AB83,IF(S83&lt;&gt;"",S83,"")),"")</f>
        <v/>
      </c>
      <c r="AI83" s="47"/>
      <c r="AJ83" s="47"/>
      <c r="AK83" s="47"/>
      <c r="AL83" s="47"/>
      <c r="AM83" s="47"/>
      <c r="AN83" s="47"/>
      <c r="AO83" s="47"/>
      <c r="AP83" s="47"/>
      <c r="AQ83" s="46" t="str">
        <f aca="false">IFERROR(IF(Y83&lt;&gt;"",VALUE(Y83),""),"")</f>
        <v/>
      </c>
      <c r="AR83" s="47"/>
      <c r="AS83" s="47"/>
      <c r="AT83" s="47"/>
      <c r="AU83" s="47"/>
      <c r="AV83" s="46" t="str">
        <f aca="false">IFERROR(IF(T83&lt;&gt;"",VALUE(T83),""),"")</f>
        <v/>
      </c>
      <c r="AW83" s="46" t="str">
        <f aca="false">IFERROR(IF(N83="","",IF(OR(ISNUMBER(SEARCH("grant",N83)),ISNUMBER(SEARCH("B",AC83))),"Granted",IF(OR(ISNUMBER(SEARCH("pend",N83)),ISNUMBER(SEARCH("A",AC83))),"Pending",IF(ISNUMBER(SEARCH("expir",N83)),"Expired",N83)))),"")</f>
        <v/>
      </c>
      <c r="AX83" s="47"/>
      <c r="AY83" s="46" t="str">
        <f aca="true">IFERROR(IF(M83&lt;&gt;"",ROUND(VALUE(M83),1),IF(L83&lt;&gt;"",ROUND(MAX(0,(DATEVALUE(TEXT(L83,"YYYY-MM-DD"))-TODAY())/365.25),1),"")),"")</f>
        <v/>
      </c>
      <c r="AZ83" s="46" t="str">
        <f aca="false">IFERROR(IF(O83&lt;&gt;"",O83,""),"")</f>
        <v/>
      </c>
      <c r="BA83" s="46" t="str">
        <f aca="false">IFERROR(IF(U83&lt;&gt;"",SUBSTITUTE(SUBSTITUTE(U83,"; ",", "),";",","),""),"")</f>
        <v/>
      </c>
      <c r="BB83" s="47"/>
      <c r="BC83" s="47"/>
      <c r="BD83" s="47"/>
      <c r="BE83" s="47"/>
      <c r="BF83" s="47"/>
      <c r="BG83" s="47"/>
      <c r="BH83" s="47"/>
      <c r="BI83" s="47"/>
      <c r="BJ83" s="47"/>
      <c r="BK83" s="46" t="str">
        <f aca="false">IFERROR(IF(W83&lt;&gt;"",VALUE(W83),""),"")</f>
        <v/>
      </c>
      <c r="BL83" s="46" t="str">
        <f aca="false">IFERROR(IF(X83&lt;&gt;"",VALUE(X83),""),"")</f>
        <v/>
      </c>
      <c r="BM83" s="46" t="str">
        <f aca="false">IFERROR(IF(AD83="","None",IF(ISNUMBER(SEARCH("surv",AD83)),"Survived",IF(ISNUMBER(SEARCH("pend",AD83)),"Pending",IF(ISNUMBER(SEARCH("yes",AD83)),"Pending","None")))),"None")</f>
        <v>None</v>
      </c>
      <c r="BN83" s="47"/>
      <c r="BO83" s="47"/>
      <c r="BP83" s="47"/>
      <c r="BQ83" s="47"/>
      <c r="BR83" s="47"/>
      <c r="BS83" s="47"/>
      <c r="BT83" s="47"/>
      <c r="BU83" s="48" t="n">
        <f aca="false">IFERROR(COUNTA(AE83:BT83)/42,0)</f>
        <v>0.30952380952381</v>
      </c>
      <c r="BV83" s="49"/>
      <c r="BW83" s="50" t="b">
        <f aca="false">IF(Configuration!$C$10="No","",IFERROR(IF(AG83&lt;&gt;"",TRUE(),FALSE()),FALSE()))</f>
        <v>0</v>
      </c>
      <c r="BX83" s="50" t="b">
        <f aca="false">IF(Configuration!$C$11="No","",IFERROR(IF(AND(N(AL83)&gt;=Configuration!$C$44,AM83&lt;&gt;""),TRUE(),FALSE()),FALSE()))</f>
        <v>0</v>
      </c>
      <c r="BY83" s="50" t="b">
        <f aca="false">IF(Configuration!$C$12="No","",IFERROR(IF(AJ83&lt;&gt;"",TRUE(),FALSE()),FALSE()))</f>
        <v>0</v>
      </c>
      <c r="BZ83" s="50" t="b">
        <f aca="false">IF(Configuration!$C$13="No","",IFERROR(IF(AI83&lt;&gt;"",TRUE(),FALSE()),FALSE()))</f>
        <v>0</v>
      </c>
      <c r="CA83" s="50" t="b">
        <f aca="false">IF(Configuration!$C$14="No","",IFERROR(IF(AK83&lt;&gt;"",TRUE(),FALSE()),FALSE()))</f>
        <v>0</v>
      </c>
      <c r="CB83" s="50" t="b">
        <f aca="false">IF(Configuration!$C$15="No","",IFERROR(IF(AND(OR(ISNUMBER(SEARCH("process",AG83)),ISNUMBER(SEARCH("fab",AG83)),ISNUMBER(SEARCH("manufac",AG83))),AO83="Method"),TRUE(),FALSE()),FALSE()))</f>
        <v>0</v>
      </c>
      <c r="CC83" s="50" t="b">
        <f aca="false">IF(Configuration!$C$16="No","",IFERROR(IF(AND(OR(ISNUMBER(SEARCH("material",AG83)),ISNUMBER(SEARCH("chem",AG83)),ISNUMBER(SEARCH("battery",AG83)),ISNUMBER(SEARCH("electrolyte",AG83)),ISNUMBER(SEARCH("polymer",AG83))),OR(AO83="Apparatus",AO83="Method")),TRUE(),FALSE()),FALSE()))</f>
        <v>0</v>
      </c>
      <c r="CD83" s="50" t="b">
        <f aca="false">IF(Configuration!$C$17="No","",IFERROR(IF(AND(OR(AI83="App",AI83="Middleware",AI83="Cloud"),OR(AO83="Method",AO83="CRM")),TRUE(),FALSE()),FALSE()))</f>
        <v>0</v>
      </c>
      <c r="CE83" s="50" t="b">
        <f aca="false">IF(Configuration!$C$18="No","",IFERROR(IF(N(AN83)&gt;=Configuration!$C$45,TRUE(),FALSE()),FALSE()))</f>
        <v>0</v>
      </c>
      <c r="CF83" s="50" t="b">
        <f aca="false">IF(Configuration!$C$19="No","",IFERROR(IF(BE83&lt;&gt;"",TRUE(),FALSE()),FALSE()))</f>
        <v>0</v>
      </c>
      <c r="CG83" s="50" t="b">
        <f aca="false">IF(Configuration!$C$20="No","",IFERROR(IF(AO83&lt;&gt;"",TRUE(),FALSE()),FALSE()))</f>
        <v>0</v>
      </c>
      <c r="CH83" s="50" t="b">
        <f aca="false">IF(Configuration!$C$21="No","",IFERROR(IF(OR(N(AS83)&gt;=Configuration!$C$46,N(AT83)&gt;=Configuration!$C$47),TRUE(),FALSE()),FALSE()))</f>
        <v>0</v>
      </c>
      <c r="CI83" s="50" t="b">
        <f aca="false">IF(Configuration!$C$22="No","",IFERROR(IF(BB83="Yes",TRUE(),FALSE()),FALSE()))</f>
        <v>0</v>
      </c>
      <c r="CJ83" s="50" t="b">
        <f aca="false">IF(Configuration!$C$23="No","",IFERROR(IF(N(AV83)&gt;=Configuration!$C$48,TRUE(),FALSE()),FALSE()))</f>
        <v>0</v>
      </c>
      <c r="CK83" s="50" t="b">
        <f aca="false">IF(Configuration!$C$24="No","",IFERROR(IF(N(AY83)&gt;0,TRUE(),FALSE()),FALSE()))</f>
        <v>0</v>
      </c>
      <c r="CL83" s="50" t="b">
        <f aca="false">IF(Configuration!$C$25="No","",IFERROR(IF(OR(N(AP83)=3,N(AP83)&lt;=1),TRUE(),FALSE()),FALSE()))</f>
        <v>1</v>
      </c>
      <c r="CM83" s="50" t="b">
        <f aca="false">IF(Configuration!$C$26="No","",IFERROR(IF(N(BF83)&gt;=Configuration!$C$49,TRUE(),FALSE()),FALSE()))</f>
        <v>0</v>
      </c>
      <c r="CN83" s="50" t="b">
        <f aca="false">IF(Configuration!$C$27="No","",IFERROR(IF(BD83&lt;&gt;"",TRUE(),FALSE()),FALSE()))</f>
        <v>0</v>
      </c>
      <c r="CO83" s="50" t="b">
        <f aca="false">IF(Configuration!$C$28="No","",IFERROR(IF(N(AU83)&gt;=Configuration!$C$50,TRUE(),FALSE()),FALSE()))</f>
        <v>0</v>
      </c>
      <c r="CP83" s="50" t="b">
        <f aca="false">IF(Configuration!$C$29="No","",IFERROR(IF(AND(N(AR83)&gt;=Configuration!$C$51,AG83&lt;&gt;""),TRUE(),FALSE()),FALSE()))</f>
        <v>0</v>
      </c>
      <c r="CQ83" s="50" t="b">
        <f aca="false">IF(Configuration!$C$30="No","",IFERROR(IF(OR(AW83="Pending",AX83="Yes"),TRUE(),FALSE()),FALSE()))</f>
        <v>0</v>
      </c>
      <c r="CR83" s="50" t="b">
        <f aca="false">IF(Configuration!$C$31="No","",IFERROR(IF(AND(N(BG83)&gt;=Configuration!$C$52,N(AP83)&gt;=1),TRUE(),FALSE()),FALSE()))</f>
        <v>0</v>
      </c>
      <c r="CS83" s="50" t="b">
        <f aca="false">IF(Configuration!$C$32="No","",IFERROR(IF(AND(N(AR83)&gt;=1,OR(AG83&lt;&gt;"",AM83&lt;&gt;"")),TRUE(),FALSE()),FALSE()))</f>
        <v>0</v>
      </c>
      <c r="CT83" s="50" t="b">
        <f aca="false">IF(Configuration!$C$33="No","",IFERROR(IF(AG83&lt;&gt;"",TRUE(),FALSE()),FALSE()))</f>
        <v>0</v>
      </c>
      <c r="CU83" s="50" t="b">
        <f aca="false">IF(Configuration!$C$34="No","",IFERROR(IF(AX83="Yes",TRUE(),FALSE()),FALSE()))</f>
        <v>0</v>
      </c>
      <c r="CV83" s="50" t="b">
        <f aca="false">IF(Configuration!$C$35="No","",IFERROR(IF(OR(BO83="Partial",BO83="Full"),TRUE(),FALSE()),FALSE()))</f>
        <v>0</v>
      </c>
      <c r="CW83" s="50" t="b">
        <f aca="false">IF(Configuration!$C$36="No","",IFERROR(IF(BM83="Survived",TRUE(),FALSE()),FALSE()))</f>
        <v>0</v>
      </c>
      <c r="CX83" s="50" t="b">
        <f aca="false">IF(Configuration!$C$37="No","",IFERROR(IF(AND(BN83="Clean",BP83="None"),TRUE(),FALSE()),FALSE()))</f>
        <v>0</v>
      </c>
      <c r="CY83" s="50" t="b">
        <f aca="false">IF(Configuration!$C$38="No","",IFERROR(IF(N(BK83)&gt;=Configuration!$C$53,TRUE(),FALSE()),FALSE()))</f>
        <v>0</v>
      </c>
      <c r="CZ83" s="50" t="b">
        <f aca="false">IF(Configuration!$C$39="No","",IFERROR(IF(AND(N(BS83)&gt;=2,N(BF83)&gt;=2),TRUE(),FALSE()),FALSE()))</f>
        <v>0</v>
      </c>
      <c r="DA83" s="50" t="b">
        <f aca="false">IF(Configuration!$C$40="No","",IFERROR(IF(OR(N(BG83)&lt;=Configuration!$C$56,N(AY83)&lt;Configuration!$C$57,N(BH83)&lt;=Configuration!$C$58),TRUE(),FALSE()),FALSE()))</f>
        <v>1</v>
      </c>
      <c r="DB83" s="50" t="b">
        <f aca="false">IF(Configuration!$C$41="No","",IFERROR(IF(AND(N(AY83)&gt;=Configuration!$C$54,N(AY83)&lt;=Configuration!$C$55),TRUE(),FALSE()),FALSE()))</f>
        <v>0</v>
      </c>
      <c r="DC83" s="50" t="b">
        <f aca="false">IF(Configuration!$C$42="No","",IFERROR(IF(AND(AG83&lt;&gt;"",AJ83&lt;&gt;""),TRUE(),FALSE()),FALSE()))</f>
        <v>0</v>
      </c>
      <c r="DD83" s="51" t="n">
        <f aca="false">COUNTIF(BW83:DC83,TRUE())</f>
        <v>2</v>
      </c>
    </row>
    <row r="84" customFormat="false" ht="15" hidden="false" customHeight="true" outlineLevel="0" collapsed="false">
      <c r="A84" s="18" t="n">
        <v>45</v>
      </c>
      <c r="B84" s="44"/>
      <c r="C84" s="44"/>
      <c r="D84" s="44"/>
      <c r="E84" s="44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6" t="str">
        <f aca="false">IFERROR(IF(F84&lt;&gt;"",F84,""),"")</f>
        <v/>
      </c>
      <c r="AF84" s="46" t="str">
        <f aca="false">IFERROR(IF(G84&lt;&gt;"",G84,""),"")</f>
        <v/>
      </c>
      <c r="AG84" s="46" t="str">
        <f aca="false">IFERROR(IF(AA84&lt;&gt;"",AA84,IF(R84&lt;&gt;"",R84,"")),"")</f>
        <v/>
      </c>
      <c r="AH84" s="46" t="str">
        <f aca="false">IFERROR(IF(AB84&lt;&gt;"",AB84,IF(S84&lt;&gt;"",S84,"")),"")</f>
        <v/>
      </c>
      <c r="AI84" s="47"/>
      <c r="AJ84" s="47"/>
      <c r="AK84" s="47"/>
      <c r="AL84" s="47"/>
      <c r="AM84" s="47"/>
      <c r="AN84" s="47"/>
      <c r="AO84" s="47"/>
      <c r="AP84" s="47"/>
      <c r="AQ84" s="46" t="str">
        <f aca="false">IFERROR(IF(Y84&lt;&gt;"",VALUE(Y84),""),"")</f>
        <v/>
      </c>
      <c r="AR84" s="47"/>
      <c r="AS84" s="47"/>
      <c r="AT84" s="47"/>
      <c r="AU84" s="47"/>
      <c r="AV84" s="46" t="str">
        <f aca="false">IFERROR(IF(T84&lt;&gt;"",VALUE(T84),""),"")</f>
        <v/>
      </c>
      <c r="AW84" s="46" t="str">
        <f aca="false">IFERROR(IF(N84="","",IF(OR(ISNUMBER(SEARCH("grant",N84)),ISNUMBER(SEARCH("B",AC84))),"Granted",IF(OR(ISNUMBER(SEARCH("pend",N84)),ISNUMBER(SEARCH("A",AC84))),"Pending",IF(ISNUMBER(SEARCH("expir",N84)),"Expired",N84)))),"")</f>
        <v/>
      </c>
      <c r="AX84" s="47"/>
      <c r="AY84" s="46" t="str">
        <f aca="true">IFERROR(IF(M84&lt;&gt;"",ROUND(VALUE(M84),1),IF(L84&lt;&gt;"",ROUND(MAX(0,(DATEVALUE(TEXT(L84,"YYYY-MM-DD"))-TODAY())/365.25),1),"")),"")</f>
        <v/>
      </c>
      <c r="AZ84" s="46" t="str">
        <f aca="false">IFERROR(IF(O84&lt;&gt;"",O84,""),"")</f>
        <v/>
      </c>
      <c r="BA84" s="46" t="str">
        <f aca="false">IFERROR(IF(U84&lt;&gt;"",SUBSTITUTE(SUBSTITUTE(U84,"; ",", "),";",","),""),"")</f>
        <v/>
      </c>
      <c r="BB84" s="47"/>
      <c r="BC84" s="47"/>
      <c r="BD84" s="47"/>
      <c r="BE84" s="47"/>
      <c r="BF84" s="47"/>
      <c r="BG84" s="47"/>
      <c r="BH84" s="47"/>
      <c r="BI84" s="47"/>
      <c r="BJ84" s="47"/>
      <c r="BK84" s="46" t="str">
        <f aca="false">IFERROR(IF(W84&lt;&gt;"",VALUE(W84),""),"")</f>
        <v/>
      </c>
      <c r="BL84" s="46" t="str">
        <f aca="false">IFERROR(IF(X84&lt;&gt;"",VALUE(X84),""),"")</f>
        <v/>
      </c>
      <c r="BM84" s="46" t="str">
        <f aca="false">IFERROR(IF(AD84="","None",IF(ISNUMBER(SEARCH("surv",AD84)),"Survived",IF(ISNUMBER(SEARCH("pend",AD84)),"Pending",IF(ISNUMBER(SEARCH("yes",AD84)),"Pending","None")))),"None")</f>
        <v>None</v>
      </c>
      <c r="BN84" s="47"/>
      <c r="BO84" s="47"/>
      <c r="BP84" s="47"/>
      <c r="BQ84" s="47"/>
      <c r="BR84" s="47"/>
      <c r="BS84" s="47"/>
      <c r="BT84" s="47"/>
      <c r="BU84" s="48" t="n">
        <f aca="false">IFERROR(COUNTA(AE84:BT84)/42,0)</f>
        <v>0.30952380952381</v>
      </c>
      <c r="BV84" s="49"/>
      <c r="BW84" s="50" t="b">
        <f aca="false">IF(Configuration!$C$10="No","",IFERROR(IF(AG84&lt;&gt;"",TRUE(),FALSE()),FALSE()))</f>
        <v>0</v>
      </c>
      <c r="BX84" s="50" t="b">
        <f aca="false">IF(Configuration!$C$11="No","",IFERROR(IF(AND(N(AL84)&gt;=Configuration!$C$44,AM84&lt;&gt;""),TRUE(),FALSE()),FALSE()))</f>
        <v>0</v>
      </c>
      <c r="BY84" s="50" t="b">
        <f aca="false">IF(Configuration!$C$12="No","",IFERROR(IF(AJ84&lt;&gt;"",TRUE(),FALSE()),FALSE()))</f>
        <v>0</v>
      </c>
      <c r="BZ84" s="50" t="b">
        <f aca="false">IF(Configuration!$C$13="No","",IFERROR(IF(AI84&lt;&gt;"",TRUE(),FALSE()),FALSE()))</f>
        <v>0</v>
      </c>
      <c r="CA84" s="50" t="b">
        <f aca="false">IF(Configuration!$C$14="No","",IFERROR(IF(AK84&lt;&gt;"",TRUE(),FALSE()),FALSE()))</f>
        <v>0</v>
      </c>
      <c r="CB84" s="50" t="b">
        <f aca="false">IF(Configuration!$C$15="No","",IFERROR(IF(AND(OR(ISNUMBER(SEARCH("process",AG84)),ISNUMBER(SEARCH("fab",AG84)),ISNUMBER(SEARCH("manufac",AG84))),AO84="Method"),TRUE(),FALSE()),FALSE()))</f>
        <v>0</v>
      </c>
      <c r="CC84" s="50" t="b">
        <f aca="false">IF(Configuration!$C$16="No","",IFERROR(IF(AND(OR(ISNUMBER(SEARCH("material",AG84)),ISNUMBER(SEARCH("chem",AG84)),ISNUMBER(SEARCH("battery",AG84)),ISNUMBER(SEARCH("electrolyte",AG84)),ISNUMBER(SEARCH("polymer",AG84))),OR(AO84="Apparatus",AO84="Method")),TRUE(),FALSE()),FALSE()))</f>
        <v>0</v>
      </c>
      <c r="CD84" s="50" t="b">
        <f aca="false">IF(Configuration!$C$17="No","",IFERROR(IF(AND(OR(AI84="App",AI84="Middleware",AI84="Cloud"),OR(AO84="Method",AO84="CRM")),TRUE(),FALSE()),FALSE()))</f>
        <v>0</v>
      </c>
      <c r="CE84" s="50" t="b">
        <f aca="false">IF(Configuration!$C$18="No","",IFERROR(IF(N(AN84)&gt;=Configuration!$C$45,TRUE(),FALSE()),FALSE()))</f>
        <v>0</v>
      </c>
      <c r="CF84" s="50" t="b">
        <f aca="false">IF(Configuration!$C$19="No","",IFERROR(IF(BE84&lt;&gt;"",TRUE(),FALSE()),FALSE()))</f>
        <v>0</v>
      </c>
      <c r="CG84" s="50" t="b">
        <f aca="false">IF(Configuration!$C$20="No","",IFERROR(IF(AO84&lt;&gt;"",TRUE(),FALSE()),FALSE()))</f>
        <v>0</v>
      </c>
      <c r="CH84" s="50" t="b">
        <f aca="false">IF(Configuration!$C$21="No","",IFERROR(IF(OR(N(AS84)&gt;=Configuration!$C$46,N(AT84)&gt;=Configuration!$C$47),TRUE(),FALSE()),FALSE()))</f>
        <v>0</v>
      </c>
      <c r="CI84" s="50" t="b">
        <f aca="false">IF(Configuration!$C$22="No","",IFERROR(IF(BB84="Yes",TRUE(),FALSE()),FALSE()))</f>
        <v>0</v>
      </c>
      <c r="CJ84" s="50" t="b">
        <f aca="false">IF(Configuration!$C$23="No","",IFERROR(IF(N(AV84)&gt;=Configuration!$C$48,TRUE(),FALSE()),FALSE()))</f>
        <v>0</v>
      </c>
      <c r="CK84" s="50" t="b">
        <f aca="false">IF(Configuration!$C$24="No","",IFERROR(IF(N(AY84)&gt;0,TRUE(),FALSE()),FALSE()))</f>
        <v>0</v>
      </c>
      <c r="CL84" s="50" t="b">
        <f aca="false">IF(Configuration!$C$25="No","",IFERROR(IF(OR(N(AP84)=3,N(AP84)&lt;=1),TRUE(),FALSE()),FALSE()))</f>
        <v>1</v>
      </c>
      <c r="CM84" s="50" t="b">
        <f aca="false">IF(Configuration!$C$26="No","",IFERROR(IF(N(BF84)&gt;=Configuration!$C$49,TRUE(),FALSE()),FALSE()))</f>
        <v>0</v>
      </c>
      <c r="CN84" s="50" t="b">
        <f aca="false">IF(Configuration!$C$27="No","",IFERROR(IF(BD84&lt;&gt;"",TRUE(),FALSE()),FALSE()))</f>
        <v>0</v>
      </c>
      <c r="CO84" s="50" t="b">
        <f aca="false">IF(Configuration!$C$28="No","",IFERROR(IF(N(AU84)&gt;=Configuration!$C$50,TRUE(),FALSE()),FALSE()))</f>
        <v>0</v>
      </c>
      <c r="CP84" s="50" t="b">
        <f aca="false">IF(Configuration!$C$29="No","",IFERROR(IF(AND(N(AR84)&gt;=Configuration!$C$51,AG84&lt;&gt;""),TRUE(),FALSE()),FALSE()))</f>
        <v>0</v>
      </c>
      <c r="CQ84" s="50" t="b">
        <f aca="false">IF(Configuration!$C$30="No","",IFERROR(IF(OR(AW84="Pending",AX84="Yes"),TRUE(),FALSE()),FALSE()))</f>
        <v>0</v>
      </c>
      <c r="CR84" s="50" t="b">
        <f aca="false">IF(Configuration!$C$31="No","",IFERROR(IF(AND(N(BG84)&gt;=Configuration!$C$52,N(AP84)&gt;=1),TRUE(),FALSE()),FALSE()))</f>
        <v>0</v>
      </c>
      <c r="CS84" s="50" t="b">
        <f aca="false">IF(Configuration!$C$32="No","",IFERROR(IF(AND(N(AR84)&gt;=1,OR(AG84&lt;&gt;"",AM84&lt;&gt;"")),TRUE(),FALSE()),FALSE()))</f>
        <v>0</v>
      </c>
      <c r="CT84" s="50" t="b">
        <f aca="false">IF(Configuration!$C$33="No","",IFERROR(IF(AG84&lt;&gt;"",TRUE(),FALSE()),FALSE()))</f>
        <v>0</v>
      </c>
      <c r="CU84" s="50" t="b">
        <f aca="false">IF(Configuration!$C$34="No","",IFERROR(IF(AX84="Yes",TRUE(),FALSE()),FALSE()))</f>
        <v>0</v>
      </c>
      <c r="CV84" s="50" t="b">
        <f aca="false">IF(Configuration!$C$35="No","",IFERROR(IF(OR(BO84="Partial",BO84="Full"),TRUE(),FALSE()),FALSE()))</f>
        <v>0</v>
      </c>
      <c r="CW84" s="50" t="b">
        <f aca="false">IF(Configuration!$C$36="No","",IFERROR(IF(BM84="Survived",TRUE(),FALSE()),FALSE()))</f>
        <v>0</v>
      </c>
      <c r="CX84" s="50" t="b">
        <f aca="false">IF(Configuration!$C$37="No","",IFERROR(IF(AND(BN84="Clean",BP84="None"),TRUE(),FALSE()),FALSE()))</f>
        <v>0</v>
      </c>
      <c r="CY84" s="50" t="b">
        <f aca="false">IF(Configuration!$C$38="No","",IFERROR(IF(N(BK84)&gt;=Configuration!$C$53,TRUE(),FALSE()),FALSE()))</f>
        <v>0</v>
      </c>
      <c r="CZ84" s="50" t="b">
        <f aca="false">IF(Configuration!$C$39="No","",IFERROR(IF(AND(N(BS84)&gt;=2,N(BF84)&gt;=2),TRUE(),FALSE()),FALSE()))</f>
        <v>0</v>
      </c>
      <c r="DA84" s="50" t="b">
        <f aca="false">IF(Configuration!$C$40="No","",IFERROR(IF(OR(N(BG84)&lt;=Configuration!$C$56,N(AY84)&lt;Configuration!$C$57,N(BH84)&lt;=Configuration!$C$58),TRUE(),FALSE()),FALSE()))</f>
        <v>1</v>
      </c>
      <c r="DB84" s="50" t="b">
        <f aca="false">IF(Configuration!$C$41="No","",IFERROR(IF(AND(N(AY84)&gt;=Configuration!$C$54,N(AY84)&lt;=Configuration!$C$55),TRUE(),FALSE()),FALSE()))</f>
        <v>0</v>
      </c>
      <c r="DC84" s="50" t="b">
        <f aca="false">IF(Configuration!$C$42="No","",IFERROR(IF(AND(AG84&lt;&gt;"",AJ84&lt;&gt;""),TRUE(),FALSE()),FALSE()))</f>
        <v>0</v>
      </c>
      <c r="DD84" s="51" t="n">
        <f aca="false">COUNTIF(BW84:DC84,TRUE())</f>
        <v>2</v>
      </c>
    </row>
    <row r="85" customFormat="false" ht="15" hidden="false" customHeight="true" outlineLevel="0" collapsed="false">
      <c r="A85" s="18" t="n">
        <v>46</v>
      </c>
      <c r="B85" s="44"/>
      <c r="C85" s="44"/>
      <c r="D85" s="44"/>
      <c r="E85" s="44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6" t="str">
        <f aca="false">IFERROR(IF(F85&lt;&gt;"",F85,""),"")</f>
        <v/>
      </c>
      <c r="AF85" s="46" t="str">
        <f aca="false">IFERROR(IF(G85&lt;&gt;"",G85,""),"")</f>
        <v/>
      </c>
      <c r="AG85" s="46" t="str">
        <f aca="false">IFERROR(IF(AA85&lt;&gt;"",AA85,IF(R85&lt;&gt;"",R85,"")),"")</f>
        <v/>
      </c>
      <c r="AH85" s="46" t="str">
        <f aca="false">IFERROR(IF(AB85&lt;&gt;"",AB85,IF(S85&lt;&gt;"",S85,"")),"")</f>
        <v/>
      </c>
      <c r="AI85" s="47"/>
      <c r="AJ85" s="47"/>
      <c r="AK85" s="47"/>
      <c r="AL85" s="47"/>
      <c r="AM85" s="47"/>
      <c r="AN85" s="47"/>
      <c r="AO85" s="47"/>
      <c r="AP85" s="47"/>
      <c r="AQ85" s="46" t="str">
        <f aca="false">IFERROR(IF(Y85&lt;&gt;"",VALUE(Y85),""),"")</f>
        <v/>
      </c>
      <c r="AR85" s="47"/>
      <c r="AS85" s="47"/>
      <c r="AT85" s="47"/>
      <c r="AU85" s="47"/>
      <c r="AV85" s="46" t="str">
        <f aca="false">IFERROR(IF(T85&lt;&gt;"",VALUE(T85),""),"")</f>
        <v/>
      </c>
      <c r="AW85" s="46" t="str">
        <f aca="false">IFERROR(IF(N85="","",IF(OR(ISNUMBER(SEARCH("grant",N85)),ISNUMBER(SEARCH("B",AC85))),"Granted",IF(OR(ISNUMBER(SEARCH("pend",N85)),ISNUMBER(SEARCH("A",AC85))),"Pending",IF(ISNUMBER(SEARCH("expir",N85)),"Expired",N85)))),"")</f>
        <v/>
      </c>
      <c r="AX85" s="47"/>
      <c r="AY85" s="46" t="str">
        <f aca="true">IFERROR(IF(M85&lt;&gt;"",ROUND(VALUE(M85),1),IF(L85&lt;&gt;"",ROUND(MAX(0,(DATEVALUE(TEXT(L85,"YYYY-MM-DD"))-TODAY())/365.25),1),"")),"")</f>
        <v/>
      </c>
      <c r="AZ85" s="46" t="str">
        <f aca="false">IFERROR(IF(O85&lt;&gt;"",O85,""),"")</f>
        <v/>
      </c>
      <c r="BA85" s="46" t="str">
        <f aca="false">IFERROR(IF(U85&lt;&gt;"",SUBSTITUTE(SUBSTITUTE(U85,"; ",", "),";",","),""),"")</f>
        <v/>
      </c>
      <c r="BB85" s="47"/>
      <c r="BC85" s="47"/>
      <c r="BD85" s="47"/>
      <c r="BE85" s="47"/>
      <c r="BF85" s="47"/>
      <c r="BG85" s="47"/>
      <c r="BH85" s="47"/>
      <c r="BI85" s="47"/>
      <c r="BJ85" s="47"/>
      <c r="BK85" s="46" t="str">
        <f aca="false">IFERROR(IF(W85&lt;&gt;"",VALUE(W85),""),"")</f>
        <v/>
      </c>
      <c r="BL85" s="46" t="str">
        <f aca="false">IFERROR(IF(X85&lt;&gt;"",VALUE(X85),""),"")</f>
        <v/>
      </c>
      <c r="BM85" s="46" t="str">
        <f aca="false">IFERROR(IF(AD85="","None",IF(ISNUMBER(SEARCH("surv",AD85)),"Survived",IF(ISNUMBER(SEARCH("pend",AD85)),"Pending",IF(ISNUMBER(SEARCH("yes",AD85)),"Pending","None")))),"None")</f>
        <v>None</v>
      </c>
      <c r="BN85" s="47"/>
      <c r="BO85" s="47"/>
      <c r="BP85" s="47"/>
      <c r="BQ85" s="47"/>
      <c r="BR85" s="47"/>
      <c r="BS85" s="47"/>
      <c r="BT85" s="47"/>
      <c r="BU85" s="48" t="n">
        <f aca="false">IFERROR(COUNTA(AE85:BT85)/42,0)</f>
        <v>0.30952380952381</v>
      </c>
      <c r="BV85" s="49"/>
      <c r="BW85" s="50" t="b">
        <f aca="false">IF(Configuration!$C$10="No","",IFERROR(IF(AG85&lt;&gt;"",TRUE(),FALSE()),FALSE()))</f>
        <v>0</v>
      </c>
      <c r="BX85" s="50" t="b">
        <f aca="false">IF(Configuration!$C$11="No","",IFERROR(IF(AND(N(AL85)&gt;=Configuration!$C$44,AM85&lt;&gt;""),TRUE(),FALSE()),FALSE()))</f>
        <v>0</v>
      </c>
      <c r="BY85" s="50" t="b">
        <f aca="false">IF(Configuration!$C$12="No","",IFERROR(IF(AJ85&lt;&gt;"",TRUE(),FALSE()),FALSE()))</f>
        <v>0</v>
      </c>
      <c r="BZ85" s="50" t="b">
        <f aca="false">IF(Configuration!$C$13="No","",IFERROR(IF(AI85&lt;&gt;"",TRUE(),FALSE()),FALSE()))</f>
        <v>0</v>
      </c>
      <c r="CA85" s="50" t="b">
        <f aca="false">IF(Configuration!$C$14="No","",IFERROR(IF(AK85&lt;&gt;"",TRUE(),FALSE()),FALSE()))</f>
        <v>0</v>
      </c>
      <c r="CB85" s="50" t="b">
        <f aca="false">IF(Configuration!$C$15="No","",IFERROR(IF(AND(OR(ISNUMBER(SEARCH("process",AG85)),ISNUMBER(SEARCH("fab",AG85)),ISNUMBER(SEARCH("manufac",AG85))),AO85="Method"),TRUE(),FALSE()),FALSE()))</f>
        <v>0</v>
      </c>
      <c r="CC85" s="50" t="b">
        <f aca="false">IF(Configuration!$C$16="No","",IFERROR(IF(AND(OR(ISNUMBER(SEARCH("material",AG85)),ISNUMBER(SEARCH("chem",AG85)),ISNUMBER(SEARCH("battery",AG85)),ISNUMBER(SEARCH("electrolyte",AG85)),ISNUMBER(SEARCH("polymer",AG85))),OR(AO85="Apparatus",AO85="Method")),TRUE(),FALSE()),FALSE()))</f>
        <v>0</v>
      </c>
      <c r="CD85" s="50" t="b">
        <f aca="false">IF(Configuration!$C$17="No","",IFERROR(IF(AND(OR(AI85="App",AI85="Middleware",AI85="Cloud"),OR(AO85="Method",AO85="CRM")),TRUE(),FALSE()),FALSE()))</f>
        <v>0</v>
      </c>
      <c r="CE85" s="50" t="b">
        <f aca="false">IF(Configuration!$C$18="No","",IFERROR(IF(N(AN85)&gt;=Configuration!$C$45,TRUE(),FALSE()),FALSE()))</f>
        <v>0</v>
      </c>
      <c r="CF85" s="50" t="b">
        <f aca="false">IF(Configuration!$C$19="No","",IFERROR(IF(BE85&lt;&gt;"",TRUE(),FALSE()),FALSE()))</f>
        <v>0</v>
      </c>
      <c r="CG85" s="50" t="b">
        <f aca="false">IF(Configuration!$C$20="No","",IFERROR(IF(AO85&lt;&gt;"",TRUE(),FALSE()),FALSE()))</f>
        <v>0</v>
      </c>
      <c r="CH85" s="50" t="b">
        <f aca="false">IF(Configuration!$C$21="No","",IFERROR(IF(OR(N(AS85)&gt;=Configuration!$C$46,N(AT85)&gt;=Configuration!$C$47),TRUE(),FALSE()),FALSE()))</f>
        <v>0</v>
      </c>
      <c r="CI85" s="50" t="b">
        <f aca="false">IF(Configuration!$C$22="No","",IFERROR(IF(BB85="Yes",TRUE(),FALSE()),FALSE()))</f>
        <v>0</v>
      </c>
      <c r="CJ85" s="50" t="b">
        <f aca="false">IF(Configuration!$C$23="No","",IFERROR(IF(N(AV85)&gt;=Configuration!$C$48,TRUE(),FALSE()),FALSE()))</f>
        <v>0</v>
      </c>
      <c r="CK85" s="50" t="b">
        <f aca="false">IF(Configuration!$C$24="No","",IFERROR(IF(N(AY85)&gt;0,TRUE(),FALSE()),FALSE()))</f>
        <v>0</v>
      </c>
      <c r="CL85" s="50" t="b">
        <f aca="false">IF(Configuration!$C$25="No","",IFERROR(IF(OR(N(AP85)=3,N(AP85)&lt;=1),TRUE(),FALSE()),FALSE()))</f>
        <v>1</v>
      </c>
      <c r="CM85" s="50" t="b">
        <f aca="false">IF(Configuration!$C$26="No","",IFERROR(IF(N(BF85)&gt;=Configuration!$C$49,TRUE(),FALSE()),FALSE()))</f>
        <v>0</v>
      </c>
      <c r="CN85" s="50" t="b">
        <f aca="false">IF(Configuration!$C$27="No","",IFERROR(IF(BD85&lt;&gt;"",TRUE(),FALSE()),FALSE()))</f>
        <v>0</v>
      </c>
      <c r="CO85" s="50" t="b">
        <f aca="false">IF(Configuration!$C$28="No","",IFERROR(IF(N(AU85)&gt;=Configuration!$C$50,TRUE(),FALSE()),FALSE()))</f>
        <v>0</v>
      </c>
      <c r="CP85" s="50" t="b">
        <f aca="false">IF(Configuration!$C$29="No","",IFERROR(IF(AND(N(AR85)&gt;=Configuration!$C$51,AG85&lt;&gt;""),TRUE(),FALSE()),FALSE()))</f>
        <v>0</v>
      </c>
      <c r="CQ85" s="50" t="b">
        <f aca="false">IF(Configuration!$C$30="No","",IFERROR(IF(OR(AW85="Pending",AX85="Yes"),TRUE(),FALSE()),FALSE()))</f>
        <v>0</v>
      </c>
      <c r="CR85" s="50" t="b">
        <f aca="false">IF(Configuration!$C$31="No","",IFERROR(IF(AND(N(BG85)&gt;=Configuration!$C$52,N(AP85)&gt;=1),TRUE(),FALSE()),FALSE()))</f>
        <v>0</v>
      </c>
      <c r="CS85" s="50" t="b">
        <f aca="false">IF(Configuration!$C$32="No","",IFERROR(IF(AND(N(AR85)&gt;=1,OR(AG85&lt;&gt;"",AM85&lt;&gt;"")),TRUE(),FALSE()),FALSE()))</f>
        <v>0</v>
      </c>
      <c r="CT85" s="50" t="b">
        <f aca="false">IF(Configuration!$C$33="No","",IFERROR(IF(AG85&lt;&gt;"",TRUE(),FALSE()),FALSE()))</f>
        <v>0</v>
      </c>
      <c r="CU85" s="50" t="b">
        <f aca="false">IF(Configuration!$C$34="No","",IFERROR(IF(AX85="Yes",TRUE(),FALSE()),FALSE()))</f>
        <v>0</v>
      </c>
      <c r="CV85" s="50" t="b">
        <f aca="false">IF(Configuration!$C$35="No","",IFERROR(IF(OR(BO85="Partial",BO85="Full"),TRUE(),FALSE()),FALSE()))</f>
        <v>0</v>
      </c>
      <c r="CW85" s="50" t="b">
        <f aca="false">IF(Configuration!$C$36="No","",IFERROR(IF(BM85="Survived",TRUE(),FALSE()),FALSE()))</f>
        <v>0</v>
      </c>
      <c r="CX85" s="50" t="b">
        <f aca="false">IF(Configuration!$C$37="No","",IFERROR(IF(AND(BN85="Clean",BP85="None"),TRUE(),FALSE()),FALSE()))</f>
        <v>0</v>
      </c>
      <c r="CY85" s="50" t="b">
        <f aca="false">IF(Configuration!$C$38="No","",IFERROR(IF(N(BK85)&gt;=Configuration!$C$53,TRUE(),FALSE()),FALSE()))</f>
        <v>0</v>
      </c>
      <c r="CZ85" s="50" t="b">
        <f aca="false">IF(Configuration!$C$39="No","",IFERROR(IF(AND(N(BS85)&gt;=2,N(BF85)&gt;=2),TRUE(),FALSE()),FALSE()))</f>
        <v>0</v>
      </c>
      <c r="DA85" s="50" t="b">
        <f aca="false">IF(Configuration!$C$40="No","",IFERROR(IF(OR(N(BG85)&lt;=Configuration!$C$56,N(AY85)&lt;Configuration!$C$57,N(BH85)&lt;=Configuration!$C$58),TRUE(),FALSE()),FALSE()))</f>
        <v>1</v>
      </c>
      <c r="DB85" s="50" t="b">
        <f aca="false">IF(Configuration!$C$41="No","",IFERROR(IF(AND(N(AY85)&gt;=Configuration!$C$54,N(AY85)&lt;=Configuration!$C$55),TRUE(),FALSE()),FALSE()))</f>
        <v>0</v>
      </c>
      <c r="DC85" s="50" t="b">
        <f aca="false">IF(Configuration!$C$42="No","",IFERROR(IF(AND(AG85&lt;&gt;"",AJ85&lt;&gt;""),TRUE(),FALSE()),FALSE()))</f>
        <v>0</v>
      </c>
      <c r="DD85" s="51" t="n">
        <f aca="false">COUNTIF(BW85:DC85,TRUE())</f>
        <v>2</v>
      </c>
    </row>
    <row r="86" customFormat="false" ht="15" hidden="false" customHeight="true" outlineLevel="0" collapsed="false">
      <c r="A86" s="18" t="n">
        <v>47</v>
      </c>
      <c r="B86" s="44"/>
      <c r="C86" s="44"/>
      <c r="D86" s="44"/>
      <c r="E86" s="44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6" t="str">
        <f aca="false">IFERROR(IF(F86&lt;&gt;"",F86,""),"")</f>
        <v/>
      </c>
      <c r="AF86" s="46" t="str">
        <f aca="false">IFERROR(IF(G86&lt;&gt;"",G86,""),"")</f>
        <v/>
      </c>
      <c r="AG86" s="46" t="str">
        <f aca="false">IFERROR(IF(AA86&lt;&gt;"",AA86,IF(R86&lt;&gt;"",R86,"")),"")</f>
        <v/>
      </c>
      <c r="AH86" s="46" t="str">
        <f aca="false">IFERROR(IF(AB86&lt;&gt;"",AB86,IF(S86&lt;&gt;"",S86,"")),"")</f>
        <v/>
      </c>
      <c r="AI86" s="47"/>
      <c r="AJ86" s="47"/>
      <c r="AK86" s="47"/>
      <c r="AL86" s="47"/>
      <c r="AM86" s="47"/>
      <c r="AN86" s="47"/>
      <c r="AO86" s="47"/>
      <c r="AP86" s="47"/>
      <c r="AQ86" s="46" t="str">
        <f aca="false">IFERROR(IF(Y86&lt;&gt;"",VALUE(Y86),""),"")</f>
        <v/>
      </c>
      <c r="AR86" s="47"/>
      <c r="AS86" s="47"/>
      <c r="AT86" s="47"/>
      <c r="AU86" s="47"/>
      <c r="AV86" s="46" t="str">
        <f aca="false">IFERROR(IF(T86&lt;&gt;"",VALUE(T86),""),"")</f>
        <v/>
      </c>
      <c r="AW86" s="46" t="str">
        <f aca="false">IFERROR(IF(N86="","",IF(OR(ISNUMBER(SEARCH("grant",N86)),ISNUMBER(SEARCH("B",AC86))),"Granted",IF(OR(ISNUMBER(SEARCH("pend",N86)),ISNUMBER(SEARCH("A",AC86))),"Pending",IF(ISNUMBER(SEARCH("expir",N86)),"Expired",N86)))),"")</f>
        <v/>
      </c>
      <c r="AX86" s="47"/>
      <c r="AY86" s="46" t="str">
        <f aca="true">IFERROR(IF(M86&lt;&gt;"",ROUND(VALUE(M86),1),IF(L86&lt;&gt;"",ROUND(MAX(0,(DATEVALUE(TEXT(L86,"YYYY-MM-DD"))-TODAY())/365.25),1),"")),"")</f>
        <v/>
      </c>
      <c r="AZ86" s="46" t="str">
        <f aca="false">IFERROR(IF(O86&lt;&gt;"",O86,""),"")</f>
        <v/>
      </c>
      <c r="BA86" s="46" t="str">
        <f aca="false">IFERROR(IF(U86&lt;&gt;"",SUBSTITUTE(SUBSTITUTE(U86,"; ",", "),";",","),""),"")</f>
        <v/>
      </c>
      <c r="BB86" s="47"/>
      <c r="BC86" s="47"/>
      <c r="BD86" s="47"/>
      <c r="BE86" s="47"/>
      <c r="BF86" s="47"/>
      <c r="BG86" s="47"/>
      <c r="BH86" s="47"/>
      <c r="BI86" s="47"/>
      <c r="BJ86" s="47"/>
      <c r="BK86" s="46" t="str">
        <f aca="false">IFERROR(IF(W86&lt;&gt;"",VALUE(W86),""),"")</f>
        <v/>
      </c>
      <c r="BL86" s="46" t="str">
        <f aca="false">IFERROR(IF(X86&lt;&gt;"",VALUE(X86),""),"")</f>
        <v/>
      </c>
      <c r="BM86" s="46" t="str">
        <f aca="false">IFERROR(IF(AD86="","None",IF(ISNUMBER(SEARCH("surv",AD86)),"Survived",IF(ISNUMBER(SEARCH("pend",AD86)),"Pending",IF(ISNUMBER(SEARCH("yes",AD86)),"Pending","None")))),"None")</f>
        <v>None</v>
      </c>
      <c r="BN86" s="47"/>
      <c r="BO86" s="47"/>
      <c r="BP86" s="47"/>
      <c r="BQ86" s="47"/>
      <c r="BR86" s="47"/>
      <c r="BS86" s="47"/>
      <c r="BT86" s="47"/>
      <c r="BU86" s="48" t="n">
        <f aca="false">IFERROR(COUNTA(AE86:BT86)/42,0)</f>
        <v>0.30952380952381</v>
      </c>
      <c r="BV86" s="49"/>
      <c r="BW86" s="50" t="b">
        <f aca="false">IF(Configuration!$C$10="No","",IFERROR(IF(AG86&lt;&gt;"",TRUE(),FALSE()),FALSE()))</f>
        <v>0</v>
      </c>
      <c r="BX86" s="50" t="b">
        <f aca="false">IF(Configuration!$C$11="No","",IFERROR(IF(AND(N(AL86)&gt;=Configuration!$C$44,AM86&lt;&gt;""),TRUE(),FALSE()),FALSE()))</f>
        <v>0</v>
      </c>
      <c r="BY86" s="50" t="b">
        <f aca="false">IF(Configuration!$C$12="No","",IFERROR(IF(AJ86&lt;&gt;"",TRUE(),FALSE()),FALSE()))</f>
        <v>0</v>
      </c>
      <c r="BZ86" s="50" t="b">
        <f aca="false">IF(Configuration!$C$13="No","",IFERROR(IF(AI86&lt;&gt;"",TRUE(),FALSE()),FALSE()))</f>
        <v>0</v>
      </c>
      <c r="CA86" s="50" t="b">
        <f aca="false">IF(Configuration!$C$14="No","",IFERROR(IF(AK86&lt;&gt;"",TRUE(),FALSE()),FALSE()))</f>
        <v>0</v>
      </c>
      <c r="CB86" s="50" t="b">
        <f aca="false">IF(Configuration!$C$15="No","",IFERROR(IF(AND(OR(ISNUMBER(SEARCH("process",AG86)),ISNUMBER(SEARCH("fab",AG86)),ISNUMBER(SEARCH("manufac",AG86))),AO86="Method"),TRUE(),FALSE()),FALSE()))</f>
        <v>0</v>
      </c>
      <c r="CC86" s="50" t="b">
        <f aca="false">IF(Configuration!$C$16="No","",IFERROR(IF(AND(OR(ISNUMBER(SEARCH("material",AG86)),ISNUMBER(SEARCH("chem",AG86)),ISNUMBER(SEARCH("battery",AG86)),ISNUMBER(SEARCH("electrolyte",AG86)),ISNUMBER(SEARCH("polymer",AG86))),OR(AO86="Apparatus",AO86="Method")),TRUE(),FALSE()),FALSE()))</f>
        <v>0</v>
      </c>
      <c r="CD86" s="50" t="b">
        <f aca="false">IF(Configuration!$C$17="No","",IFERROR(IF(AND(OR(AI86="App",AI86="Middleware",AI86="Cloud"),OR(AO86="Method",AO86="CRM")),TRUE(),FALSE()),FALSE()))</f>
        <v>0</v>
      </c>
      <c r="CE86" s="50" t="b">
        <f aca="false">IF(Configuration!$C$18="No","",IFERROR(IF(N(AN86)&gt;=Configuration!$C$45,TRUE(),FALSE()),FALSE()))</f>
        <v>0</v>
      </c>
      <c r="CF86" s="50" t="b">
        <f aca="false">IF(Configuration!$C$19="No","",IFERROR(IF(BE86&lt;&gt;"",TRUE(),FALSE()),FALSE()))</f>
        <v>0</v>
      </c>
      <c r="CG86" s="50" t="b">
        <f aca="false">IF(Configuration!$C$20="No","",IFERROR(IF(AO86&lt;&gt;"",TRUE(),FALSE()),FALSE()))</f>
        <v>0</v>
      </c>
      <c r="CH86" s="50" t="b">
        <f aca="false">IF(Configuration!$C$21="No","",IFERROR(IF(OR(N(AS86)&gt;=Configuration!$C$46,N(AT86)&gt;=Configuration!$C$47),TRUE(),FALSE()),FALSE()))</f>
        <v>0</v>
      </c>
      <c r="CI86" s="50" t="b">
        <f aca="false">IF(Configuration!$C$22="No","",IFERROR(IF(BB86="Yes",TRUE(),FALSE()),FALSE()))</f>
        <v>0</v>
      </c>
      <c r="CJ86" s="50" t="b">
        <f aca="false">IF(Configuration!$C$23="No","",IFERROR(IF(N(AV86)&gt;=Configuration!$C$48,TRUE(),FALSE()),FALSE()))</f>
        <v>0</v>
      </c>
      <c r="CK86" s="50" t="b">
        <f aca="false">IF(Configuration!$C$24="No","",IFERROR(IF(N(AY86)&gt;0,TRUE(),FALSE()),FALSE()))</f>
        <v>0</v>
      </c>
      <c r="CL86" s="50" t="b">
        <f aca="false">IF(Configuration!$C$25="No","",IFERROR(IF(OR(N(AP86)=3,N(AP86)&lt;=1),TRUE(),FALSE()),FALSE()))</f>
        <v>1</v>
      </c>
      <c r="CM86" s="50" t="b">
        <f aca="false">IF(Configuration!$C$26="No","",IFERROR(IF(N(BF86)&gt;=Configuration!$C$49,TRUE(),FALSE()),FALSE()))</f>
        <v>0</v>
      </c>
      <c r="CN86" s="50" t="b">
        <f aca="false">IF(Configuration!$C$27="No","",IFERROR(IF(BD86&lt;&gt;"",TRUE(),FALSE()),FALSE()))</f>
        <v>0</v>
      </c>
      <c r="CO86" s="50" t="b">
        <f aca="false">IF(Configuration!$C$28="No","",IFERROR(IF(N(AU86)&gt;=Configuration!$C$50,TRUE(),FALSE()),FALSE()))</f>
        <v>0</v>
      </c>
      <c r="CP86" s="50" t="b">
        <f aca="false">IF(Configuration!$C$29="No","",IFERROR(IF(AND(N(AR86)&gt;=Configuration!$C$51,AG86&lt;&gt;""),TRUE(),FALSE()),FALSE()))</f>
        <v>0</v>
      </c>
      <c r="CQ86" s="50" t="b">
        <f aca="false">IF(Configuration!$C$30="No","",IFERROR(IF(OR(AW86="Pending",AX86="Yes"),TRUE(),FALSE()),FALSE()))</f>
        <v>0</v>
      </c>
      <c r="CR86" s="50" t="b">
        <f aca="false">IF(Configuration!$C$31="No","",IFERROR(IF(AND(N(BG86)&gt;=Configuration!$C$52,N(AP86)&gt;=1),TRUE(),FALSE()),FALSE()))</f>
        <v>0</v>
      </c>
      <c r="CS86" s="50" t="b">
        <f aca="false">IF(Configuration!$C$32="No","",IFERROR(IF(AND(N(AR86)&gt;=1,OR(AG86&lt;&gt;"",AM86&lt;&gt;"")),TRUE(),FALSE()),FALSE()))</f>
        <v>0</v>
      </c>
      <c r="CT86" s="50" t="b">
        <f aca="false">IF(Configuration!$C$33="No","",IFERROR(IF(AG86&lt;&gt;"",TRUE(),FALSE()),FALSE()))</f>
        <v>0</v>
      </c>
      <c r="CU86" s="50" t="b">
        <f aca="false">IF(Configuration!$C$34="No","",IFERROR(IF(AX86="Yes",TRUE(),FALSE()),FALSE()))</f>
        <v>0</v>
      </c>
      <c r="CV86" s="50" t="b">
        <f aca="false">IF(Configuration!$C$35="No","",IFERROR(IF(OR(BO86="Partial",BO86="Full"),TRUE(),FALSE()),FALSE()))</f>
        <v>0</v>
      </c>
      <c r="CW86" s="50" t="b">
        <f aca="false">IF(Configuration!$C$36="No","",IFERROR(IF(BM86="Survived",TRUE(),FALSE()),FALSE()))</f>
        <v>0</v>
      </c>
      <c r="CX86" s="50" t="b">
        <f aca="false">IF(Configuration!$C$37="No","",IFERROR(IF(AND(BN86="Clean",BP86="None"),TRUE(),FALSE()),FALSE()))</f>
        <v>0</v>
      </c>
      <c r="CY86" s="50" t="b">
        <f aca="false">IF(Configuration!$C$38="No","",IFERROR(IF(N(BK86)&gt;=Configuration!$C$53,TRUE(),FALSE()),FALSE()))</f>
        <v>0</v>
      </c>
      <c r="CZ86" s="50" t="b">
        <f aca="false">IF(Configuration!$C$39="No","",IFERROR(IF(AND(N(BS86)&gt;=2,N(BF86)&gt;=2),TRUE(),FALSE()),FALSE()))</f>
        <v>0</v>
      </c>
      <c r="DA86" s="50" t="b">
        <f aca="false">IF(Configuration!$C$40="No","",IFERROR(IF(OR(N(BG86)&lt;=Configuration!$C$56,N(AY86)&lt;Configuration!$C$57,N(BH86)&lt;=Configuration!$C$58),TRUE(),FALSE()),FALSE()))</f>
        <v>1</v>
      </c>
      <c r="DB86" s="50" t="b">
        <f aca="false">IF(Configuration!$C$41="No","",IFERROR(IF(AND(N(AY86)&gt;=Configuration!$C$54,N(AY86)&lt;=Configuration!$C$55),TRUE(),FALSE()),FALSE()))</f>
        <v>0</v>
      </c>
      <c r="DC86" s="50" t="b">
        <f aca="false">IF(Configuration!$C$42="No","",IFERROR(IF(AND(AG86&lt;&gt;"",AJ86&lt;&gt;""),TRUE(),FALSE()),FALSE()))</f>
        <v>0</v>
      </c>
      <c r="DD86" s="51" t="n">
        <f aca="false">COUNTIF(BW86:DC86,TRUE())</f>
        <v>2</v>
      </c>
    </row>
    <row r="87" customFormat="false" ht="15" hidden="false" customHeight="true" outlineLevel="0" collapsed="false">
      <c r="A87" s="18" t="n">
        <v>48</v>
      </c>
      <c r="B87" s="44"/>
      <c r="C87" s="44"/>
      <c r="D87" s="44"/>
      <c r="E87" s="44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6" t="str">
        <f aca="false">IFERROR(IF(F87&lt;&gt;"",F87,""),"")</f>
        <v/>
      </c>
      <c r="AF87" s="46" t="str">
        <f aca="false">IFERROR(IF(G87&lt;&gt;"",G87,""),"")</f>
        <v/>
      </c>
      <c r="AG87" s="46" t="str">
        <f aca="false">IFERROR(IF(AA87&lt;&gt;"",AA87,IF(R87&lt;&gt;"",R87,"")),"")</f>
        <v/>
      </c>
      <c r="AH87" s="46" t="str">
        <f aca="false">IFERROR(IF(AB87&lt;&gt;"",AB87,IF(S87&lt;&gt;"",S87,"")),"")</f>
        <v/>
      </c>
      <c r="AI87" s="47"/>
      <c r="AJ87" s="47"/>
      <c r="AK87" s="47"/>
      <c r="AL87" s="47"/>
      <c r="AM87" s="47"/>
      <c r="AN87" s="47"/>
      <c r="AO87" s="47"/>
      <c r="AP87" s="47"/>
      <c r="AQ87" s="46" t="str">
        <f aca="false">IFERROR(IF(Y87&lt;&gt;"",VALUE(Y87),""),"")</f>
        <v/>
      </c>
      <c r="AR87" s="47"/>
      <c r="AS87" s="47"/>
      <c r="AT87" s="47"/>
      <c r="AU87" s="47"/>
      <c r="AV87" s="46" t="str">
        <f aca="false">IFERROR(IF(T87&lt;&gt;"",VALUE(T87),""),"")</f>
        <v/>
      </c>
      <c r="AW87" s="46" t="str">
        <f aca="false">IFERROR(IF(N87="","",IF(OR(ISNUMBER(SEARCH("grant",N87)),ISNUMBER(SEARCH("B",AC87))),"Granted",IF(OR(ISNUMBER(SEARCH("pend",N87)),ISNUMBER(SEARCH("A",AC87))),"Pending",IF(ISNUMBER(SEARCH("expir",N87)),"Expired",N87)))),"")</f>
        <v/>
      </c>
      <c r="AX87" s="47"/>
      <c r="AY87" s="46" t="str">
        <f aca="true">IFERROR(IF(M87&lt;&gt;"",ROUND(VALUE(M87),1),IF(L87&lt;&gt;"",ROUND(MAX(0,(DATEVALUE(TEXT(L87,"YYYY-MM-DD"))-TODAY())/365.25),1),"")),"")</f>
        <v/>
      </c>
      <c r="AZ87" s="46" t="str">
        <f aca="false">IFERROR(IF(O87&lt;&gt;"",O87,""),"")</f>
        <v/>
      </c>
      <c r="BA87" s="46" t="str">
        <f aca="false">IFERROR(IF(U87&lt;&gt;"",SUBSTITUTE(SUBSTITUTE(U87,"; ",", "),";",","),""),"")</f>
        <v/>
      </c>
      <c r="BB87" s="47"/>
      <c r="BC87" s="47"/>
      <c r="BD87" s="47"/>
      <c r="BE87" s="47"/>
      <c r="BF87" s="47"/>
      <c r="BG87" s="47"/>
      <c r="BH87" s="47"/>
      <c r="BI87" s="47"/>
      <c r="BJ87" s="47"/>
      <c r="BK87" s="46" t="str">
        <f aca="false">IFERROR(IF(W87&lt;&gt;"",VALUE(W87),""),"")</f>
        <v/>
      </c>
      <c r="BL87" s="46" t="str">
        <f aca="false">IFERROR(IF(X87&lt;&gt;"",VALUE(X87),""),"")</f>
        <v/>
      </c>
      <c r="BM87" s="46" t="str">
        <f aca="false">IFERROR(IF(AD87="","None",IF(ISNUMBER(SEARCH("surv",AD87)),"Survived",IF(ISNUMBER(SEARCH("pend",AD87)),"Pending",IF(ISNUMBER(SEARCH("yes",AD87)),"Pending","None")))),"None")</f>
        <v>None</v>
      </c>
      <c r="BN87" s="47"/>
      <c r="BO87" s="47"/>
      <c r="BP87" s="47"/>
      <c r="BQ87" s="47"/>
      <c r="BR87" s="47"/>
      <c r="BS87" s="47"/>
      <c r="BT87" s="47"/>
      <c r="BU87" s="48" t="n">
        <f aca="false">IFERROR(COUNTA(AE87:BT87)/42,0)</f>
        <v>0.30952380952381</v>
      </c>
      <c r="BV87" s="49"/>
      <c r="BW87" s="50" t="b">
        <f aca="false">IF(Configuration!$C$10="No","",IFERROR(IF(AG87&lt;&gt;"",TRUE(),FALSE()),FALSE()))</f>
        <v>0</v>
      </c>
      <c r="BX87" s="50" t="b">
        <f aca="false">IF(Configuration!$C$11="No","",IFERROR(IF(AND(N(AL87)&gt;=Configuration!$C$44,AM87&lt;&gt;""),TRUE(),FALSE()),FALSE()))</f>
        <v>0</v>
      </c>
      <c r="BY87" s="50" t="b">
        <f aca="false">IF(Configuration!$C$12="No","",IFERROR(IF(AJ87&lt;&gt;"",TRUE(),FALSE()),FALSE()))</f>
        <v>0</v>
      </c>
      <c r="BZ87" s="50" t="b">
        <f aca="false">IF(Configuration!$C$13="No","",IFERROR(IF(AI87&lt;&gt;"",TRUE(),FALSE()),FALSE()))</f>
        <v>0</v>
      </c>
      <c r="CA87" s="50" t="b">
        <f aca="false">IF(Configuration!$C$14="No","",IFERROR(IF(AK87&lt;&gt;"",TRUE(),FALSE()),FALSE()))</f>
        <v>0</v>
      </c>
      <c r="CB87" s="50" t="b">
        <f aca="false">IF(Configuration!$C$15="No","",IFERROR(IF(AND(OR(ISNUMBER(SEARCH("process",AG87)),ISNUMBER(SEARCH("fab",AG87)),ISNUMBER(SEARCH("manufac",AG87))),AO87="Method"),TRUE(),FALSE()),FALSE()))</f>
        <v>0</v>
      </c>
      <c r="CC87" s="50" t="b">
        <f aca="false">IF(Configuration!$C$16="No","",IFERROR(IF(AND(OR(ISNUMBER(SEARCH("material",AG87)),ISNUMBER(SEARCH("chem",AG87)),ISNUMBER(SEARCH("battery",AG87)),ISNUMBER(SEARCH("electrolyte",AG87)),ISNUMBER(SEARCH("polymer",AG87))),OR(AO87="Apparatus",AO87="Method")),TRUE(),FALSE()),FALSE()))</f>
        <v>0</v>
      </c>
      <c r="CD87" s="50" t="b">
        <f aca="false">IF(Configuration!$C$17="No","",IFERROR(IF(AND(OR(AI87="App",AI87="Middleware",AI87="Cloud"),OR(AO87="Method",AO87="CRM")),TRUE(),FALSE()),FALSE()))</f>
        <v>0</v>
      </c>
      <c r="CE87" s="50" t="b">
        <f aca="false">IF(Configuration!$C$18="No","",IFERROR(IF(N(AN87)&gt;=Configuration!$C$45,TRUE(),FALSE()),FALSE()))</f>
        <v>0</v>
      </c>
      <c r="CF87" s="50" t="b">
        <f aca="false">IF(Configuration!$C$19="No","",IFERROR(IF(BE87&lt;&gt;"",TRUE(),FALSE()),FALSE()))</f>
        <v>0</v>
      </c>
      <c r="CG87" s="50" t="b">
        <f aca="false">IF(Configuration!$C$20="No","",IFERROR(IF(AO87&lt;&gt;"",TRUE(),FALSE()),FALSE()))</f>
        <v>0</v>
      </c>
      <c r="CH87" s="50" t="b">
        <f aca="false">IF(Configuration!$C$21="No","",IFERROR(IF(OR(N(AS87)&gt;=Configuration!$C$46,N(AT87)&gt;=Configuration!$C$47),TRUE(),FALSE()),FALSE()))</f>
        <v>0</v>
      </c>
      <c r="CI87" s="50" t="b">
        <f aca="false">IF(Configuration!$C$22="No","",IFERROR(IF(BB87="Yes",TRUE(),FALSE()),FALSE()))</f>
        <v>0</v>
      </c>
      <c r="CJ87" s="50" t="b">
        <f aca="false">IF(Configuration!$C$23="No","",IFERROR(IF(N(AV87)&gt;=Configuration!$C$48,TRUE(),FALSE()),FALSE()))</f>
        <v>0</v>
      </c>
      <c r="CK87" s="50" t="b">
        <f aca="false">IF(Configuration!$C$24="No","",IFERROR(IF(N(AY87)&gt;0,TRUE(),FALSE()),FALSE()))</f>
        <v>0</v>
      </c>
      <c r="CL87" s="50" t="b">
        <f aca="false">IF(Configuration!$C$25="No","",IFERROR(IF(OR(N(AP87)=3,N(AP87)&lt;=1),TRUE(),FALSE()),FALSE()))</f>
        <v>1</v>
      </c>
      <c r="CM87" s="50" t="b">
        <f aca="false">IF(Configuration!$C$26="No","",IFERROR(IF(N(BF87)&gt;=Configuration!$C$49,TRUE(),FALSE()),FALSE()))</f>
        <v>0</v>
      </c>
      <c r="CN87" s="50" t="b">
        <f aca="false">IF(Configuration!$C$27="No","",IFERROR(IF(BD87&lt;&gt;"",TRUE(),FALSE()),FALSE()))</f>
        <v>0</v>
      </c>
      <c r="CO87" s="50" t="b">
        <f aca="false">IF(Configuration!$C$28="No","",IFERROR(IF(N(AU87)&gt;=Configuration!$C$50,TRUE(),FALSE()),FALSE()))</f>
        <v>0</v>
      </c>
      <c r="CP87" s="50" t="b">
        <f aca="false">IF(Configuration!$C$29="No","",IFERROR(IF(AND(N(AR87)&gt;=Configuration!$C$51,AG87&lt;&gt;""),TRUE(),FALSE()),FALSE()))</f>
        <v>0</v>
      </c>
      <c r="CQ87" s="50" t="b">
        <f aca="false">IF(Configuration!$C$30="No","",IFERROR(IF(OR(AW87="Pending",AX87="Yes"),TRUE(),FALSE()),FALSE()))</f>
        <v>0</v>
      </c>
      <c r="CR87" s="50" t="b">
        <f aca="false">IF(Configuration!$C$31="No","",IFERROR(IF(AND(N(BG87)&gt;=Configuration!$C$52,N(AP87)&gt;=1),TRUE(),FALSE()),FALSE()))</f>
        <v>0</v>
      </c>
      <c r="CS87" s="50" t="b">
        <f aca="false">IF(Configuration!$C$32="No","",IFERROR(IF(AND(N(AR87)&gt;=1,OR(AG87&lt;&gt;"",AM87&lt;&gt;"")),TRUE(),FALSE()),FALSE()))</f>
        <v>0</v>
      </c>
      <c r="CT87" s="50" t="b">
        <f aca="false">IF(Configuration!$C$33="No","",IFERROR(IF(AG87&lt;&gt;"",TRUE(),FALSE()),FALSE()))</f>
        <v>0</v>
      </c>
      <c r="CU87" s="50" t="b">
        <f aca="false">IF(Configuration!$C$34="No","",IFERROR(IF(AX87="Yes",TRUE(),FALSE()),FALSE()))</f>
        <v>0</v>
      </c>
      <c r="CV87" s="50" t="b">
        <f aca="false">IF(Configuration!$C$35="No","",IFERROR(IF(OR(BO87="Partial",BO87="Full"),TRUE(),FALSE()),FALSE()))</f>
        <v>0</v>
      </c>
      <c r="CW87" s="50" t="b">
        <f aca="false">IF(Configuration!$C$36="No","",IFERROR(IF(BM87="Survived",TRUE(),FALSE()),FALSE()))</f>
        <v>0</v>
      </c>
      <c r="CX87" s="50" t="b">
        <f aca="false">IF(Configuration!$C$37="No","",IFERROR(IF(AND(BN87="Clean",BP87="None"),TRUE(),FALSE()),FALSE()))</f>
        <v>0</v>
      </c>
      <c r="CY87" s="50" t="b">
        <f aca="false">IF(Configuration!$C$38="No","",IFERROR(IF(N(BK87)&gt;=Configuration!$C$53,TRUE(),FALSE()),FALSE()))</f>
        <v>0</v>
      </c>
      <c r="CZ87" s="50" t="b">
        <f aca="false">IF(Configuration!$C$39="No","",IFERROR(IF(AND(N(BS87)&gt;=2,N(BF87)&gt;=2),TRUE(),FALSE()),FALSE()))</f>
        <v>0</v>
      </c>
      <c r="DA87" s="50" t="b">
        <f aca="false">IF(Configuration!$C$40="No","",IFERROR(IF(OR(N(BG87)&lt;=Configuration!$C$56,N(AY87)&lt;Configuration!$C$57,N(BH87)&lt;=Configuration!$C$58),TRUE(),FALSE()),FALSE()))</f>
        <v>1</v>
      </c>
      <c r="DB87" s="50" t="b">
        <f aca="false">IF(Configuration!$C$41="No","",IFERROR(IF(AND(N(AY87)&gt;=Configuration!$C$54,N(AY87)&lt;=Configuration!$C$55),TRUE(),FALSE()),FALSE()))</f>
        <v>0</v>
      </c>
      <c r="DC87" s="50" t="b">
        <f aca="false">IF(Configuration!$C$42="No","",IFERROR(IF(AND(AG87&lt;&gt;"",AJ87&lt;&gt;""),TRUE(),FALSE()),FALSE()))</f>
        <v>0</v>
      </c>
      <c r="DD87" s="51" t="n">
        <f aca="false">COUNTIF(BW87:DC87,TRUE())</f>
        <v>2</v>
      </c>
    </row>
    <row r="88" customFormat="false" ht="15" hidden="false" customHeight="true" outlineLevel="0" collapsed="false">
      <c r="A88" s="18" t="n">
        <v>49</v>
      </c>
      <c r="B88" s="44"/>
      <c r="C88" s="44"/>
      <c r="D88" s="44"/>
      <c r="E88" s="44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6" t="str">
        <f aca="false">IFERROR(IF(F88&lt;&gt;"",F88,""),"")</f>
        <v/>
      </c>
      <c r="AF88" s="46" t="str">
        <f aca="false">IFERROR(IF(G88&lt;&gt;"",G88,""),"")</f>
        <v/>
      </c>
      <c r="AG88" s="46" t="str">
        <f aca="false">IFERROR(IF(AA88&lt;&gt;"",AA88,IF(R88&lt;&gt;"",R88,"")),"")</f>
        <v/>
      </c>
      <c r="AH88" s="46" t="str">
        <f aca="false">IFERROR(IF(AB88&lt;&gt;"",AB88,IF(S88&lt;&gt;"",S88,"")),"")</f>
        <v/>
      </c>
      <c r="AI88" s="47"/>
      <c r="AJ88" s="47"/>
      <c r="AK88" s="47"/>
      <c r="AL88" s="47"/>
      <c r="AM88" s="47"/>
      <c r="AN88" s="47"/>
      <c r="AO88" s="47"/>
      <c r="AP88" s="47"/>
      <c r="AQ88" s="46" t="str">
        <f aca="false">IFERROR(IF(Y88&lt;&gt;"",VALUE(Y88),""),"")</f>
        <v/>
      </c>
      <c r="AR88" s="47"/>
      <c r="AS88" s="47"/>
      <c r="AT88" s="47"/>
      <c r="AU88" s="47"/>
      <c r="AV88" s="46" t="str">
        <f aca="false">IFERROR(IF(T88&lt;&gt;"",VALUE(T88),""),"")</f>
        <v/>
      </c>
      <c r="AW88" s="46" t="str">
        <f aca="false">IFERROR(IF(N88="","",IF(OR(ISNUMBER(SEARCH("grant",N88)),ISNUMBER(SEARCH("B",AC88))),"Granted",IF(OR(ISNUMBER(SEARCH("pend",N88)),ISNUMBER(SEARCH("A",AC88))),"Pending",IF(ISNUMBER(SEARCH("expir",N88)),"Expired",N88)))),"")</f>
        <v/>
      </c>
      <c r="AX88" s="47"/>
      <c r="AY88" s="46" t="str">
        <f aca="true">IFERROR(IF(M88&lt;&gt;"",ROUND(VALUE(M88),1),IF(L88&lt;&gt;"",ROUND(MAX(0,(DATEVALUE(TEXT(L88,"YYYY-MM-DD"))-TODAY())/365.25),1),"")),"")</f>
        <v/>
      </c>
      <c r="AZ88" s="46" t="str">
        <f aca="false">IFERROR(IF(O88&lt;&gt;"",O88,""),"")</f>
        <v/>
      </c>
      <c r="BA88" s="46" t="str">
        <f aca="false">IFERROR(IF(U88&lt;&gt;"",SUBSTITUTE(SUBSTITUTE(U88,"; ",", "),";",","),""),"")</f>
        <v/>
      </c>
      <c r="BB88" s="47"/>
      <c r="BC88" s="47"/>
      <c r="BD88" s="47"/>
      <c r="BE88" s="47"/>
      <c r="BF88" s="47"/>
      <c r="BG88" s="47"/>
      <c r="BH88" s="47"/>
      <c r="BI88" s="47"/>
      <c r="BJ88" s="47"/>
      <c r="BK88" s="46" t="str">
        <f aca="false">IFERROR(IF(W88&lt;&gt;"",VALUE(W88),""),"")</f>
        <v/>
      </c>
      <c r="BL88" s="46" t="str">
        <f aca="false">IFERROR(IF(X88&lt;&gt;"",VALUE(X88),""),"")</f>
        <v/>
      </c>
      <c r="BM88" s="46" t="str">
        <f aca="false">IFERROR(IF(AD88="","None",IF(ISNUMBER(SEARCH("surv",AD88)),"Survived",IF(ISNUMBER(SEARCH("pend",AD88)),"Pending",IF(ISNUMBER(SEARCH("yes",AD88)),"Pending","None")))),"None")</f>
        <v>None</v>
      </c>
      <c r="BN88" s="47"/>
      <c r="BO88" s="47"/>
      <c r="BP88" s="47"/>
      <c r="BQ88" s="47"/>
      <c r="BR88" s="47"/>
      <c r="BS88" s="47"/>
      <c r="BT88" s="47"/>
      <c r="BU88" s="48" t="n">
        <f aca="false">IFERROR(COUNTA(AE88:BT88)/42,0)</f>
        <v>0.30952380952381</v>
      </c>
      <c r="BV88" s="49"/>
      <c r="BW88" s="50" t="b">
        <f aca="false">IF(Configuration!$C$10="No","",IFERROR(IF(AG88&lt;&gt;"",TRUE(),FALSE()),FALSE()))</f>
        <v>0</v>
      </c>
      <c r="BX88" s="50" t="b">
        <f aca="false">IF(Configuration!$C$11="No","",IFERROR(IF(AND(N(AL88)&gt;=Configuration!$C$44,AM88&lt;&gt;""),TRUE(),FALSE()),FALSE()))</f>
        <v>0</v>
      </c>
      <c r="BY88" s="50" t="b">
        <f aca="false">IF(Configuration!$C$12="No","",IFERROR(IF(AJ88&lt;&gt;"",TRUE(),FALSE()),FALSE()))</f>
        <v>0</v>
      </c>
      <c r="BZ88" s="50" t="b">
        <f aca="false">IF(Configuration!$C$13="No","",IFERROR(IF(AI88&lt;&gt;"",TRUE(),FALSE()),FALSE()))</f>
        <v>0</v>
      </c>
      <c r="CA88" s="50" t="b">
        <f aca="false">IF(Configuration!$C$14="No","",IFERROR(IF(AK88&lt;&gt;"",TRUE(),FALSE()),FALSE()))</f>
        <v>0</v>
      </c>
      <c r="CB88" s="50" t="b">
        <f aca="false">IF(Configuration!$C$15="No","",IFERROR(IF(AND(OR(ISNUMBER(SEARCH("process",AG88)),ISNUMBER(SEARCH("fab",AG88)),ISNUMBER(SEARCH("manufac",AG88))),AO88="Method"),TRUE(),FALSE()),FALSE()))</f>
        <v>0</v>
      </c>
      <c r="CC88" s="50" t="b">
        <f aca="false">IF(Configuration!$C$16="No","",IFERROR(IF(AND(OR(ISNUMBER(SEARCH("material",AG88)),ISNUMBER(SEARCH("chem",AG88)),ISNUMBER(SEARCH("battery",AG88)),ISNUMBER(SEARCH("electrolyte",AG88)),ISNUMBER(SEARCH("polymer",AG88))),OR(AO88="Apparatus",AO88="Method")),TRUE(),FALSE()),FALSE()))</f>
        <v>0</v>
      </c>
      <c r="CD88" s="50" t="b">
        <f aca="false">IF(Configuration!$C$17="No","",IFERROR(IF(AND(OR(AI88="App",AI88="Middleware",AI88="Cloud"),OR(AO88="Method",AO88="CRM")),TRUE(),FALSE()),FALSE()))</f>
        <v>0</v>
      </c>
      <c r="CE88" s="50" t="b">
        <f aca="false">IF(Configuration!$C$18="No","",IFERROR(IF(N(AN88)&gt;=Configuration!$C$45,TRUE(),FALSE()),FALSE()))</f>
        <v>0</v>
      </c>
      <c r="CF88" s="50" t="b">
        <f aca="false">IF(Configuration!$C$19="No","",IFERROR(IF(BE88&lt;&gt;"",TRUE(),FALSE()),FALSE()))</f>
        <v>0</v>
      </c>
      <c r="CG88" s="50" t="b">
        <f aca="false">IF(Configuration!$C$20="No","",IFERROR(IF(AO88&lt;&gt;"",TRUE(),FALSE()),FALSE()))</f>
        <v>0</v>
      </c>
      <c r="CH88" s="50" t="b">
        <f aca="false">IF(Configuration!$C$21="No","",IFERROR(IF(OR(N(AS88)&gt;=Configuration!$C$46,N(AT88)&gt;=Configuration!$C$47),TRUE(),FALSE()),FALSE()))</f>
        <v>0</v>
      </c>
      <c r="CI88" s="50" t="b">
        <f aca="false">IF(Configuration!$C$22="No","",IFERROR(IF(BB88="Yes",TRUE(),FALSE()),FALSE()))</f>
        <v>0</v>
      </c>
      <c r="CJ88" s="50" t="b">
        <f aca="false">IF(Configuration!$C$23="No","",IFERROR(IF(N(AV88)&gt;=Configuration!$C$48,TRUE(),FALSE()),FALSE()))</f>
        <v>0</v>
      </c>
      <c r="CK88" s="50" t="b">
        <f aca="false">IF(Configuration!$C$24="No","",IFERROR(IF(N(AY88)&gt;0,TRUE(),FALSE()),FALSE()))</f>
        <v>0</v>
      </c>
      <c r="CL88" s="50" t="b">
        <f aca="false">IF(Configuration!$C$25="No","",IFERROR(IF(OR(N(AP88)=3,N(AP88)&lt;=1),TRUE(),FALSE()),FALSE()))</f>
        <v>1</v>
      </c>
      <c r="CM88" s="50" t="b">
        <f aca="false">IF(Configuration!$C$26="No","",IFERROR(IF(N(BF88)&gt;=Configuration!$C$49,TRUE(),FALSE()),FALSE()))</f>
        <v>0</v>
      </c>
      <c r="CN88" s="50" t="b">
        <f aca="false">IF(Configuration!$C$27="No","",IFERROR(IF(BD88&lt;&gt;"",TRUE(),FALSE()),FALSE()))</f>
        <v>0</v>
      </c>
      <c r="CO88" s="50" t="b">
        <f aca="false">IF(Configuration!$C$28="No","",IFERROR(IF(N(AU88)&gt;=Configuration!$C$50,TRUE(),FALSE()),FALSE()))</f>
        <v>0</v>
      </c>
      <c r="CP88" s="50" t="b">
        <f aca="false">IF(Configuration!$C$29="No","",IFERROR(IF(AND(N(AR88)&gt;=Configuration!$C$51,AG88&lt;&gt;""),TRUE(),FALSE()),FALSE()))</f>
        <v>0</v>
      </c>
      <c r="CQ88" s="50" t="b">
        <f aca="false">IF(Configuration!$C$30="No","",IFERROR(IF(OR(AW88="Pending",AX88="Yes"),TRUE(),FALSE()),FALSE()))</f>
        <v>0</v>
      </c>
      <c r="CR88" s="50" t="b">
        <f aca="false">IF(Configuration!$C$31="No","",IFERROR(IF(AND(N(BG88)&gt;=Configuration!$C$52,N(AP88)&gt;=1),TRUE(),FALSE()),FALSE()))</f>
        <v>0</v>
      </c>
      <c r="CS88" s="50" t="b">
        <f aca="false">IF(Configuration!$C$32="No","",IFERROR(IF(AND(N(AR88)&gt;=1,OR(AG88&lt;&gt;"",AM88&lt;&gt;"")),TRUE(),FALSE()),FALSE()))</f>
        <v>0</v>
      </c>
      <c r="CT88" s="50" t="b">
        <f aca="false">IF(Configuration!$C$33="No","",IFERROR(IF(AG88&lt;&gt;"",TRUE(),FALSE()),FALSE()))</f>
        <v>0</v>
      </c>
      <c r="CU88" s="50" t="b">
        <f aca="false">IF(Configuration!$C$34="No","",IFERROR(IF(AX88="Yes",TRUE(),FALSE()),FALSE()))</f>
        <v>0</v>
      </c>
      <c r="CV88" s="50" t="b">
        <f aca="false">IF(Configuration!$C$35="No","",IFERROR(IF(OR(BO88="Partial",BO88="Full"),TRUE(),FALSE()),FALSE()))</f>
        <v>0</v>
      </c>
      <c r="CW88" s="50" t="b">
        <f aca="false">IF(Configuration!$C$36="No","",IFERROR(IF(BM88="Survived",TRUE(),FALSE()),FALSE()))</f>
        <v>0</v>
      </c>
      <c r="CX88" s="50" t="b">
        <f aca="false">IF(Configuration!$C$37="No","",IFERROR(IF(AND(BN88="Clean",BP88="None"),TRUE(),FALSE()),FALSE()))</f>
        <v>0</v>
      </c>
      <c r="CY88" s="50" t="b">
        <f aca="false">IF(Configuration!$C$38="No","",IFERROR(IF(N(BK88)&gt;=Configuration!$C$53,TRUE(),FALSE()),FALSE()))</f>
        <v>0</v>
      </c>
      <c r="CZ88" s="50" t="b">
        <f aca="false">IF(Configuration!$C$39="No","",IFERROR(IF(AND(N(BS88)&gt;=2,N(BF88)&gt;=2),TRUE(),FALSE()),FALSE()))</f>
        <v>0</v>
      </c>
      <c r="DA88" s="50" t="b">
        <f aca="false">IF(Configuration!$C$40="No","",IFERROR(IF(OR(N(BG88)&lt;=Configuration!$C$56,N(AY88)&lt;Configuration!$C$57,N(BH88)&lt;=Configuration!$C$58),TRUE(),FALSE()),FALSE()))</f>
        <v>1</v>
      </c>
      <c r="DB88" s="50" t="b">
        <f aca="false">IF(Configuration!$C$41="No","",IFERROR(IF(AND(N(AY88)&gt;=Configuration!$C$54,N(AY88)&lt;=Configuration!$C$55),TRUE(),FALSE()),FALSE()))</f>
        <v>0</v>
      </c>
      <c r="DC88" s="50" t="b">
        <f aca="false">IF(Configuration!$C$42="No","",IFERROR(IF(AND(AG88&lt;&gt;"",AJ88&lt;&gt;""),TRUE(),FALSE()),FALSE()))</f>
        <v>0</v>
      </c>
      <c r="DD88" s="51" t="n">
        <f aca="false">COUNTIF(BW88:DC88,TRUE())</f>
        <v>2</v>
      </c>
    </row>
    <row r="89" customFormat="false" ht="15" hidden="false" customHeight="true" outlineLevel="0" collapsed="false">
      <c r="A89" s="18" t="n">
        <v>50</v>
      </c>
      <c r="B89" s="44"/>
      <c r="C89" s="44"/>
      <c r="D89" s="44"/>
      <c r="E89" s="44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6" t="str">
        <f aca="false">IFERROR(IF(F89&lt;&gt;"",F89,""),"")</f>
        <v/>
      </c>
      <c r="AF89" s="46" t="str">
        <f aca="false">IFERROR(IF(G89&lt;&gt;"",G89,""),"")</f>
        <v/>
      </c>
      <c r="AG89" s="46" t="str">
        <f aca="false">IFERROR(IF(AA89&lt;&gt;"",AA89,IF(R89&lt;&gt;"",R89,"")),"")</f>
        <v/>
      </c>
      <c r="AH89" s="46" t="str">
        <f aca="false">IFERROR(IF(AB89&lt;&gt;"",AB89,IF(S89&lt;&gt;"",S89,"")),"")</f>
        <v/>
      </c>
      <c r="AI89" s="47"/>
      <c r="AJ89" s="47"/>
      <c r="AK89" s="47"/>
      <c r="AL89" s="47"/>
      <c r="AM89" s="47"/>
      <c r="AN89" s="47"/>
      <c r="AO89" s="47"/>
      <c r="AP89" s="47"/>
      <c r="AQ89" s="46" t="str">
        <f aca="false">IFERROR(IF(Y89&lt;&gt;"",VALUE(Y89),""),"")</f>
        <v/>
      </c>
      <c r="AR89" s="47"/>
      <c r="AS89" s="47"/>
      <c r="AT89" s="47"/>
      <c r="AU89" s="47"/>
      <c r="AV89" s="46" t="str">
        <f aca="false">IFERROR(IF(T89&lt;&gt;"",VALUE(T89),""),"")</f>
        <v/>
      </c>
      <c r="AW89" s="46" t="str">
        <f aca="false">IFERROR(IF(N89="","",IF(OR(ISNUMBER(SEARCH("grant",N89)),ISNUMBER(SEARCH("B",AC89))),"Granted",IF(OR(ISNUMBER(SEARCH("pend",N89)),ISNUMBER(SEARCH("A",AC89))),"Pending",IF(ISNUMBER(SEARCH("expir",N89)),"Expired",N89)))),"")</f>
        <v/>
      </c>
      <c r="AX89" s="47"/>
      <c r="AY89" s="46" t="str">
        <f aca="true">IFERROR(IF(M89&lt;&gt;"",ROUND(VALUE(M89),1),IF(L89&lt;&gt;"",ROUND(MAX(0,(DATEVALUE(TEXT(L89,"YYYY-MM-DD"))-TODAY())/365.25),1),"")),"")</f>
        <v/>
      </c>
      <c r="AZ89" s="46" t="str">
        <f aca="false">IFERROR(IF(O89&lt;&gt;"",O89,""),"")</f>
        <v/>
      </c>
      <c r="BA89" s="46" t="str">
        <f aca="false">IFERROR(IF(U89&lt;&gt;"",SUBSTITUTE(SUBSTITUTE(U89,"; ",", "),";",","),""),"")</f>
        <v/>
      </c>
      <c r="BB89" s="47"/>
      <c r="BC89" s="47"/>
      <c r="BD89" s="47"/>
      <c r="BE89" s="47"/>
      <c r="BF89" s="47"/>
      <c r="BG89" s="47"/>
      <c r="BH89" s="47"/>
      <c r="BI89" s="47"/>
      <c r="BJ89" s="47"/>
      <c r="BK89" s="46" t="str">
        <f aca="false">IFERROR(IF(W89&lt;&gt;"",VALUE(W89),""),"")</f>
        <v/>
      </c>
      <c r="BL89" s="46" t="str">
        <f aca="false">IFERROR(IF(X89&lt;&gt;"",VALUE(X89),""),"")</f>
        <v/>
      </c>
      <c r="BM89" s="46" t="str">
        <f aca="false">IFERROR(IF(AD89="","None",IF(ISNUMBER(SEARCH("surv",AD89)),"Survived",IF(ISNUMBER(SEARCH("pend",AD89)),"Pending",IF(ISNUMBER(SEARCH("yes",AD89)),"Pending","None")))),"None")</f>
        <v>None</v>
      </c>
      <c r="BN89" s="47"/>
      <c r="BO89" s="47"/>
      <c r="BP89" s="47"/>
      <c r="BQ89" s="47"/>
      <c r="BR89" s="47"/>
      <c r="BS89" s="47"/>
      <c r="BT89" s="47"/>
      <c r="BU89" s="48" t="n">
        <f aca="false">IFERROR(COUNTA(AE89:BT89)/42,0)</f>
        <v>0.30952380952381</v>
      </c>
      <c r="BV89" s="49"/>
      <c r="BW89" s="50" t="b">
        <f aca="false">IF(Configuration!$C$10="No","",IFERROR(IF(AG89&lt;&gt;"",TRUE(),FALSE()),FALSE()))</f>
        <v>0</v>
      </c>
      <c r="BX89" s="50" t="b">
        <f aca="false">IF(Configuration!$C$11="No","",IFERROR(IF(AND(N(AL89)&gt;=Configuration!$C$44,AM89&lt;&gt;""),TRUE(),FALSE()),FALSE()))</f>
        <v>0</v>
      </c>
      <c r="BY89" s="50" t="b">
        <f aca="false">IF(Configuration!$C$12="No","",IFERROR(IF(AJ89&lt;&gt;"",TRUE(),FALSE()),FALSE()))</f>
        <v>0</v>
      </c>
      <c r="BZ89" s="50" t="b">
        <f aca="false">IF(Configuration!$C$13="No","",IFERROR(IF(AI89&lt;&gt;"",TRUE(),FALSE()),FALSE()))</f>
        <v>0</v>
      </c>
      <c r="CA89" s="50" t="b">
        <f aca="false">IF(Configuration!$C$14="No","",IFERROR(IF(AK89&lt;&gt;"",TRUE(),FALSE()),FALSE()))</f>
        <v>0</v>
      </c>
      <c r="CB89" s="50" t="b">
        <f aca="false">IF(Configuration!$C$15="No","",IFERROR(IF(AND(OR(ISNUMBER(SEARCH("process",AG89)),ISNUMBER(SEARCH("fab",AG89)),ISNUMBER(SEARCH("manufac",AG89))),AO89="Method"),TRUE(),FALSE()),FALSE()))</f>
        <v>0</v>
      </c>
      <c r="CC89" s="50" t="b">
        <f aca="false">IF(Configuration!$C$16="No","",IFERROR(IF(AND(OR(ISNUMBER(SEARCH("material",AG89)),ISNUMBER(SEARCH("chem",AG89)),ISNUMBER(SEARCH("battery",AG89)),ISNUMBER(SEARCH("electrolyte",AG89)),ISNUMBER(SEARCH("polymer",AG89))),OR(AO89="Apparatus",AO89="Method")),TRUE(),FALSE()),FALSE()))</f>
        <v>0</v>
      </c>
      <c r="CD89" s="50" t="b">
        <f aca="false">IF(Configuration!$C$17="No","",IFERROR(IF(AND(OR(AI89="App",AI89="Middleware",AI89="Cloud"),OR(AO89="Method",AO89="CRM")),TRUE(),FALSE()),FALSE()))</f>
        <v>0</v>
      </c>
      <c r="CE89" s="50" t="b">
        <f aca="false">IF(Configuration!$C$18="No","",IFERROR(IF(N(AN89)&gt;=Configuration!$C$45,TRUE(),FALSE()),FALSE()))</f>
        <v>0</v>
      </c>
      <c r="CF89" s="50" t="b">
        <f aca="false">IF(Configuration!$C$19="No","",IFERROR(IF(BE89&lt;&gt;"",TRUE(),FALSE()),FALSE()))</f>
        <v>0</v>
      </c>
      <c r="CG89" s="50" t="b">
        <f aca="false">IF(Configuration!$C$20="No","",IFERROR(IF(AO89&lt;&gt;"",TRUE(),FALSE()),FALSE()))</f>
        <v>0</v>
      </c>
      <c r="CH89" s="50" t="b">
        <f aca="false">IF(Configuration!$C$21="No","",IFERROR(IF(OR(N(AS89)&gt;=Configuration!$C$46,N(AT89)&gt;=Configuration!$C$47),TRUE(),FALSE()),FALSE()))</f>
        <v>0</v>
      </c>
      <c r="CI89" s="50" t="b">
        <f aca="false">IF(Configuration!$C$22="No","",IFERROR(IF(BB89="Yes",TRUE(),FALSE()),FALSE()))</f>
        <v>0</v>
      </c>
      <c r="CJ89" s="50" t="b">
        <f aca="false">IF(Configuration!$C$23="No","",IFERROR(IF(N(AV89)&gt;=Configuration!$C$48,TRUE(),FALSE()),FALSE()))</f>
        <v>0</v>
      </c>
      <c r="CK89" s="50" t="b">
        <f aca="false">IF(Configuration!$C$24="No","",IFERROR(IF(N(AY89)&gt;0,TRUE(),FALSE()),FALSE()))</f>
        <v>0</v>
      </c>
      <c r="CL89" s="50" t="b">
        <f aca="false">IF(Configuration!$C$25="No","",IFERROR(IF(OR(N(AP89)=3,N(AP89)&lt;=1),TRUE(),FALSE()),FALSE()))</f>
        <v>1</v>
      </c>
      <c r="CM89" s="50" t="b">
        <f aca="false">IF(Configuration!$C$26="No","",IFERROR(IF(N(BF89)&gt;=Configuration!$C$49,TRUE(),FALSE()),FALSE()))</f>
        <v>0</v>
      </c>
      <c r="CN89" s="50" t="b">
        <f aca="false">IF(Configuration!$C$27="No","",IFERROR(IF(BD89&lt;&gt;"",TRUE(),FALSE()),FALSE()))</f>
        <v>0</v>
      </c>
      <c r="CO89" s="50" t="b">
        <f aca="false">IF(Configuration!$C$28="No","",IFERROR(IF(N(AU89)&gt;=Configuration!$C$50,TRUE(),FALSE()),FALSE()))</f>
        <v>0</v>
      </c>
      <c r="CP89" s="50" t="b">
        <f aca="false">IF(Configuration!$C$29="No","",IFERROR(IF(AND(N(AR89)&gt;=Configuration!$C$51,AG89&lt;&gt;""),TRUE(),FALSE()),FALSE()))</f>
        <v>0</v>
      </c>
      <c r="CQ89" s="50" t="b">
        <f aca="false">IF(Configuration!$C$30="No","",IFERROR(IF(OR(AW89="Pending",AX89="Yes"),TRUE(),FALSE()),FALSE()))</f>
        <v>0</v>
      </c>
      <c r="CR89" s="50" t="b">
        <f aca="false">IF(Configuration!$C$31="No","",IFERROR(IF(AND(N(BG89)&gt;=Configuration!$C$52,N(AP89)&gt;=1),TRUE(),FALSE()),FALSE()))</f>
        <v>0</v>
      </c>
      <c r="CS89" s="50" t="b">
        <f aca="false">IF(Configuration!$C$32="No","",IFERROR(IF(AND(N(AR89)&gt;=1,OR(AG89&lt;&gt;"",AM89&lt;&gt;"")),TRUE(),FALSE()),FALSE()))</f>
        <v>0</v>
      </c>
      <c r="CT89" s="50" t="b">
        <f aca="false">IF(Configuration!$C$33="No","",IFERROR(IF(AG89&lt;&gt;"",TRUE(),FALSE()),FALSE()))</f>
        <v>0</v>
      </c>
      <c r="CU89" s="50" t="b">
        <f aca="false">IF(Configuration!$C$34="No","",IFERROR(IF(AX89="Yes",TRUE(),FALSE()),FALSE()))</f>
        <v>0</v>
      </c>
      <c r="CV89" s="50" t="b">
        <f aca="false">IF(Configuration!$C$35="No","",IFERROR(IF(OR(BO89="Partial",BO89="Full"),TRUE(),FALSE()),FALSE()))</f>
        <v>0</v>
      </c>
      <c r="CW89" s="50" t="b">
        <f aca="false">IF(Configuration!$C$36="No","",IFERROR(IF(BM89="Survived",TRUE(),FALSE()),FALSE()))</f>
        <v>0</v>
      </c>
      <c r="CX89" s="50" t="b">
        <f aca="false">IF(Configuration!$C$37="No","",IFERROR(IF(AND(BN89="Clean",BP89="None"),TRUE(),FALSE()),FALSE()))</f>
        <v>0</v>
      </c>
      <c r="CY89" s="50" t="b">
        <f aca="false">IF(Configuration!$C$38="No","",IFERROR(IF(N(BK89)&gt;=Configuration!$C$53,TRUE(),FALSE()),FALSE()))</f>
        <v>0</v>
      </c>
      <c r="CZ89" s="50" t="b">
        <f aca="false">IF(Configuration!$C$39="No","",IFERROR(IF(AND(N(BS89)&gt;=2,N(BF89)&gt;=2),TRUE(),FALSE()),FALSE()))</f>
        <v>0</v>
      </c>
      <c r="DA89" s="50" t="b">
        <f aca="false">IF(Configuration!$C$40="No","",IFERROR(IF(OR(N(BG89)&lt;=Configuration!$C$56,N(AY89)&lt;Configuration!$C$57,N(BH89)&lt;=Configuration!$C$58),TRUE(),FALSE()),FALSE()))</f>
        <v>1</v>
      </c>
      <c r="DB89" s="50" t="b">
        <f aca="false">IF(Configuration!$C$41="No","",IFERROR(IF(AND(N(AY89)&gt;=Configuration!$C$54,N(AY89)&lt;=Configuration!$C$55),TRUE(),FALSE()),FALSE()))</f>
        <v>0</v>
      </c>
      <c r="DC89" s="50" t="b">
        <f aca="false">IF(Configuration!$C$42="No","",IFERROR(IF(AND(AG89&lt;&gt;"",AJ89&lt;&gt;""),TRUE(),FALSE()),FALSE()))</f>
        <v>0</v>
      </c>
      <c r="DD89" s="51" t="n">
        <f aca="false">COUNTIF(BW89:DC89,TRUE())</f>
        <v>2</v>
      </c>
    </row>
    <row r="90" customFormat="false" ht="15" hidden="false" customHeight="true" outlineLevel="0" collapsed="false">
      <c r="A90" s="18" t="n">
        <v>51</v>
      </c>
      <c r="B90" s="44"/>
      <c r="C90" s="44"/>
      <c r="D90" s="44"/>
      <c r="E90" s="44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6" t="str">
        <f aca="false">IFERROR(IF(F90&lt;&gt;"",F90,""),"")</f>
        <v/>
      </c>
      <c r="AF90" s="46" t="str">
        <f aca="false">IFERROR(IF(G90&lt;&gt;"",G90,""),"")</f>
        <v/>
      </c>
      <c r="AG90" s="46" t="str">
        <f aca="false">IFERROR(IF(AA90&lt;&gt;"",AA90,IF(R90&lt;&gt;"",R90,"")),"")</f>
        <v/>
      </c>
      <c r="AH90" s="46" t="str">
        <f aca="false">IFERROR(IF(AB90&lt;&gt;"",AB90,IF(S90&lt;&gt;"",S90,"")),"")</f>
        <v/>
      </c>
      <c r="AI90" s="47"/>
      <c r="AJ90" s="47"/>
      <c r="AK90" s="47"/>
      <c r="AL90" s="47"/>
      <c r="AM90" s="47"/>
      <c r="AN90" s="47"/>
      <c r="AO90" s="47"/>
      <c r="AP90" s="47"/>
      <c r="AQ90" s="46" t="str">
        <f aca="false">IFERROR(IF(Y90&lt;&gt;"",VALUE(Y90),""),"")</f>
        <v/>
      </c>
      <c r="AR90" s="47"/>
      <c r="AS90" s="47"/>
      <c r="AT90" s="47"/>
      <c r="AU90" s="47"/>
      <c r="AV90" s="46" t="str">
        <f aca="false">IFERROR(IF(T90&lt;&gt;"",VALUE(T90),""),"")</f>
        <v/>
      </c>
      <c r="AW90" s="46" t="str">
        <f aca="false">IFERROR(IF(N90="","",IF(OR(ISNUMBER(SEARCH("grant",N90)),ISNUMBER(SEARCH("B",AC90))),"Granted",IF(OR(ISNUMBER(SEARCH("pend",N90)),ISNUMBER(SEARCH("A",AC90))),"Pending",IF(ISNUMBER(SEARCH("expir",N90)),"Expired",N90)))),"")</f>
        <v/>
      </c>
      <c r="AX90" s="47"/>
      <c r="AY90" s="46" t="str">
        <f aca="true">IFERROR(IF(M90&lt;&gt;"",ROUND(VALUE(M90),1),IF(L90&lt;&gt;"",ROUND(MAX(0,(DATEVALUE(TEXT(L90,"YYYY-MM-DD"))-TODAY())/365.25),1),"")),"")</f>
        <v/>
      </c>
      <c r="AZ90" s="46" t="str">
        <f aca="false">IFERROR(IF(O90&lt;&gt;"",O90,""),"")</f>
        <v/>
      </c>
      <c r="BA90" s="46" t="str">
        <f aca="false">IFERROR(IF(U90&lt;&gt;"",SUBSTITUTE(SUBSTITUTE(U90,"; ",", "),";",","),""),"")</f>
        <v/>
      </c>
      <c r="BB90" s="47"/>
      <c r="BC90" s="47"/>
      <c r="BD90" s="47"/>
      <c r="BE90" s="47"/>
      <c r="BF90" s="47"/>
      <c r="BG90" s="47"/>
      <c r="BH90" s="47"/>
      <c r="BI90" s="47"/>
      <c r="BJ90" s="47"/>
      <c r="BK90" s="46" t="str">
        <f aca="false">IFERROR(IF(W90&lt;&gt;"",VALUE(W90),""),"")</f>
        <v/>
      </c>
      <c r="BL90" s="46" t="str">
        <f aca="false">IFERROR(IF(X90&lt;&gt;"",VALUE(X90),""),"")</f>
        <v/>
      </c>
      <c r="BM90" s="46" t="str">
        <f aca="false">IFERROR(IF(AD90="","None",IF(ISNUMBER(SEARCH("surv",AD90)),"Survived",IF(ISNUMBER(SEARCH("pend",AD90)),"Pending",IF(ISNUMBER(SEARCH("yes",AD90)),"Pending","None")))),"None")</f>
        <v>None</v>
      </c>
      <c r="BN90" s="47"/>
      <c r="BO90" s="47"/>
      <c r="BP90" s="47"/>
      <c r="BQ90" s="47"/>
      <c r="BR90" s="47"/>
      <c r="BS90" s="47"/>
      <c r="BT90" s="47"/>
      <c r="BU90" s="48" t="n">
        <f aca="false">IFERROR(COUNTA(AE90:BT90)/42,0)</f>
        <v>0.30952380952381</v>
      </c>
      <c r="BV90" s="49"/>
      <c r="BW90" s="50" t="b">
        <f aca="false">IF(Configuration!$C$10="No","",IFERROR(IF(AG90&lt;&gt;"",TRUE(),FALSE()),FALSE()))</f>
        <v>0</v>
      </c>
      <c r="BX90" s="50" t="b">
        <f aca="false">IF(Configuration!$C$11="No","",IFERROR(IF(AND(N(AL90)&gt;=Configuration!$C$44,AM90&lt;&gt;""),TRUE(),FALSE()),FALSE()))</f>
        <v>0</v>
      </c>
      <c r="BY90" s="50" t="b">
        <f aca="false">IF(Configuration!$C$12="No","",IFERROR(IF(AJ90&lt;&gt;"",TRUE(),FALSE()),FALSE()))</f>
        <v>0</v>
      </c>
      <c r="BZ90" s="50" t="b">
        <f aca="false">IF(Configuration!$C$13="No","",IFERROR(IF(AI90&lt;&gt;"",TRUE(),FALSE()),FALSE()))</f>
        <v>0</v>
      </c>
      <c r="CA90" s="50" t="b">
        <f aca="false">IF(Configuration!$C$14="No","",IFERROR(IF(AK90&lt;&gt;"",TRUE(),FALSE()),FALSE()))</f>
        <v>0</v>
      </c>
      <c r="CB90" s="50" t="b">
        <f aca="false">IF(Configuration!$C$15="No","",IFERROR(IF(AND(OR(ISNUMBER(SEARCH("process",AG90)),ISNUMBER(SEARCH("fab",AG90)),ISNUMBER(SEARCH("manufac",AG90))),AO90="Method"),TRUE(),FALSE()),FALSE()))</f>
        <v>0</v>
      </c>
      <c r="CC90" s="50" t="b">
        <f aca="false">IF(Configuration!$C$16="No","",IFERROR(IF(AND(OR(ISNUMBER(SEARCH("material",AG90)),ISNUMBER(SEARCH("chem",AG90)),ISNUMBER(SEARCH("battery",AG90)),ISNUMBER(SEARCH("electrolyte",AG90)),ISNUMBER(SEARCH("polymer",AG90))),OR(AO90="Apparatus",AO90="Method")),TRUE(),FALSE()),FALSE()))</f>
        <v>0</v>
      </c>
      <c r="CD90" s="50" t="b">
        <f aca="false">IF(Configuration!$C$17="No","",IFERROR(IF(AND(OR(AI90="App",AI90="Middleware",AI90="Cloud"),OR(AO90="Method",AO90="CRM")),TRUE(),FALSE()),FALSE()))</f>
        <v>0</v>
      </c>
      <c r="CE90" s="50" t="b">
        <f aca="false">IF(Configuration!$C$18="No","",IFERROR(IF(N(AN90)&gt;=Configuration!$C$45,TRUE(),FALSE()),FALSE()))</f>
        <v>0</v>
      </c>
      <c r="CF90" s="50" t="b">
        <f aca="false">IF(Configuration!$C$19="No","",IFERROR(IF(BE90&lt;&gt;"",TRUE(),FALSE()),FALSE()))</f>
        <v>0</v>
      </c>
      <c r="CG90" s="50" t="b">
        <f aca="false">IF(Configuration!$C$20="No","",IFERROR(IF(AO90&lt;&gt;"",TRUE(),FALSE()),FALSE()))</f>
        <v>0</v>
      </c>
      <c r="CH90" s="50" t="b">
        <f aca="false">IF(Configuration!$C$21="No","",IFERROR(IF(OR(N(AS90)&gt;=Configuration!$C$46,N(AT90)&gt;=Configuration!$C$47),TRUE(),FALSE()),FALSE()))</f>
        <v>0</v>
      </c>
      <c r="CI90" s="50" t="b">
        <f aca="false">IF(Configuration!$C$22="No","",IFERROR(IF(BB90="Yes",TRUE(),FALSE()),FALSE()))</f>
        <v>0</v>
      </c>
      <c r="CJ90" s="50" t="b">
        <f aca="false">IF(Configuration!$C$23="No","",IFERROR(IF(N(AV90)&gt;=Configuration!$C$48,TRUE(),FALSE()),FALSE()))</f>
        <v>0</v>
      </c>
      <c r="CK90" s="50" t="b">
        <f aca="false">IF(Configuration!$C$24="No","",IFERROR(IF(N(AY90)&gt;0,TRUE(),FALSE()),FALSE()))</f>
        <v>0</v>
      </c>
      <c r="CL90" s="50" t="b">
        <f aca="false">IF(Configuration!$C$25="No","",IFERROR(IF(OR(N(AP90)=3,N(AP90)&lt;=1),TRUE(),FALSE()),FALSE()))</f>
        <v>1</v>
      </c>
      <c r="CM90" s="50" t="b">
        <f aca="false">IF(Configuration!$C$26="No","",IFERROR(IF(N(BF90)&gt;=Configuration!$C$49,TRUE(),FALSE()),FALSE()))</f>
        <v>0</v>
      </c>
      <c r="CN90" s="50" t="b">
        <f aca="false">IF(Configuration!$C$27="No","",IFERROR(IF(BD90&lt;&gt;"",TRUE(),FALSE()),FALSE()))</f>
        <v>0</v>
      </c>
      <c r="CO90" s="50" t="b">
        <f aca="false">IF(Configuration!$C$28="No","",IFERROR(IF(N(AU90)&gt;=Configuration!$C$50,TRUE(),FALSE()),FALSE()))</f>
        <v>0</v>
      </c>
      <c r="CP90" s="50" t="b">
        <f aca="false">IF(Configuration!$C$29="No","",IFERROR(IF(AND(N(AR90)&gt;=Configuration!$C$51,AG90&lt;&gt;""),TRUE(),FALSE()),FALSE()))</f>
        <v>0</v>
      </c>
      <c r="CQ90" s="50" t="b">
        <f aca="false">IF(Configuration!$C$30="No","",IFERROR(IF(OR(AW90="Pending",AX90="Yes"),TRUE(),FALSE()),FALSE()))</f>
        <v>0</v>
      </c>
      <c r="CR90" s="50" t="b">
        <f aca="false">IF(Configuration!$C$31="No","",IFERROR(IF(AND(N(BG90)&gt;=Configuration!$C$52,N(AP90)&gt;=1),TRUE(),FALSE()),FALSE()))</f>
        <v>0</v>
      </c>
      <c r="CS90" s="50" t="b">
        <f aca="false">IF(Configuration!$C$32="No","",IFERROR(IF(AND(N(AR90)&gt;=1,OR(AG90&lt;&gt;"",AM90&lt;&gt;"")),TRUE(),FALSE()),FALSE()))</f>
        <v>0</v>
      </c>
      <c r="CT90" s="50" t="b">
        <f aca="false">IF(Configuration!$C$33="No","",IFERROR(IF(AG90&lt;&gt;"",TRUE(),FALSE()),FALSE()))</f>
        <v>0</v>
      </c>
      <c r="CU90" s="50" t="b">
        <f aca="false">IF(Configuration!$C$34="No","",IFERROR(IF(AX90="Yes",TRUE(),FALSE()),FALSE()))</f>
        <v>0</v>
      </c>
      <c r="CV90" s="50" t="b">
        <f aca="false">IF(Configuration!$C$35="No","",IFERROR(IF(OR(BO90="Partial",BO90="Full"),TRUE(),FALSE()),FALSE()))</f>
        <v>0</v>
      </c>
      <c r="CW90" s="50" t="b">
        <f aca="false">IF(Configuration!$C$36="No","",IFERROR(IF(BM90="Survived",TRUE(),FALSE()),FALSE()))</f>
        <v>0</v>
      </c>
      <c r="CX90" s="50" t="b">
        <f aca="false">IF(Configuration!$C$37="No","",IFERROR(IF(AND(BN90="Clean",BP90="None"),TRUE(),FALSE()),FALSE()))</f>
        <v>0</v>
      </c>
      <c r="CY90" s="50" t="b">
        <f aca="false">IF(Configuration!$C$38="No","",IFERROR(IF(N(BK90)&gt;=Configuration!$C$53,TRUE(),FALSE()),FALSE()))</f>
        <v>0</v>
      </c>
      <c r="CZ90" s="50" t="b">
        <f aca="false">IF(Configuration!$C$39="No","",IFERROR(IF(AND(N(BS90)&gt;=2,N(BF90)&gt;=2),TRUE(),FALSE()),FALSE()))</f>
        <v>0</v>
      </c>
      <c r="DA90" s="50" t="b">
        <f aca="false">IF(Configuration!$C$40="No","",IFERROR(IF(OR(N(BG90)&lt;=Configuration!$C$56,N(AY90)&lt;Configuration!$C$57,N(BH90)&lt;=Configuration!$C$58),TRUE(),FALSE()),FALSE()))</f>
        <v>1</v>
      </c>
      <c r="DB90" s="50" t="b">
        <f aca="false">IF(Configuration!$C$41="No","",IFERROR(IF(AND(N(AY90)&gt;=Configuration!$C$54,N(AY90)&lt;=Configuration!$C$55),TRUE(),FALSE()),FALSE()))</f>
        <v>0</v>
      </c>
      <c r="DC90" s="50" t="b">
        <f aca="false">IF(Configuration!$C$42="No","",IFERROR(IF(AND(AG90&lt;&gt;"",AJ90&lt;&gt;""),TRUE(),FALSE()),FALSE()))</f>
        <v>0</v>
      </c>
      <c r="DD90" s="51" t="n">
        <f aca="false">COUNTIF(BW90:DC90,TRUE())</f>
        <v>2</v>
      </c>
    </row>
    <row r="91" customFormat="false" ht="15" hidden="false" customHeight="true" outlineLevel="0" collapsed="false">
      <c r="A91" s="18" t="n">
        <v>52</v>
      </c>
      <c r="B91" s="44"/>
      <c r="C91" s="44"/>
      <c r="D91" s="44"/>
      <c r="E91" s="44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6" t="str">
        <f aca="false">IFERROR(IF(F91&lt;&gt;"",F91,""),"")</f>
        <v/>
      </c>
      <c r="AF91" s="46" t="str">
        <f aca="false">IFERROR(IF(G91&lt;&gt;"",G91,""),"")</f>
        <v/>
      </c>
      <c r="AG91" s="46" t="str">
        <f aca="false">IFERROR(IF(AA91&lt;&gt;"",AA91,IF(R91&lt;&gt;"",R91,"")),"")</f>
        <v/>
      </c>
      <c r="AH91" s="46" t="str">
        <f aca="false">IFERROR(IF(AB91&lt;&gt;"",AB91,IF(S91&lt;&gt;"",S91,"")),"")</f>
        <v/>
      </c>
      <c r="AI91" s="47"/>
      <c r="AJ91" s="47"/>
      <c r="AK91" s="47"/>
      <c r="AL91" s="47"/>
      <c r="AM91" s="47"/>
      <c r="AN91" s="47"/>
      <c r="AO91" s="47"/>
      <c r="AP91" s="47"/>
      <c r="AQ91" s="46" t="str">
        <f aca="false">IFERROR(IF(Y91&lt;&gt;"",VALUE(Y91),""),"")</f>
        <v/>
      </c>
      <c r="AR91" s="47"/>
      <c r="AS91" s="47"/>
      <c r="AT91" s="47"/>
      <c r="AU91" s="47"/>
      <c r="AV91" s="46" t="str">
        <f aca="false">IFERROR(IF(T91&lt;&gt;"",VALUE(T91),""),"")</f>
        <v/>
      </c>
      <c r="AW91" s="46" t="str">
        <f aca="false">IFERROR(IF(N91="","",IF(OR(ISNUMBER(SEARCH("grant",N91)),ISNUMBER(SEARCH("B",AC91))),"Granted",IF(OR(ISNUMBER(SEARCH("pend",N91)),ISNUMBER(SEARCH("A",AC91))),"Pending",IF(ISNUMBER(SEARCH("expir",N91)),"Expired",N91)))),"")</f>
        <v/>
      </c>
      <c r="AX91" s="47"/>
      <c r="AY91" s="46" t="str">
        <f aca="true">IFERROR(IF(M91&lt;&gt;"",ROUND(VALUE(M91),1),IF(L91&lt;&gt;"",ROUND(MAX(0,(DATEVALUE(TEXT(L91,"YYYY-MM-DD"))-TODAY())/365.25),1),"")),"")</f>
        <v/>
      </c>
      <c r="AZ91" s="46" t="str">
        <f aca="false">IFERROR(IF(O91&lt;&gt;"",O91,""),"")</f>
        <v/>
      </c>
      <c r="BA91" s="46" t="str">
        <f aca="false">IFERROR(IF(U91&lt;&gt;"",SUBSTITUTE(SUBSTITUTE(U91,"; ",", "),";",","),""),"")</f>
        <v/>
      </c>
      <c r="BB91" s="47"/>
      <c r="BC91" s="47"/>
      <c r="BD91" s="47"/>
      <c r="BE91" s="47"/>
      <c r="BF91" s="47"/>
      <c r="BG91" s="47"/>
      <c r="BH91" s="47"/>
      <c r="BI91" s="47"/>
      <c r="BJ91" s="47"/>
      <c r="BK91" s="46" t="str">
        <f aca="false">IFERROR(IF(W91&lt;&gt;"",VALUE(W91),""),"")</f>
        <v/>
      </c>
      <c r="BL91" s="46" t="str">
        <f aca="false">IFERROR(IF(X91&lt;&gt;"",VALUE(X91),""),"")</f>
        <v/>
      </c>
      <c r="BM91" s="46" t="str">
        <f aca="false">IFERROR(IF(AD91="","None",IF(ISNUMBER(SEARCH("surv",AD91)),"Survived",IF(ISNUMBER(SEARCH("pend",AD91)),"Pending",IF(ISNUMBER(SEARCH("yes",AD91)),"Pending","None")))),"None")</f>
        <v>None</v>
      </c>
      <c r="BN91" s="47"/>
      <c r="BO91" s="47"/>
      <c r="BP91" s="47"/>
      <c r="BQ91" s="47"/>
      <c r="BR91" s="47"/>
      <c r="BS91" s="47"/>
      <c r="BT91" s="47"/>
      <c r="BU91" s="48" t="n">
        <f aca="false">IFERROR(COUNTA(AE91:BT91)/42,0)</f>
        <v>0.30952380952381</v>
      </c>
      <c r="BV91" s="49"/>
      <c r="BW91" s="50" t="b">
        <f aca="false">IF(Configuration!$C$10="No","",IFERROR(IF(AG91&lt;&gt;"",TRUE(),FALSE()),FALSE()))</f>
        <v>0</v>
      </c>
      <c r="BX91" s="50" t="b">
        <f aca="false">IF(Configuration!$C$11="No","",IFERROR(IF(AND(N(AL91)&gt;=Configuration!$C$44,AM91&lt;&gt;""),TRUE(),FALSE()),FALSE()))</f>
        <v>0</v>
      </c>
      <c r="BY91" s="50" t="b">
        <f aca="false">IF(Configuration!$C$12="No","",IFERROR(IF(AJ91&lt;&gt;"",TRUE(),FALSE()),FALSE()))</f>
        <v>0</v>
      </c>
      <c r="BZ91" s="50" t="b">
        <f aca="false">IF(Configuration!$C$13="No","",IFERROR(IF(AI91&lt;&gt;"",TRUE(),FALSE()),FALSE()))</f>
        <v>0</v>
      </c>
      <c r="CA91" s="50" t="b">
        <f aca="false">IF(Configuration!$C$14="No","",IFERROR(IF(AK91&lt;&gt;"",TRUE(),FALSE()),FALSE()))</f>
        <v>0</v>
      </c>
      <c r="CB91" s="50" t="b">
        <f aca="false">IF(Configuration!$C$15="No","",IFERROR(IF(AND(OR(ISNUMBER(SEARCH("process",AG91)),ISNUMBER(SEARCH("fab",AG91)),ISNUMBER(SEARCH("manufac",AG91))),AO91="Method"),TRUE(),FALSE()),FALSE()))</f>
        <v>0</v>
      </c>
      <c r="CC91" s="50" t="b">
        <f aca="false">IF(Configuration!$C$16="No","",IFERROR(IF(AND(OR(ISNUMBER(SEARCH("material",AG91)),ISNUMBER(SEARCH("chem",AG91)),ISNUMBER(SEARCH("battery",AG91)),ISNUMBER(SEARCH("electrolyte",AG91)),ISNUMBER(SEARCH("polymer",AG91))),OR(AO91="Apparatus",AO91="Method")),TRUE(),FALSE()),FALSE()))</f>
        <v>0</v>
      </c>
      <c r="CD91" s="50" t="b">
        <f aca="false">IF(Configuration!$C$17="No","",IFERROR(IF(AND(OR(AI91="App",AI91="Middleware",AI91="Cloud"),OR(AO91="Method",AO91="CRM")),TRUE(),FALSE()),FALSE()))</f>
        <v>0</v>
      </c>
      <c r="CE91" s="50" t="b">
        <f aca="false">IF(Configuration!$C$18="No","",IFERROR(IF(N(AN91)&gt;=Configuration!$C$45,TRUE(),FALSE()),FALSE()))</f>
        <v>0</v>
      </c>
      <c r="CF91" s="50" t="b">
        <f aca="false">IF(Configuration!$C$19="No","",IFERROR(IF(BE91&lt;&gt;"",TRUE(),FALSE()),FALSE()))</f>
        <v>0</v>
      </c>
      <c r="CG91" s="50" t="b">
        <f aca="false">IF(Configuration!$C$20="No","",IFERROR(IF(AO91&lt;&gt;"",TRUE(),FALSE()),FALSE()))</f>
        <v>0</v>
      </c>
      <c r="CH91" s="50" t="b">
        <f aca="false">IF(Configuration!$C$21="No","",IFERROR(IF(OR(N(AS91)&gt;=Configuration!$C$46,N(AT91)&gt;=Configuration!$C$47),TRUE(),FALSE()),FALSE()))</f>
        <v>0</v>
      </c>
      <c r="CI91" s="50" t="b">
        <f aca="false">IF(Configuration!$C$22="No","",IFERROR(IF(BB91="Yes",TRUE(),FALSE()),FALSE()))</f>
        <v>0</v>
      </c>
      <c r="CJ91" s="50" t="b">
        <f aca="false">IF(Configuration!$C$23="No","",IFERROR(IF(N(AV91)&gt;=Configuration!$C$48,TRUE(),FALSE()),FALSE()))</f>
        <v>0</v>
      </c>
      <c r="CK91" s="50" t="b">
        <f aca="false">IF(Configuration!$C$24="No","",IFERROR(IF(N(AY91)&gt;0,TRUE(),FALSE()),FALSE()))</f>
        <v>0</v>
      </c>
      <c r="CL91" s="50" t="b">
        <f aca="false">IF(Configuration!$C$25="No","",IFERROR(IF(OR(N(AP91)=3,N(AP91)&lt;=1),TRUE(),FALSE()),FALSE()))</f>
        <v>1</v>
      </c>
      <c r="CM91" s="50" t="b">
        <f aca="false">IF(Configuration!$C$26="No","",IFERROR(IF(N(BF91)&gt;=Configuration!$C$49,TRUE(),FALSE()),FALSE()))</f>
        <v>0</v>
      </c>
      <c r="CN91" s="50" t="b">
        <f aca="false">IF(Configuration!$C$27="No","",IFERROR(IF(BD91&lt;&gt;"",TRUE(),FALSE()),FALSE()))</f>
        <v>0</v>
      </c>
      <c r="CO91" s="50" t="b">
        <f aca="false">IF(Configuration!$C$28="No","",IFERROR(IF(N(AU91)&gt;=Configuration!$C$50,TRUE(),FALSE()),FALSE()))</f>
        <v>0</v>
      </c>
      <c r="CP91" s="50" t="b">
        <f aca="false">IF(Configuration!$C$29="No","",IFERROR(IF(AND(N(AR91)&gt;=Configuration!$C$51,AG91&lt;&gt;""),TRUE(),FALSE()),FALSE()))</f>
        <v>0</v>
      </c>
      <c r="CQ91" s="50" t="b">
        <f aca="false">IF(Configuration!$C$30="No","",IFERROR(IF(OR(AW91="Pending",AX91="Yes"),TRUE(),FALSE()),FALSE()))</f>
        <v>0</v>
      </c>
      <c r="CR91" s="50" t="b">
        <f aca="false">IF(Configuration!$C$31="No","",IFERROR(IF(AND(N(BG91)&gt;=Configuration!$C$52,N(AP91)&gt;=1),TRUE(),FALSE()),FALSE()))</f>
        <v>0</v>
      </c>
      <c r="CS91" s="50" t="b">
        <f aca="false">IF(Configuration!$C$32="No","",IFERROR(IF(AND(N(AR91)&gt;=1,OR(AG91&lt;&gt;"",AM91&lt;&gt;"")),TRUE(),FALSE()),FALSE()))</f>
        <v>0</v>
      </c>
      <c r="CT91" s="50" t="b">
        <f aca="false">IF(Configuration!$C$33="No","",IFERROR(IF(AG91&lt;&gt;"",TRUE(),FALSE()),FALSE()))</f>
        <v>0</v>
      </c>
      <c r="CU91" s="50" t="b">
        <f aca="false">IF(Configuration!$C$34="No","",IFERROR(IF(AX91="Yes",TRUE(),FALSE()),FALSE()))</f>
        <v>0</v>
      </c>
      <c r="CV91" s="50" t="b">
        <f aca="false">IF(Configuration!$C$35="No","",IFERROR(IF(OR(BO91="Partial",BO91="Full"),TRUE(),FALSE()),FALSE()))</f>
        <v>0</v>
      </c>
      <c r="CW91" s="50" t="b">
        <f aca="false">IF(Configuration!$C$36="No","",IFERROR(IF(BM91="Survived",TRUE(),FALSE()),FALSE()))</f>
        <v>0</v>
      </c>
      <c r="CX91" s="50" t="b">
        <f aca="false">IF(Configuration!$C$37="No","",IFERROR(IF(AND(BN91="Clean",BP91="None"),TRUE(),FALSE()),FALSE()))</f>
        <v>0</v>
      </c>
      <c r="CY91" s="50" t="b">
        <f aca="false">IF(Configuration!$C$38="No","",IFERROR(IF(N(BK91)&gt;=Configuration!$C$53,TRUE(),FALSE()),FALSE()))</f>
        <v>0</v>
      </c>
      <c r="CZ91" s="50" t="b">
        <f aca="false">IF(Configuration!$C$39="No","",IFERROR(IF(AND(N(BS91)&gt;=2,N(BF91)&gt;=2),TRUE(),FALSE()),FALSE()))</f>
        <v>0</v>
      </c>
      <c r="DA91" s="50" t="b">
        <f aca="false">IF(Configuration!$C$40="No","",IFERROR(IF(OR(N(BG91)&lt;=Configuration!$C$56,N(AY91)&lt;Configuration!$C$57,N(BH91)&lt;=Configuration!$C$58),TRUE(),FALSE()),FALSE()))</f>
        <v>1</v>
      </c>
      <c r="DB91" s="50" t="b">
        <f aca="false">IF(Configuration!$C$41="No","",IFERROR(IF(AND(N(AY91)&gt;=Configuration!$C$54,N(AY91)&lt;=Configuration!$C$55),TRUE(),FALSE()),FALSE()))</f>
        <v>0</v>
      </c>
      <c r="DC91" s="50" t="b">
        <f aca="false">IF(Configuration!$C$42="No","",IFERROR(IF(AND(AG91&lt;&gt;"",AJ91&lt;&gt;""),TRUE(),FALSE()),FALSE()))</f>
        <v>0</v>
      </c>
      <c r="DD91" s="51" t="n">
        <f aca="false">COUNTIF(BW91:DC91,TRUE())</f>
        <v>2</v>
      </c>
    </row>
    <row r="92" customFormat="false" ht="15" hidden="false" customHeight="true" outlineLevel="0" collapsed="false">
      <c r="A92" s="18" t="n">
        <v>53</v>
      </c>
      <c r="B92" s="44"/>
      <c r="C92" s="44"/>
      <c r="D92" s="44"/>
      <c r="E92" s="44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6" t="str">
        <f aca="false">IFERROR(IF(F92&lt;&gt;"",F92,""),"")</f>
        <v/>
      </c>
      <c r="AF92" s="46" t="str">
        <f aca="false">IFERROR(IF(G92&lt;&gt;"",G92,""),"")</f>
        <v/>
      </c>
      <c r="AG92" s="46" t="str">
        <f aca="false">IFERROR(IF(AA92&lt;&gt;"",AA92,IF(R92&lt;&gt;"",R92,"")),"")</f>
        <v/>
      </c>
      <c r="AH92" s="46" t="str">
        <f aca="false">IFERROR(IF(AB92&lt;&gt;"",AB92,IF(S92&lt;&gt;"",S92,"")),"")</f>
        <v/>
      </c>
      <c r="AI92" s="47"/>
      <c r="AJ92" s="47"/>
      <c r="AK92" s="47"/>
      <c r="AL92" s="47"/>
      <c r="AM92" s="47"/>
      <c r="AN92" s="47"/>
      <c r="AO92" s="47"/>
      <c r="AP92" s="47"/>
      <c r="AQ92" s="46" t="str">
        <f aca="false">IFERROR(IF(Y92&lt;&gt;"",VALUE(Y92),""),"")</f>
        <v/>
      </c>
      <c r="AR92" s="47"/>
      <c r="AS92" s="47"/>
      <c r="AT92" s="47"/>
      <c r="AU92" s="47"/>
      <c r="AV92" s="46" t="str">
        <f aca="false">IFERROR(IF(T92&lt;&gt;"",VALUE(T92),""),"")</f>
        <v/>
      </c>
      <c r="AW92" s="46" t="str">
        <f aca="false">IFERROR(IF(N92="","",IF(OR(ISNUMBER(SEARCH("grant",N92)),ISNUMBER(SEARCH("B",AC92))),"Granted",IF(OR(ISNUMBER(SEARCH("pend",N92)),ISNUMBER(SEARCH("A",AC92))),"Pending",IF(ISNUMBER(SEARCH("expir",N92)),"Expired",N92)))),"")</f>
        <v/>
      </c>
      <c r="AX92" s="47"/>
      <c r="AY92" s="46" t="str">
        <f aca="true">IFERROR(IF(M92&lt;&gt;"",ROUND(VALUE(M92),1),IF(L92&lt;&gt;"",ROUND(MAX(0,(DATEVALUE(TEXT(L92,"YYYY-MM-DD"))-TODAY())/365.25),1),"")),"")</f>
        <v/>
      </c>
      <c r="AZ92" s="46" t="str">
        <f aca="false">IFERROR(IF(O92&lt;&gt;"",O92,""),"")</f>
        <v/>
      </c>
      <c r="BA92" s="46" t="str">
        <f aca="false">IFERROR(IF(U92&lt;&gt;"",SUBSTITUTE(SUBSTITUTE(U92,"; ",", "),";",","),""),"")</f>
        <v/>
      </c>
      <c r="BB92" s="47"/>
      <c r="BC92" s="47"/>
      <c r="BD92" s="47"/>
      <c r="BE92" s="47"/>
      <c r="BF92" s="47"/>
      <c r="BG92" s="47"/>
      <c r="BH92" s="47"/>
      <c r="BI92" s="47"/>
      <c r="BJ92" s="47"/>
      <c r="BK92" s="46" t="str">
        <f aca="false">IFERROR(IF(W92&lt;&gt;"",VALUE(W92),""),"")</f>
        <v/>
      </c>
      <c r="BL92" s="46" t="str">
        <f aca="false">IFERROR(IF(X92&lt;&gt;"",VALUE(X92),""),"")</f>
        <v/>
      </c>
      <c r="BM92" s="46" t="str">
        <f aca="false">IFERROR(IF(AD92="","None",IF(ISNUMBER(SEARCH("surv",AD92)),"Survived",IF(ISNUMBER(SEARCH("pend",AD92)),"Pending",IF(ISNUMBER(SEARCH("yes",AD92)),"Pending","None")))),"None")</f>
        <v>None</v>
      </c>
      <c r="BN92" s="47"/>
      <c r="BO92" s="47"/>
      <c r="BP92" s="47"/>
      <c r="BQ92" s="47"/>
      <c r="BR92" s="47"/>
      <c r="BS92" s="47"/>
      <c r="BT92" s="47"/>
      <c r="BU92" s="48" t="n">
        <f aca="false">IFERROR(COUNTA(AE92:BT92)/42,0)</f>
        <v>0.30952380952381</v>
      </c>
      <c r="BV92" s="49"/>
      <c r="BW92" s="50" t="b">
        <f aca="false">IF(Configuration!$C$10="No","",IFERROR(IF(AG92&lt;&gt;"",TRUE(),FALSE()),FALSE()))</f>
        <v>0</v>
      </c>
      <c r="BX92" s="50" t="b">
        <f aca="false">IF(Configuration!$C$11="No","",IFERROR(IF(AND(N(AL92)&gt;=Configuration!$C$44,AM92&lt;&gt;""),TRUE(),FALSE()),FALSE()))</f>
        <v>0</v>
      </c>
      <c r="BY92" s="50" t="b">
        <f aca="false">IF(Configuration!$C$12="No","",IFERROR(IF(AJ92&lt;&gt;"",TRUE(),FALSE()),FALSE()))</f>
        <v>0</v>
      </c>
      <c r="BZ92" s="50" t="b">
        <f aca="false">IF(Configuration!$C$13="No","",IFERROR(IF(AI92&lt;&gt;"",TRUE(),FALSE()),FALSE()))</f>
        <v>0</v>
      </c>
      <c r="CA92" s="50" t="b">
        <f aca="false">IF(Configuration!$C$14="No","",IFERROR(IF(AK92&lt;&gt;"",TRUE(),FALSE()),FALSE()))</f>
        <v>0</v>
      </c>
      <c r="CB92" s="50" t="b">
        <f aca="false">IF(Configuration!$C$15="No","",IFERROR(IF(AND(OR(ISNUMBER(SEARCH("process",AG92)),ISNUMBER(SEARCH("fab",AG92)),ISNUMBER(SEARCH("manufac",AG92))),AO92="Method"),TRUE(),FALSE()),FALSE()))</f>
        <v>0</v>
      </c>
      <c r="CC92" s="50" t="b">
        <f aca="false">IF(Configuration!$C$16="No","",IFERROR(IF(AND(OR(ISNUMBER(SEARCH("material",AG92)),ISNUMBER(SEARCH("chem",AG92)),ISNUMBER(SEARCH("battery",AG92)),ISNUMBER(SEARCH("electrolyte",AG92)),ISNUMBER(SEARCH("polymer",AG92))),OR(AO92="Apparatus",AO92="Method")),TRUE(),FALSE()),FALSE()))</f>
        <v>0</v>
      </c>
      <c r="CD92" s="50" t="b">
        <f aca="false">IF(Configuration!$C$17="No","",IFERROR(IF(AND(OR(AI92="App",AI92="Middleware",AI92="Cloud"),OR(AO92="Method",AO92="CRM")),TRUE(),FALSE()),FALSE()))</f>
        <v>0</v>
      </c>
      <c r="CE92" s="50" t="b">
        <f aca="false">IF(Configuration!$C$18="No","",IFERROR(IF(N(AN92)&gt;=Configuration!$C$45,TRUE(),FALSE()),FALSE()))</f>
        <v>0</v>
      </c>
      <c r="CF92" s="50" t="b">
        <f aca="false">IF(Configuration!$C$19="No","",IFERROR(IF(BE92&lt;&gt;"",TRUE(),FALSE()),FALSE()))</f>
        <v>0</v>
      </c>
      <c r="CG92" s="50" t="b">
        <f aca="false">IF(Configuration!$C$20="No","",IFERROR(IF(AO92&lt;&gt;"",TRUE(),FALSE()),FALSE()))</f>
        <v>0</v>
      </c>
      <c r="CH92" s="50" t="b">
        <f aca="false">IF(Configuration!$C$21="No","",IFERROR(IF(OR(N(AS92)&gt;=Configuration!$C$46,N(AT92)&gt;=Configuration!$C$47),TRUE(),FALSE()),FALSE()))</f>
        <v>0</v>
      </c>
      <c r="CI92" s="50" t="b">
        <f aca="false">IF(Configuration!$C$22="No","",IFERROR(IF(BB92="Yes",TRUE(),FALSE()),FALSE()))</f>
        <v>0</v>
      </c>
      <c r="CJ92" s="50" t="b">
        <f aca="false">IF(Configuration!$C$23="No","",IFERROR(IF(N(AV92)&gt;=Configuration!$C$48,TRUE(),FALSE()),FALSE()))</f>
        <v>0</v>
      </c>
      <c r="CK92" s="50" t="b">
        <f aca="false">IF(Configuration!$C$24="No","",IFERROR(IF(N(AY92)&gt;0,TRUE(),FALSE()),FALSE()))</f>
        <v>0</v>
      </c>
      <c r="CL92" s="50" t="b">
        <f aca="false">IF(Configuration!$C$25="No","",IFERROR(IF(OR(N(AP92)=3,N(AP92)&lt;=1),TRUE(),FALSE()),FALSE()))</f>
        <v>1</v>
      </c>
      <c r="CM92" s="50" t="b">
        <f aca="false">IF(Configuration!$C$26="No","",IFERROR(IF(N(BF92)&gt;=Configuration!$C$49,TRUE(),FALSE()),FALSE()))</f>
        <v>0</v>
      </c>
      <c r="CN92" s="50" t="b">
        <f aca="false">IF(Configuration!$C$27="No","",IFERROR(IF(BD92&lt;&gt;"",TRUE(),FALSE()),FALSE()))</f>
        <v>0</v>
      </c>
      <c r="CO92" s="50" t="b">
        <f aca="false">IF(Configuration!$C$28="No","",IFERROR(IF(N(AU92)&gt;=Configuration!$C$50,TRUE(),FALSE()),FALSE()))</f>
        <v>0</v>
      </c>
      <c r="CP92" s="50" t="b">
        <f aca="false">IF(Configuration!$C$29="No","",IFERROR(IF(AND(N(AR92)&gt;=Configuration!$C$51,AG92&lt;&gt;""),TRUE(),FALSE()),FALSE()))</f>
        <v>0</v>
      </c>
      <c r="CQ92" s="50" t="b">
        <f aca="false">IF(Configuration!$C$30="No","",IFERROR(IF(OR(AW92="Pending",AX92="Yes"),TRUE(),FALSE()),FALSE()))</f>
        <v>0</v>
      </c>
      <c r="CR92" s="50" t="b">
        <f aca="false">IF(Configuration!$C$31="No","",IFERROR(IF(AND(N(BG92)&gt;=Configuration!$C$52,N(AP92)&gt;=1),TRUE(),FALSE()),FALSE()))</f>
        <v>0</v>
      </c>
      <c r="CS92" s="50" t="b">
        <f aca="false">IF(Configuration!$C$32="No","",IFERROR(IF(AND(N(AR92)&gt;=1,OR(AG92&lt;&gt;"",AM92&lt;&gt;"")),TRUE(),FALSE()),FALSE()))</f>
        <v>0</v>
      </c>
      <c r="CT92" s="50" t="b">
        <f aca="false">IF(Configuration!$C$33="No","",IFERROR(IF(AG92&lt;&gt;"",TRUE(),FALSE()),FALSE()))</f>
        <v>0</v>
      </c>
      <c r="CU92" s="50" t="b">
        <f aca="false">IF(Configuration!$C$34="No","",IFERROR(IF(AX92="Yes",TRUE(),FALSE()),FALSE()))</f>
        <v>0</v>
      </c>
      <c r="CV92" s="50" t="b">
        <f aca="false">IF(Configuration!$C$35="No","",IFERROR(IF(OR(BO92="Partial",BO92="Full"),TRUE(),FALSE()),FALSE()))</f>
        <v>0</v>
      </c>
      <c r="CW92" s="50" t="b">
        <f aca="false">IF(Configuration!$C$36="No","",IFERROR(IF(BM92="Survived",TRUE(),FALSE()),FALSE()))</f>
        <v>0</v>
      </c>
      <c r="CX92" s="50" t="b">
        <f aca="false">IF(Configuration!$C$37="No","",IFERROR(IF(AND(BN92="Clean",BP92="None"),TRUE(),FALSE()),FALSE()))</f>
        <v>0</v>
      </c>
      <c r="CY92" s="50" t="b">
        <f aca="false">IF(Configuration!$C$38="No","",IFERROR(IF(N(BK92)&gt;=Configuration!$C$53,TRUE(),FALSE()),FALSE()))</f>
        <v>0</v>
      </c>
      <c r="CZ92" s="50" t="b">
        <f aca="false">IF(Configuration!$C$39="No","",IFERROR(IF(AND(N(BS92)&gt;=2,N(BF92)&gt;=2),TRUE(),FALSE()),FALSE()))</f>
        <v>0</v>
      </c>
      <c r="DA92" s="50" t="b">
        <f aca="false">IF(Configuration!$C$40="No","",IFERROR(IF(OR(N(BG92)&lt;=Configuration!$C$56,N(AY92)&lt;Configuration!$C$57,N(BH92)&lt;=Configuration!$C$58),TRUE(),FALSE()),FALSE()))</f>
        <v>1</v>
      </c>
      <c r="DB92" s="50" t="b">
        <f aca="false">IF(Configuration!$C$41="No","",IFERROR(IF(AND(N(AY92)&gt;=Configuration!$C$54,N(AY92)&lt;=Configuration!$C$55),TRUE(),FALSE()),FALSE()))</f>
        <v>0</v>
      </c>
      <c r="DC92" s="50" t="b">
        <f aca="false">IF(Configuration!$C$42="No","",IFERROR(IF(AND(AG92&lt;&gt;"",AJ92&lt;&gt;""),TRUE(),FALSE()),FALSE()))</f>
        <v>0</v>
      </c>
      <c r="DD92" s="51" t="n">
        <f aca="false">COUNTIF(BW92:DC92,TRUE())</f>
        <v>2</v>
      </c>
    </row>
    <row r="93" customFormat="false" ht="15" hidden="false" customHeight="true" outlineLevel="0" collapsed="false">
      <c r="A93" s="18" t="n">
        <v>54</v>
      </c>
      <c r="B93" s="44"/>
      <c r="C93" s="44"/>
      <c r="D93" s="44"/>
      <c r="E93" s="44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6" t="str">
        <f aca="false">IFERROR(IF(F93&lt;&gt;"",F93,""),"")</f>
        <v/>
      </c>
      <c r="AF93" s="46" t="str">
        <f aca="false">IFERROR(IF(G93&lt;&gt;"",G93,""),"")</f>
        <v/>
      </c>
      <c r="AG93" s="46" t="str">
        <f aca="false">IFERROR(IF(AA93&lt;&gt;"",AA93,IF(R93&lt;&gt;"",R93,"")),"")</f>
        <v/>
      </c>
      <c r="AH93" s="46" t="str">
        <f aca="false">IFERROR(IF(AB93&lt;&gt;"",AB93,IF(S93&lt;&gt;"",S93,"")),"")</f>
        <v/>
      </c>
      <c r="AI93" s="47"/>
      <c r="AJ93" s="47"/>
      <c r="AK93" s="47"/>
      <c r="AL93" s="47"/>
      <c r="AM93" s="47"/>
      <c r="AN93" s="47"/>
      <c r="AO93" s="47"/>
      <c r="AP93" s="47"/>
      <c r="AQ93" s="46" t="str">
        <f aca="false">IFERROR(IF(Y93&lt;&gt;"",VALUE(Y93),""),"")</f>
        <v/>
      </c>
      <c r="AR93" s="47"/>
      <c r="AS93" s="47"/>
      <c r="AT93" s="47"/>
      <c r="AU93" s="47"/>
      <c r="AV93" s="46" t="str">
        <f aca="false">IFERROR(IF(T93&lt;&gt;"",VALUE(T93),""),"")</f>
        <v/>
      </c>
      <c r="AW93" s="46" t="str">
        <f aca="false">IFERROR(IF(N93="","",IF(OR(ISNUMBER(SEARCH("grant",N93)),ISNUMBER(SEARCH("B",AC93))),"Granted",IF(OR(ISNUMBER(SEARCH("pend",N93)),ISNUMBER(SEARCH("A",AC93))),"Pending",IF(ISNUMBER(SEARCH("expir",N93)),"Expired",N93)))),"")</f>
        <v/>
      </c>
      <c r="AX93" s="47"/>
      <c r="AY93" s="46" t="str">
        <f aca="true">IFERROR(IF(M93&lt;&gt;"",ROUND(VALUE(M93),1),IF(L93&lt;&gt;"",ROUND(MAX(0,(DATEVALUE(TEXT(L93,"YYYY-MM-DD"))-TODAY())/365.25),1),"")),"")</f>
        <v/>
      </c>
      <c r="AZ93" s="46" t="str">
        <f aca="false">IFERROR(IF(O93&lt;&gt;"",O93,""),"")</f>
        <v/>
      </c>
      <c r="BA93" s="46" t="str">
        <f aca="false">IFERROR(IF(U93&lt;&gt;"",SUBSTITUTE(SUBSTITUTE(U93,"; ",", "),";",","),""),"")</f>
        <v/>
      </c>
      <c r="BB93" s="47"/>
      <c r="BC93" s="47"/>
      <c r="BD93" s="47"/>
      <c r="BE93" s="47"/>
      <c r="BF93" s="47"/>
      <c r="BG93" s="47"/>
      <c r="BH93" s="47"/>
      <c r="BI93" s="47"/>
      <c r="BJ93" s="47"/>
      <c r="BK93" s="46" t="str">
        <f aca="false">IFERROR(IF(W93&lt;&gt;"",VALUE(W93),""),"")</f>
        <v/>
      </c>
      <c r="BL93" s="46" t="str">
        <f aca="false">IFERROR(IF(X93&lt;&gt;"",VALUE(X93),""),"")</f>
        <v/>
      </c>
      <c r="BM93" s="46" t="str">
        <f aca="false">IFERROR(IF(AD93="","None",IF(ISNUMBER(SEARCH("surv",AD93)),"Survived",IF(ISNUMBER(SEARCH("pend",AD93)),"Pending",IF(ISNUMBER(SEARCH("yes",AD93)),"Pending","None")))),"None")</f>
        <v>None</v>
      </c>
      <c r="BN93" s="47"/>
      <c r="BO93" s="47"/>
      <c r="BP93" s="47"/>
      <c r="BQ93" s="47"/>
      <c r="BR93" s="47"/>
      <c r="BS93" s="47"/>
      <c r="BT93" s="47"/>
      <c r="BU93" s="48" t="n">
        <f aca="false">IFERROR(COUNTA(AE93:BT93)/42,0)</f>
        <v>0.30952380952381</v>
      </c>
      <c r="BV93" s="49"/>
      <c r="BW93" s="50" t="b">
        <f aca="false">IF(Configuration!$C$10="No","",IFERROR(IF(AG93&lt;&gt;"",TRUE(),FALSE()),FALSE()))</f>
        <v>0</v>
      </c>
      <c r="BX93" s="50" t="b">
        <f aca="false">IF(Configuration!$C$11="No","",IFERROR(IF(AND(N(AL93)&gt;=Configuration!$C$44,AM93&lt;&gt;""),TRUE(),FALSE()),FALSE()))</f>
        <v>0</v>
      </c>
      <c r="BY93" s="50" t="b">
        <f aca="false">IF(Configuration!$C$12="No","",IFERROR(IF(AJ93&lt;&gt;"",TRUE(),FALSE()),FALSE()))</f>
        <v>0</v>
      </c>
      <c r="BZ93" s="50" t="b">
        <f aca="false">IF(Configuration!$C$13="No","",IFERROR(IF(AI93&lt;&gt;"",TRUE(),FALSE()),FALSE()))</f>
        <v>0</v>
      </c>
      <c r="CA93" s="50" t="b">
        <f aca="false">IF(Configuration!$C$14="No","",IFERROR(IF(AK93&lt;&gt;"",TRUE(),FALSE()),FALSE()))</f>
        <v>0</v>
      </c>
      <c r="CB93" s="50" t="b">
        <f aca="false">IF(Configuration!$C$15="No","",IFERROR(IF(AND(OR(ISNUMBER(SEARCH("process",AG93)),ISNUMBER(SEARCH("fab",AG93)),ISNUMBER(SEARCH("manufac",AG93))),AO93="Method"),TRUE(),FALSE()),FALSE()))</f>
        <v>0</v>
      </c>
      <c r="CC93" s="50" t="b">
        <f aca="false">IF(Configuration!$C$16="No","",IFERROR(IF(AND(OR(ISNUMBER(SEARCH("material",AG93)),ISNUMBER(SEARCH("chem",AG93)),ISNUMBER(SEARCH("battery",AG93)),ISNUMBER(SEARCH("electrolyte",AG93)),ISNUMBER(SEARCH("polymer",AG93))),OR(AO93="Apparatus",AO93="Method")),TRUE(),FALSE()),FALSE()))</f>
        <v>0</v>
      </c>
      <c r="CD93" s="50" t="b">
        <f aca="false">IF(Configuration!$C$17="No","",IFERROR(IF(AND(OR(AI93="App",AI93="Middleware",AI93="Cloud"),OR(AO93="Method",AO93="CRM")),TRUE(),FALSE()),FALSE()))</f>
        <v>0</v>
      </c>
      <c r="CE93" s="50" t="b">
        <f aca="false">IF(Configuration!$C$18="No","",IFERROR(IF(N(AN93)&gt;=Configuration!$C$45,TRUE(),FALSE()),FALSE()))</f>
        <v>0</v>
      </c>
      <c r="CF93" s="50" t="b">
        <f aca="false">IF(Configuration!$C$19="No","",IFERROR(IF(BE93&lt;&gt;"",TRUE(),FALSE()),FALSE()))</f>
        <v>0</v>
      </c>
      <c r="CG93" s="50" t="b">
        <f aca="false">IF(Configuration!$C$20="No","",IFERROR(IF(AO93&lt;&gt;"",TRUE(),FALSE()),FALSE()))</f>
        <v>0</v>
      </c>
      <c r="CH93" s="50" t="b">
        <f aca="false">IF(Configuration!$C$21="No","",IFERROR(IF(OR(N(AS93)&gt;=Configuration!$C$46,N(AT93)&gt;=Configuration!$C$47),TRUE(),FALSE()),FALSE()))</f>
        <v>0</v>
      </c>
      <c r="CI93" s="50" t="b">
        <f aca="false">IF(Configuration!$C$22="No","",IFERROR(IF(BB93="Yes",TRUE(),FALSE()),FALSE()))</f>
        <v>0</v>
      </c>
      <c r="CJ93" s="50" t="b">
        <f aca="false">IF(Configuration!$C$23="No","",IFERROR(IF(N(AV93)&gt;=Configuration!$C$48,TRUE(),FALSE()),FALSE()))</f>
        <v>0</v>
      </c>
      <c r="CK93" s="50" t="b">
        <f aca="false">IF(Configuration!$C$24="No","",IFERROR(IF(N(AY93)&gt;0,TRUE(),FALSE()),FALSE()))</f>
        <v>0</v>
      </c>
      <c r="CL93" s="50" t="b">
        <f aca="false">IF(Configuration!$C$25="No","",IFERROR(IF(OR(N(AP93)=3,N(AP93)&lt;=1),TRUE(),FALSE()),FALSE()))</f>
        <v>1</v>
      </c>
      <c r="CM93" s="50" t="b">
        <f aca="false">IF(Configuration!$C$26="No","",IFERROR(IF(N(BF93)&gt;=Configuration!$C$49,TRUE(),FALSE()),FALSE()))</f>
        <v>0</v>
      </c>
      <c r="CN93" s="50" t="b">
        <f aca="false">IF(Configuration!$C$27="No","",IFERROR(IF(BD93&lt;&gt;"",TRUE(),FALSE()),FALSE()))</f>
        <v>0</v>
      </c>
      <c r="CO93" s="50" t="b">
        <f aca="false">IF(Configuration!$C$28="No","",IFERROR(IF(N(AU93)&gt;=Configuration!$C$50,TRUE(),FALSE()),FALSE()))</f>
        <v>0</v>
      </c>
      <c r="CP93" s="50" t="b">
        <f aca="false">IF(Configuration!$C$29="No","",IFERROR(IF(AND(N(AR93)&gt;=Configuration!$C$51,AG93&lt;&gt;""),TRUE(),FALSE()),FALSE()))</f>
        <v>0</v>
      </c>
      <c r="CQ93" s="50" t="b">
        <f aca="false">IF(Configuration!$C$30="No","",IFERROR(IF(OR(AW93="Pending",AX93="Yes"),TRUE(),FALSE()),FALSE()))</f>
        <v>0</v>
      </c>
      <c r="CR93" s="50" t="b">
        <f aca="false">IF(Configuration!$C$31="No","",IFERROR(IF(AND(N(BG93)&gt;=Configuration!$C$52,N(AP93)&gt;=1),TRUE(),FALSE()),FALSE()))</f>
        <v>0</v>
      </c>
      <c r="CS93" s="50" t="b">
        <f aca="false">IF(Configuration!$C$32="No","",IFERROR(IF(AND(N(AR93)&gt;=1,OR(AG93&lt;&gt;"",AM93&lt;&gt;"")),TRUE(),FALSE()),FALSE()))</f>
        <v>0</v>
      </c>
      <c r="CT93" s="50" t="b">
        <f aca="false">IF(Configuration!$C$33="No","",IFERROR(IF(AG93&lt;&gt;"",TRUE(),FALSE()),FALSE()))</f>
        <v>0</v>
      </c>
      <c r="CU93" s="50" t="b">
        <f aca="false">IF(Configuration!$C$34="No","",IFERROR(IF(AX93="Yes",TRUE(),FALSE()),FALSE()))</f>
        <v>0</v>
      </c>
      <c r="CV93" s="50" t="b">
        <f aca="false">IF(Configuration!$C$35="No","",IFERROR(IF(OR(BO93="Partial",BO93="Full"),TRUE(),FALSE()),FALSE()))</f>
        <v>0</v>
      </c>
      <c r="CW93" s="50" t="b">
        <f aca="false">IF(Configuration!$C$36="No","",IFERROR(IF(BM93="Survived",TRUE(),FALSE()),FALSE()))</f>
        <v>0</v>
      </c>
      <c r="CX93" s="50" t="b">
        <f aca="false">IF(Configuration!$C$37="No","",IFERROR(IF(AND(BN93="Clean",BP93="None"),TRUE(),FALSE()),FALSE()))</f>
        <v>0</v>
      </c>
      <c r="CY93" s="50" t="b">
        <f aca="false">IF(Configuration!$C$38="No","",IFERROR(IF(N(BK93)&gt;=Configuration!$C$53,TRUE(),FALSE()),FALSE()))</f>
        <v>0</v>
      </c>
      <c r="CZ93" s="50" t="b">
        <f aca="false">IF(Configuration!$C$39="No","",IFERROR(IF(AND(N(BS93)&gt;=2,N(BF93)&gt;=2),TRUE(),FALSE()),FALSE()))</f>
        <v>0</v>
      </c>
      <c r="DA93" s="50" t="b">
        <f aca="false">IF(Configuration!$C$40="No","",IFERROR(IF(OR(N(BG93)&lt;=Configuration!$C$56,N(AY93)&lt;Configuration!$C$57,N(BH93)&lt;=Configuration!$C$58),TRUE(),FALSE()),FALSE()))</f>
        <v>1</v>
      </c>
      <c r="DB93" s="50" t="b">
        <f aca="false">IF(Configuration!$C$41="No","",IFERROR(IF(AND(N(AY93)&gt;=Configuration!$C$54,N(AY93)&lt;=Configuration!$C$55),TRUE(),FALSE()),FALSE()))</f>
        <v>0</v>
      </c>
      <c r="DC93" s="50" t="b">
        <f aca="false">IF(Configuration!$C$42="No","",IFERROR(IF(AND(AG93&lt;&gt;"",AJ93&lt;&gt;""),TRUE(),FALSE()),FALSE()))</f>
        <v>0</v>
      </c>
      <c r="DD93" s="51" t="n">
        <f aca="false">COUNTIF(BW93:DC93,TRUE())</f>
        <v>2</v>
      </c>
    </row>
    <row r="94" customFormat="false" ht="15" hidden="false" customHeight="true" outlineLevel="0" collapsed="false">
      <c r="A94" s="18" t="n">
        <v>55</v>
      </c>
      <c r="B94" s="44"/>
      <c r="C94" s="44"/>
      <c r="D94" s="44"/>
      <c r="E94" s="44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6" t="str">
        <f aca="false">IFERROR(IF(F94&lt;&gt;"",F94,""),"")</f>
        <v/>
      </c>
      <c r="AF94" s="46" t="str">
        <f aca="false">IFERROR(IF(G94&lt;&gt;"",G94,""),"")</f>
        <v/>
      </c>
      <c r="AG94" s="46" t="str">
        <f aca="false">IFERROR(IF(AA94&lt;&gt;"",AA94,IF(R94&lt;&gt;"",R94,"")),"")</f>
        <v/>
      </c>
      <c r="AH94" s="46" t="str">
        <f aca="false">IFERROR(IF(AB94&lt;&gt;"",AB94,IF(S94&lt;&gt;"",S94,"")),"")</f>
        <v/>
      </c>
      <c r="AI94" s="47"/>
      <c r="AJ94" s="47"/>
      <c r="AK94" s="47"/>
      <c r="AL94" s="47"/>
      <c r="AM94" s="47"/>
      <c r="AN94" s="47"/>
      <c r="AO94" s="47"/>
      <c r="AP94" s="47"/>
      <c r="AQ94" s="46" t="str">
        <f aca="false">IFERROR(IF(Y94&lt;&gt;"",VALUE(Y94),""),"")</f>
        <v/>
      </c>
      <c r="AR94" s="47"/>
      <c r="AS94" s="47"/>
      <c r="AT94" s="47"/>
      <c r="AU94" s="47"/>
      <c r="AV94" s="46" t="str">
        <f aca="false">IFERROR(IF(T94&lt;&gt;"",VALUE(T94),""),"")</f>
        <v/>
      </c>
      <c r="AW94" s="46" t="str">
        <f aca="false">IFERROR(IF(N94="","",IF(OR(ISNUMBER(SEARCH("grant",N94)),ISNUMBER(SEARCH("B",AC94))),"Granted",IF(OR(ISNUMBER(SEARCH("pend",N94)),ISNUMBER(SEARCH("A",AC94))),"Pending",IF(ISNUMBER(SEARCH("expir",N94)),"Expired",N94)))),"")</f>
        <v/>
      </c>
      <c r="AX94" s="47"/>
      <c r="AY94" s="46" t="str">
        <f aca="true">IFERROR(IF(M94&lt;&gt;"",ROUND(VALUE(M94),1),IF(L94&lt;&gt;"",ROUND(MAX(0,(DATEVALUE(TEXT(L94,"YYYY-MM-DD"))-TODAY())/365.25),1),"")),"")</f>
        <v/>
      </c>
      <c r="AZ94" s="46" t="str">
        <f aca="false">IFERROR(IF(O94&lt;&gt;"",O94,""),"")</f>
        <v/>
      </c>
      <c r="BA94" s="46" t="str">
        <f aca="false">IFERROR(IF(U94&lt;&gt;"",SUBSTITUTE(SUBSTITUTE(U94,"; ",", "),";",","),""),"")</f>
        <v/>
      </c>
      <c r="BB94" s="47"/>
      <c r="BC94" s="47"/>
      <c r="BD94" s="47"/>
      <c r="BE94" s="47"/>
      <c r="BF94" s="47"/>
      <c r="BG94" s="47"/>
      <c r="BH94" s="47"/>
      <c r="BI94" s="47"/>
      <c r="BJ94" s="47"/>
      <c r="BK94" s="46" t="str">
        <f aca="false">IFERROR(IF(W94&lt;&gt;"",VALUE(W94),""),"")</f>
        <v/>
      </c>
      <c r="BL94" s="46" t="str">
        <f aca="false">IFERROR(IF(X94&lt;&gt;"",VALUE(X94),""),"")</f>
        <v/>
      </c>
      <c r="BM94" s="46" t="str">
        <f aca="false">IFERROR(IF(AD94="","None",IF(ISNUMBER(SEARCH("surv",AD94)),"Survived",IF(ISNUMBER(SEARCH("pend",AD94)),"Pending",IF(ISNUMBER(SEARCH("yes",AD94)),"Pending","None")))),"None")</f>
        <v>None</v>
      </c>
      <c r="BN94" s="47"/>
      <c r="BO94" s="47"/>
      <c r="BP94" s="47"/>
      <c r="BQ94" s="47"/>
      <c r="BR94" s="47"/>
      <c r="BS94" s="47"/>
      <c r="BT94" s="47"/>
      <c r="BU94" s="48" t="n">
        <f aca="false">IFERROR(COUNTA(AE94:BT94)/42,0)</f>
        <v>0.30952380952381</v>
      </c>
      <c r="BV94" s="49"/>
      <c r="BW94" s="50" t="b">
        <f aca="false">IF(Configuration!$C$10="No","",IFERROR(IF(AG94&lt;&gt;"",TRUE(),FALSE()),FALSE()))</f>
        <v>0</v>
      </c>
      <c r="BX94" s="50" t="b">
        <f aca="false">IF(Configuration!$C$11="No","",IFERROR(IF(AND(N(AL94)&gt;=Configuration!$C$44,AM94&lt;&gt;""),TRUE(),FALSE()),FALSE()))</f>
        <v>0</v>
      </c>
      <c r="BY94" s="50" t="b">
        <f aca="false">IF(Configuration!$C$12="No","",IFERROR(IF(AJ94&lt;&gt;"",TRUE(),FALSE()),FALSE()))</f>
        <v>0</v>
      </c>
      <c r="BZ94" s="50" t="b">
        <f aca="false">IF(Configuration!$C$13="No","",IFERROR(IF(AI94&lt;&gt;"",TRUE(),FALSE()),FALSE()))</f>
        <v>0</v>
      </c>
      <c r="CA94" s="50" t="b">
        <f aca="false">IF(Configuration!$C$14="No","",IFERROR(IF(AK94&lt;&gt;"",TRUE(),FALSE()),FALSE()))</f>
        <v>0</v>
      </c>
      <c r="CB94" s="50" t="b">
        <f aca="false">IF(Configuration!$C$15="No","",IFERROR(IF(AND(OR(ISNUMBER(SEARCH("process",AG94)),ISNUMBER(SEARCH("fab",AG94)),ISNUMBER(SEARCH("manufac",AG94))),AO94="Method"),TRUE(),FALSE()),FALSE()))</f>
        <v>0</v>
      </c>
      <c r="CC94" s="50" t="b">
        <f aca="false">IF(Configuration!$C$16="No","",IFERROR(IF(AND(OR(ISNUMBER(SEARCH("material",AG94)),ISNUMBER(SEARCH("chem",AG94)),ISNUMBER(SEARCH("battery",AG94)),ISNUMBER(SEARCH("electrolyte",AG94)),ISNUMBER(SEARCH("polymer",AG94))),OR(AO94="Apparatus",AO94="Method")),TRUE(),FALSE()),FALSE()))</f>
        <v>0</v>
      </c>
      <c r="CD94" s="50" t="b">
        <f aca="false">IF(Configuration!$C$17="No","",IFERROR(IF(AND(OR(AI94="App",AI94="Middleware",AI94="Cloud"),OR(AO94="Method",AO94="CRM")),TRUE(),FALSE()),FALSE()))</f>
        <v>0</v>
      </c>
      <c r="CE94" s="50" t="b">
        <f aca="false">IF(Configuration!$C$18="No","",IFERROR(IF(N(AN94)&gt;=Configuration!$C$45,TRUE(),FALSE()),FALSE()))</f>
        <v>0</v>
      </c>
      <c r="CF94" s="50" t="b">
        <f aca="false">IF(Configuration!$C$19="No","",IFERROR(IF(BE94&lt;&gt;"",TRUE(),FALSE()),FALSE()))</f>
        <v>0</v>
      </c>
      <c r="CG94" s="50" t="b">
        <f aca="false">IF(Configuration!$C$20="No","",IFERROR(IF(AO94&lt;&gt;"",TRUE(),FALSE()),FALSE()))</f>
        <v>0</v>
      </c>
      <c r="CH94" s="50" t="b">
        <f aca="false">IF(Configuration!$C$21="No","",IFERROR(IF(OR(N(AS94)&gt;=Configuration!$C$46,N(AT94)&gt;=Configuration!$C$47),TRUE(),FALSE()),FALSE()))</f>
        <v>0</v>
      </c>
      <c r="CI94" s="50" t="b">
        <f aca="false">IF(Configuration!$C$22="No","",IFERROR(IF(BB94="Yes",TRUE(),FALSE()),FALSE()))</f>
        <v>0</v>
      </c>
      <c r="CJ94" s="50" t="b">
        <f aca="false">IF(Configuration!$C$23="No","",IFERROR(IF(N(AV94)&gt;=Configuration!$C$48,TRUE(),FALSE()),FALSE()))</f>
        <v>0</v>
      </c>
      <c r="CK94" s="50" t="b">
        <f aca="false">IF(Configuration!$C$24="No","",IFERROR(IF(N(AY94)&gt;0,TRUE(),FALSE()),FALSE()))</f>
        <v>0</v>
      </c>
      <c r="CL94" s="50" t="b">
        <f aca="false">IF(Configuration!$C$25="No","",IFERROR(IF(OR(N(AP94)=3,N(AP94)&lt;=1),TRUE(),FALSE()),FALSE()))</f>
        <v>1</v>
      </c>
      <c r="CM94" s="50" t="b">
        <f aca="false">IF(Configuration!$C$26="No","",IFERROR(IF(N(BF94)&gt;=Configuration!$C$49,TRUE(),FALSE()),FALSE()))</f>
        <v>0</v>
      </c>
      <c r="CN94" s="50" t="b">
        <f aca="false">IF(Configuration!$C$27="No","",IFERROR(IF(BD94&lt;&gt;"",TRUE(),FALSE()),FALSE()))</f>
        <v>0</v>
      </c>
      <c r="CO94" s="50" t="b">
        <f aca="false">IF(Configuration!$C$28="No","",IFERROR(IF(N(AU94)&gt;=Configuration!$C$50,TRUE(),FALSE()),FALSE()))</f>
        <v>0</v>
      </c>
      <c r="CP94" s="50" t="b">
        <f aca="false">IF(Configuration!$C$29="No","",IFERROR(IF(AND(N(AR94)&gt;=Configuration!$C$51,AG94&lt;&gt;""),TRUE(),FALSE()),FALSE()))</f>
        <v>0</v>
      </c>
      <c r="CQ94" s="50" t="b">
        <f aca="false">IF(Configuration!$C$30="No","",IFERROR(IF(OR(AW94="Pending",AX94="Yes"),TRUE(),FALSE()),FALSE()))</f>
        <v>0</v>
      </c>
      <c r="CR94" s="50" t="b">
        <f aca="false">IF(Configuration!$C$31="No","",IFERROR(IF(AND(N(BG94)&gt;=Configuration!$C$52,N(AP94)&gt;=1),TRUE(),FALSE()),FALSE()))</f>
        <v>0</v>
      </c>
      <c r="CS94" s="50" t="b">
        <f aca="false">IF(Configuration!$C$32="No","",IFERROR(IF(AND(N(AR94)&gt;=1,OR(AG94&lt;&gt;"",AM94&lt;&gt;"")),TRUE(),FALSE()),FALSE()))</f>
        <v>0</v>
      </c>
      <c r="CT94" s="50" t="b">
        <f aca="false">IF(Configuration!$C$33="No","",IFERROR(IF(AG94&lt;&gt;"",TRUE(),FALSE()),FALSE()))</f>
        <v>0</v>
      </c>
      <c r="CU94" s="50" t="b">
        <f aca="false">IF(Configuration!$C$34="No","",IFERROR(IF(AX94="Yes",TRUE(),FALSE()),FALSE()))</f>
        <v>0</v>
      </c>
      <c r="CV94" s="50" t="b">
        <f aca="false">IF(Configuration!$C$35="No","",IFERROR(IF(OR(BO94="Partial",BO94="Full"),TRUE(),FALSE()),FALSE()))</f>
        <v>0</v>
      </c>
      <c r="CW94" s="50" t="b">
        <f aca="false">IF(Configuration!$C$36="No","",IFERROR(IF(BM94="Survived",TRUE(),FALSE()),FALSE()))</f>
        <v>0</v>
      </c>
      <c r="CX94" s="50" t="b">
        <f aca="false">IF(Configuration!$C$37="No","",IFERROR(IF(AND(BN94="Clean",BP94="None"),TRUE(),FALSE()),FALSE()))</f>
        <v>0</v>
      </c>
      <c r="CY94" s="50" t="b">
        <f aca="false">IF(Configuration!$C$38="No","",IFERROR(IF(N(BK94)&gt;=Configuration!$C$53,TRUE(),FALSE()),FALSE()))</f>
        <v>0</v>
      </c>
      <c r="CZ94" s="50" t="b">
        <f aca="false">IF(Configuration!$C$39="No","",IFERROR(IF(AND(N(BS94)&gt;=2,N(BF94)&gt;=2),TRUE(),FALSE()),FALSE()))</f>
        <v>0</v>
      </c>
      <c r="DA94" s="50" t="b">
        <f aca="false">IF(Configuration!$C$40="No","",IFERROR(IF(OR(N(BG94)&lt;=Configuration!$C$56,N(AY94)&lt;Configuration!$C$57,N(BH94)&lt;=Configuration!$C$58),TRUE(),FALSE()),FALSE()))</f>
        <v>1</v>
      </c>
      <c r="DB94" s="50" t="b">
        <f aca="false">IF(Configuration!$C$41="No","",IFERROR(IF(AND(N(AY94)&gt;=Configuration!$C$54,N(AY94)&lt;=Configuration!$C$55),TRUE(),FALSE()),FALSE()))</f>
        <v>0</v>
      </c>
      <c r="DC94" s="50" t="b">
        <f aca="false">IF(Configuration!$C$42="No","",IFERROR(IF(AND(AG94&lt;&gt;"",AJ94&lt;&gt;""),TRUE(),FALSE()),FALSE()))</f>
        <v>0</v>
      </c>
      <c r="DD94" s="51" t="n">
        <f aca="false">COUNTIF(BW94:DC94,TRUE())</f>
        <v>2</v>
      </c>
    </row>
    <row r="95" customFormat="false" ht="15" hidden="false" customHeight="true" outlineLevel="0" collapsed="false">
      <c r="A95" s="18" t="n">
        <v>56</v>
      </c>
      <c r="B95" s="44"/>
      <c r="C95" s="44"/>
      <c r="D95" s="44"/>
      <c r="E95" s="44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6" t="str">
        <f aca="false">IFERROR(IF(F95&lt;&gt;"",F95,""),"")</f>
        <v/>
      </c>
      <c r="AF95" s="46" t="str">
        <f aca="false">IFERROR(IF(G95&lt;&gt;"",G95,""),"")</f>
        <v/>
      </c>
      <c r="AG95" s="46" t="str">
        <f aca="false">IFERROR(IF(AA95&lt;&gt;"",AA95,IF(R95&lt;&gt;"",R95,"")),"")</f>
        <v/>
      </c>
      <c r="AH95" s="46" t="str">
        <f aca="false">IFERROR(IF(AB95&lt;&gt;"",AB95,IF(S95&lt;&gt;"",S95,"")),"")</f>
        <v/>
      </c>
      <c r="AI95" s="47"/>
      <c r="AJ95" s="47"/>
      <c r="AK95" s="47"/>
      <c r="AL95" s="47"/>
      <c r="AM95" s="47"/>
      <c r="AN95" s="47"/>
      <c r="AO95" s="47"/>
      <c r="AP95" s="47"/>
      <c r="AQ95" s="46" t="str">
        <f aca="false">IFERROR(IF(Y95&lt;&gt;"",VALUE(Y95),""),"")</f>
        <v/>
      </c>
      <c r="AR95" s="47"/>
      <c r="AS95" s="47"/>
      <c r="AT95" s="47"/>
      <c r="AU95" s="47"/>
      <c r="AV95" s="46" t="str">
        <f aca="false">IFERROR(IF(T95&lt;&gt;"",VALUE(T95),""),"")</f>
        <v/>
      </c>
      <c r="AW95" s="46" t="str">
        <f aca="false">IFERROR(IF(N95="","",IF(OR(ISNUMBER(SEARCH("grant",N95)),ISNUMBER(SEARCH("B",AC95))),"Granted",IF(OR(ISNUMBER(SEARCH("pend",N95)),ISNUMBER(SEARCH("A",AC95))),"Pending",IF(ISNUMBER(SEARCH("expir",N95)),"Expired",N95)))),"")</f>
        <v/>
      </c>
      <c r="AX95" s="47"/>
      <c r="AY95" s="46" t="str">
        <f aca="true">IFERROR(IF(M95&lt;&gt;"",ROUND(VALUE(M95),1),IF(L95&lt;&gt;"",ROUND(MAX(0,(DATEVALUE(TEXT(L95,"YYYY-MM-DD"))-TODAY())/365.25),1),"")),"")</f>
        <v/>
      </c>
      <c r="AZ95" s="46" t="str">
        <f aca="false">IFERROR(IF(O95&lt;&gt;"",O95,""),"")</f>
        <v/>
      </c>
      <c r="BA95" s="46" t="str">
        <f aca="false">IFERROR(IF(U95&lt;&gt;"",SUBSTITUTE(SUBSTITUTE(U95,"; ",", "),";",","),""),"")</f>
        <v/>
      </c>
      <c r="BB95" s="47"/>
      <c r="BC95" s="47"/>
      <c r="BD95" s="47"/>
      <c r="BE95" s="47"/>
      <c r="BF95" s="47"/>
      <c r="BG95" s="47"/>
      <c r="BH95" s="47"/>
      <c r="BI95" s="47"/>
      <c r="BJ95" s="47"/>
      <c r="BK95" s="46" t="str">
        <f aca="false">IFERROR(IF(W95&lt;&gt;"",VALUE(W95),""),"")</f>
        <v/>
      </c>
      <c r="BL95" s="46" t="str">
        <f aca="false">IFERROR(IF(X95&lt;&gt;"",VALUE(X95),""),"")</f>
        <v/>
      </c>
      <c r="BM95" s="46" t="str">
        <f aca="false">IFERROR(IF(AD95="","None",IF(ISNUMBER(SEARCH("surv",AD95)),"Survived",IF(ISNUMBER(SEARCH("pend",AD95)),"Pending",IF(ISNUMBER(SEARCH("yes",AD95)),"Pending","None")))),"None")</f>
        <v>None</v>
      </c>
      <c r="BN95" s="47"/>
      <c r="BO95" s="47"/>
      <c r="BP95" s="47"/>
      <c r="BQ95" s="47"/>
      <c r="BR95" s="47"/>
      <c r="BS95" s="47"/>
      <c r="BT95" s="47"/>
      <c r="BU95" s="48" t="n">
        <f aca="false">IFERROR(COUNTA(AE95:BT95)/42,0)</f>
        <v>0.30952380952381</v>
      </c>
      <c r="BV95" s="49"/>
      <c r="BW95" s="50" t="b">
        <f aca="false">IF(Configuration!$C$10="No","",IFERROR(IF(AG95&lt;&gt;"",TRUE(),FALSE()),FALSE()))</f>
        <v>0</v>
      </c>
      <c r="BX95" s="50" t="b">
        <f aca="false">IF(Configuration!$C$11="No","",IFERROR(IF(AND(N(AL95)&gt;=Configuration!$C$44,AM95&lt;&gt;""),TRUE(),FALSE()),FALSE()))</f>
        <v>0</v>
      </c>
      <c r="BY95" s="50" t="b">
        <f aca="false">IF(Configuration!$C$12="No","",IFERROR(IF(AJ95&lt;&gt;"",TRUE(),FALSE()),FALSE()))</f>
        <v>0</v>
      </c>
      <c r="BZ95" s="50" t="b">
        <f aca="false">IF(Configuration!$C$13="No","",IFERROR(IF(AI95&lt;&gt;"",TRUE(),FALSE()),FALSE()))</f>
        <v>0</v>
      </c>
      <c r="CA95" s="50" t="b">
        <f aca="false">IF(Configuration!$C$14="No","",IFERROR(IF(AK95&lt;&gt;"",TRUE(),FALSE()),FALSE()))</f>
        <v>0</v>
      </c>
      <c r="CB95" s="50" t="b">
        <f aca="false">IF(Configuration!$C$15="No","",IFERROR(IF(AND(OR(ISNUMBER(SEARCH("process",AG95)),ISNUMBER(SEARCH("fab",AG95)),ISNUMBER(SEARCH("manufac",AG95))),AO95="Method"),TRUE(),FALSE()),FALSE()))</f>
        <v>0</v>
      </c>
      <c r="CC95" s="50" t="b">
        <f aca="false">IF(Configuration!$C$16="No","",IFERROR(IF(AND(OR(ISNUMBER(SEARCH("material",AG95)),ISNUMBER(SEARCH("chem",AG95)),ISNUMBER(SEARCH("battery",AG95)),ISNUMBER(SEARCH("electrolyte",AG95)),ISNUMBER(SEARCH("polymer",AG95))),OR(AO95="Apparatus",AO95="Method")),TRUE(),FALSE()),FALSE()))</f>
        <v>0</v>
      </c>
      <c r="CD95" s="50" t="b">
        <f aca="false">IF(Configuration!$C$17="No","",IFERROR(IF(AND(OR(AI95="App",AI95="Middleware",AI95="Cloud"),OR(AO95="Method",AO95="CRM")),TRUE(),FALSE()),FALSE()))</f>
        <v>0</v>
      </c>
      <c r="CE95" s="50" t="b">
        <f aca="false">IF(Configuration!$C$18="No","",IFERROR(IF(N(AN95)&gt;=Configuration!$C$45,TRUE(),FALSE()),FALSE()))</f>
        <v>0</v>
      </c>
      <c r="CF95" s="50" t="b">
        <f aca="false">IF(Configuration!$C$19="No","",IFERROR(IF(BE95&lt;&gt;"",TRUE(),FALSE()),FALSE()))</f>
        <v>0</v>
      </c>
      <c r="CG95" s="50" t="b">
        <f aca="false">IF(Configuration!$C$20="No","",IFERROR(IF(AO95&lt;&gt;"",TRUE(),FALSE()),FALSE()))</f>
        <v>0</v>
      </c>
      <c r="CH95" s="50" t="b">
        <f aca="false">IF(Configuration!$C$21="No","",IFERROR(IF(OR(N(AS95)&gt;=Configuration!$C$46,N(AT95)&gt;=Configuration!$C$47),TRUE(),FALSE()),FALSE()))</f>
        <v>0</v>
      </c>
      <c r="CI95" s="50" t="b">
        <f aca="false">IF(Configuration!$C$22="No","",IFERROR(IF(BB95="Yes",TRUE(),FALSE()),FALSE()))</f>
        <v>0</v>
      </c>
      <c r="CJ95" s="50" t="b">
        <f aca="false">IF(Configuration!$C$23="No","",IFERROR(IF(N(AV95)&gt;=Configuration!$C$48,TRUE(),FALSE()),FALSE()))</f>
        <v>0</v>
      </c>
      <c r="CK95" s="50" t="b">
        <f aca="false">IF(Configuration!$C$24="No","",IFERROR(IF(N(AY95)&gt;0,TRUE(),FALSE()),FALSE()))</f>
        <v>0</v>
      </c>
      <c r="CL95" s="50" t="b">
        <f aca="false">IF(Configuration!$C$25="No","",IFERROR(IF(OR(N(AP95)=3,N(AP95)&lt;=1),TRUE(),FALSE()),FALSE()))</f>
        <v>1</v>
      </c>
      <c r="CM95" s="50" t="b">
        <f aca="false">IF(Configuration!$C$26="No","",IFERROR(IF(N(BF95)&gt;=Configuration!$C$49,TRUE(),FALSE()),FALSE()))</f>
        <v>0</v>
      </c>
      <c r="CN95" s="50" t="b">
        <f aca="false">IF(Configuration!$C$27="No","",IFERROR(IF(BD95&lt;&gt;"",TRUE(),FALSE()),FALSE()))</f>
        <v>0</v>
      </c>
      <c r="CO95" s="50" t="b">
        <f aca="false">IF(Configuration!$C$28="No","",IFERROR(IF(N(AU95)&gt;=Configuration!$C$50,TRUE(),FALSE()),FALSE()))</f>
        <v>0</v>
      </c>
      <c r="CP95" s="50" t="b">
        <f aca="false">IF(Configuration!$C$29="No","",IFERROR(IF(AND(N(AR95)&gt;=Configuration!$C$51,AG95&lt;&gt;""),TRUE(),FALSE()),FALSE()))</f>
        <v>0</v>
      </c>
      <c r="CQ95" s="50" t="b">
        <f aca="false">IF(Configuration!$C$30="No","",IFERROR(IF(OR(AW95="Pending",AX95="Yes"),TRUE(),FALSE()),FALSE()))</f>
        <v>0</v>
      </c>
      <c r="CR95" s="50" t="b">
        <f aca="false">IF(Configuration!$C$31="No","",IFERROR(IF(AND(N(BG95)&gt;=Configuration!$C$52,N(AP95)&gt;=1),TRUE(),FALSE()),FALSE()))</f>
        <v>0</v>
      </c>
      <c r="CS95" s="50" t="b">
        <f aca="false">IF(Configuration!$C$32="No","",IFERROR(IF(AND(N(AR95)&gt;=1,OR(AG95&lt;&gt;"",AM95&lt;&gt;"")),TRUE(),FALSE()),FALSE()))</f>
        <v>0</v>
      </c>
      <c r="CT95" s="50" t="b">
        <f aca="false">IF(Configuration!$C$33="No","",IFERROR(IF(AG95&lt;&gt;"",TRUE(),FALSE()),FALSE()))</f>
        <v>0</v>
      </c>
      <c r="CU95" s="50" t="b">
        <f aca="false">IF(Configuration!$C$34="No","",IFERROR(IF(AX95="Yes",TRUE(),FALSE()),FALSE()))</f>
        <v>0</v>
      </c>
      <c r="CV95" s="50" t="b">
        <f aca="false">IF(Configuration!$C$35="No","",IFERROR(IF(OR(BO95="Partial",BO95="Full"),TRUE(),FALSE()),FALSE()))</f>
        <v>0</v>
      </c>
      <c r="CW95" s="50" t="b">
        <f aca="false">IF(Configuration!$C$36="No","",IFERROR(IF(BM95="Survived",TRUE(),FALSE()),FALSE()))</f>
        <v>0</v>
      </c>
      <c r="CX95" s="50" t="b">
        <f aca="false">IF(Configuration!$C$37="No","",IFERROR(IF(AND(BN95="Clean",BP95="None"),TRUE(),FALSE()),FALSE()))</f>
        <v>0</v>
      </c>
      <c r="CY95" s="50" t="b">
        <f aca="false">IF(Configuration!$C$38="No","",IFERROR(IF(N(BK95)&gt;=Configuration!$C$53,TRUE(),FALSE()),FALSE()))</f>
        <v>0</v>
      </c>
      <c r="CZ95" s="50" t="b">
        <f aca="false">IF(Configuration!$C$39="No","",IFERROR(IF(AND(N(BS95)&gt;=2,N(BF95)&gt;=2),TRUE(),FALSE()),FALSE()))</f>
        <v>0</v>
      </c>
      <c r="DA95" s="50" t="b">
        <f aca="false">IF(Configuration!$C$40="No","",IFERROR(IF(OR(N(BG95)&lt;=Configuration!$C$56,N(AY95)&lt;Configuration!$C$57,N(BH95)&lt;=Configuration!$C$58),TRUE(),FALSE()),FALSE()))</f>
        <v>1</v>
      </c>
      <c r="DB95" s="50" t="b">
        <f aca="false">IF(Configuration!$C$41="No","",IFERROR(IF(AND(N(AY95)&gt;=Configuration!$C$54,N(AY95)&lt;=Configuration!$C$55),TRUE(),FALSE()),FALSE()))</f>
        <v>0</v>
      </c>
      <c r="DC95" s="50" t="b">
        <f aca="false">IF(Configuration!$C$42="No","",IFERROR(IF(AND(AG95&lt;&gt;"",AJ95&lt;&gt;""),TRUE(),FALSE()),FALSE()))</f>
        <v>0</v>
      </c>
      <c r="DD95" s="51" t="n">
        <f aca="false">COUNTIF(BW95:DC95,TRUE())</f>
        <v>2</v>
      </c>
    </row>
    <row r="96" customFormat="false" ht="15" hidden="false" customHeight="true" outlineLevel="0" collapsed="false">
      <c r="A96" s="18" t="n">
        <v>57</v>
      </c>
      <c r="B96" s="44"/>
      <c r="C96" s="44"/>
      <c r="D96" s="44"/>
      <c r="E96" s="44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6" t="str">
        <f aca="false">IFERROR(IF(F96&lt;&gt;"",F96,""),"")</f>
        <v/>
      </c>
      <c r="AF96" s="46" t="str">
        <f aca="false">IFERROR(IF(G96&lt;&gt;"",G96,""),"")</f>
        <v/>
      </c>
      <c r="AG96" s="46" t="str">
        <f aca="false">IFERROR(IF(AA96&lt;&gt;"",AA96,IF(R96&lt;&gt;"",R96,"")),"")</f>
        <v/>
      </c>
      <c r="AH96" s="46" t="str">
        <f aca="false">IFERROR(IF(AB96&lt;&gt;"",AB96,IF(S96&lt;&gt;"",S96,"")),"")</f>
        <v/>
      </c>
      <c r="AI96" s="47"/>
      <c r="AJ96" s="47"/>
      <c r="AK96" s="47"/>
      <c r="AL96" s="47"/>
      <c r="AM96" s="47"/>
      <c r="AN96" s="47"/>
      <c r="AO96" s="47"/>
      <c r="AP96" s="47"/>
      <c r="AQ96" s="46" t="str">
        <f aca="false">IFERROR(IF(Y96&lt;&gt;"",VALUE(Y96),""),"")</f>
        <v/>
      </c>
      <c r="AR96" s="47"/>
      <c r="AS96" s="47"/>
      <c r="AT96" s="47"/>
      <c r="AU96" s="47"/>
      <c r="AV96" s="46" t="str">
        <f aca="false">IFERROR(IF(T96&lt;&gt;"",VALUE(T96),""),"")</f>
        <v/>
      </c>
      <c r="AW96" s="46" t="str">
        <f aca="false">IFERROR(IF(N96="","",IF(OR(ISNUMBER(SEARCH("grant",N96)),ISNUMBER(SEARCH("B",AC96))),"Granted",IF(OR(ISNUMBER(SEARCH("pend",N96)),ISNUMBER(SEARCH("A",AC96))),"Pending",IF(ISNUMBER(SEARCH("expir",N96)),"Expired",N96)))),"")</f>
        <v/>
      </c>
      <c r="AX96" s="47"/>
      <c r="AY96" s="46" t="str">
        <f aca="true">IFERROR(IF(M96&lt;&gt;"",ROUND(VALUE(M96),1),IF(L96&lt;&gt;"",ROUND(MAX(0,(DATEVALUE(TEXT(L96,"YYYY-MM-DD"))-TODAY())/365.25),1),"")),"")</f>
        <v/>
      </c>
      <c r="AZ96" s="46" t="str">
        <f aca="false">IFERROR(IF(O96&lt;&gt;"",O96,""),"")</f>
        <v/>
      </c>
      <c r="BA96" s="46" t="str">
        <f aca="false">IFERROR(IF(U96&lt;&gt;"",SUBSTITUTE(SUBSTITUTE(U96,"; ",", "),";",","),""),"")</f>
        <v/>
      </c>
      <c r="BB96" s="47"/>
      <c r="BC96" s="47"/>
      <c r="BD96" s="47"/>
      <c r="BE96" s="47"/>
      <c r="BF96" s="47"/>
      <c r="BG96" s="47"/>
      <c r="BH96" s="47"/>
      <c r="BI96" s="47"/>
      <c r="BJ96" s="47"/>
      <c r="BK96" s="46" t="str">
        <f aca="false">IFERROR(IF(W96&lt;&gt;"",VALUE(W96),""),"")</f>
        <v/>
      </c>
      <c r="BL96" s="46" t="str">
        <f aca="false">IFERROR(IF(X96&lt;&gt;"",VALUE(X96),""),"")</f>
        <v/>
      </c>
      <c r="BM96" s="46" t="str">
        <f aca="false">IFERROR(IF(AD96="","None",IF(ISNUMBER(SEARCH("surv",AD96)),"Survived",IF(ISNUMBER(SEARCH("pend",AD96)),"Pending",IF(ISNUMBER(SEARCH("yes",AD96)),"Pending","None")))),"None")</f>
        <v>None</v>
      </c>
      <c r="BN96" s="47"/>
      <c r="BO96" s="47"/>
      <c r="BP96" s="47"/>
      <c r="BQ96" s="47"/>
      <c r="BR96" s="47"/>
      <c r="BS96" s="47"/>
      <c r="BT96" s="47"/>
      <c r="BU96" s="48" t="n">
        <f aca="false">IFERROR(COUNTA(AE96:BT96)/42,0)</f>
        <v>0.30952380952381</v>
      </c>
      <c r="BV96" s="49"/>
      <c r="BW96" s="50" t="b">
        <f aca="false">IF(Configuration!$C$10="No","",IFERROR(IF(AG96&lt;&gt;"",TRUE(),FALSE()),FALSE()))</f>
        <v>0</v>
      </c>
      <c r="BX96" s="50" t="b">
        <f aca="false">IF(Configuration!$C$11="No","",IFERROR(IF(AND(N(AL96)&gt;=Configuration!$C$44,AM96&lt;&gt;""),TRUE(),FALSE()),FALSE()))</f>
        <v>0</v>
      </c>
      <c r="BY96" s="50" t="b">
        <f aca="false">IF(Configuration!$C$12="No","",IFERROR(IF(AJ96&lt;&gt;"",TRUE(),FALSE()),FALSE()))</f>
        <v>0</v>
      </c>
      <c r="BZ96" s="50" t="b">
        <f aca="false">IF(Configuration!$C$13="No","",IFERROR(IF(AI96&lt;&gt;"",TRUE(),FALSE()),FALSE()))</f>
        <v>0</v>
      </c>
      <c r="CA96" s="50" t="b">
        <f aca="false">IF(Configuration!$C$14="No","",IFERROR(IF(AK96&lt;&gt;"",TRUE(),FALSE()),FALSE()))</f>
        <v>0</v>
      </c>
      <c r="CB96" s="50" t="b">
        <f aca="false">IF(Configuration!$C$15="No","",IFERROR(IF(AND(OR(ISNUMBER(SEARCH("process",AG96)),ISNUMBER(SEARCH("fab",AG96)),ISNUMBER(SEARCH("manufac",AG96))),AO96="Method"),TRUE(),FALSE()),FALSE()))</f>
        <v>0</v>
      </c>
      <c r="CC96" s="50" t="b">
        <f aca="false">IF(Configuration!$C$16="No","",IFERROR(IF(AND(OR(ISNUMBER(SEARCH("material",AG96)),ISNUMBER(SEARCH("chem",AG96)),ISNUMBER(SEARCH("battery",AG96)),ISNUMBER(SEARCH("electrolyte",AG96)),ISNUMBER(SEARCH("polymer",AG96))),OR(AO96="Apparatus",AO96="Method")),TRUE(),FALSE()),FALSE()))</f>
        <v>0</v>
      </c>
      <c r="CD96" s="50" t="b">
        <f aca="false">IF(Configuration!$C$17="No","",IFERROR(IF(AND(OR(AI96="App",AI96="Middleware",AI96="Cloud"),OR(AO96="Method",AO96="CRM")),TRUE(),FALSE()),FALSE()))</f>
        <v>0</v>
      </c>
      <c r="CE96" s="50" t="b">
        <f aca="false">IF(Configuration!$C$18="No","",IFERROR(IF(N(AN96)&gt;=Configuration!$C$45,TRUE(),FALSE()),FALSE()))</f>
        <v>0</v>
      </c>
      <c r="CF96" s="50" t="b">
        <f aca="false">IF(Configuration!$C$19="No","",IFERROR(IF(BE96&lt;&gt;"",TRUE(),FALSE()),FALSE()))</f>
        <v>0</v>
      </c>
      <c r="CG96" s="50" t="b">
        <f aca="false">IF(Configuration!$C$20="No","",IFERROR(IF(AO96&lt;&gt;"",TRUE(),FALSE()),FALSE()))</f>
        <v>0</v>
      </c>
      <c r="CH96" s="50" t="b">
        <f aca="false">IF(Configuration!$C$21="No","",IFERROR(IF(OR(N(AS96)&gt;=Configuration!$C$46,N(AT96)&gt;=Configuration!$C$47),TRUE(),FALSE()),FALSE()))</f>
        <v>0</v>
      </c>
      <c r="CI96" s="50" t="b">
        <f aca="false">IF(Configuration!$C$22="No","",IFERROR(IF(BB96="Yes",TRUE(),FALSE()),FALSE()))</f>
        <v>0</v>
      </c>
      <c r="CJ96" s="50" t="b">
        <f aca="false">IF(Configuration!$C$23="No","",IFERROR(IF(N(AV96)&gt;=Configuration!$C$48,TRUE(),FALSE()),FALSE()))</f>
        <v>0</v>
      </c>
      <c r="CK96" s="50" t="b">
        <f aca="false">IF(Configuration!$C$24="No","",IFERROR(IF(N(AY96)&gt;0,TRUE(),FALSE()),FALSE()))</f>
        <v>0</v>
      </c>
      <c r="CL96" s="50" t="b">
        <f aca="false">IF(Configuration!$C$25="No","",IFERROR(IF(OR(N(AP96)=3,N(AP96)&lt;=1),TRUE(),FALSE()),FALSE()))</f>
        <v>1</v>
      </c>
      <c r="CM96" s="50" t="b">
        <f aca="false">IF(Configuration!$C$26="No","",IFERROR(IF(N(BF96)&gt;=Configuration!$C$49,TRUE(),FALSE()),FALSE()))</f>
        <v>0</v>
      </c>
      <c r="CN96" s="50" t="b">
        <f aca="false">IF(Configuration!$C$27="No","",IFERROR(IF(BD96&lt;&gt;"",TRUE(),FALSE()),FALSE()))</f>
        <v>0</v>
      </c>
      <c r="CO96" s="50" t="b">
        <f aca="false">IF(Configuration!$C$28="No","",IFERROR(IF(N(AU96)&gt;=Configuration!$C$50,TRUE(),FALSE()),FALSE()))</f>
        <v>0</v>
      </c>
      <c r="CP96" s="50" t="b">
        <f aca="false">IF(Configuration!$C$29="No","",IFERROR(IF(AND(N(AR96)&gt;=Configuration!$C$51,AG96&lt;&gt;""),TRUE(),FALSE()),FALSE()))</f>
        <v>0</v>
      </c>
      <c r="CQ96" s="50" t="b">
        <f aca="false">IF(Configuration!$C$30="No","",IFERROR(IF(OR(AW96="Pending",AX96="Yes"),TRUE(),FALSE()),FALSE()))</f>
        <v>0</v>
      </c>
      <c r="CR96" s="50" t="b">
        <f aca="false">IF(Configuration!$C$31="No","",IFERROR(IF(AND(N(BG96)&gt;=Configuration!$C$52,N(AP96)&gt;=1),TRUE(),FALSE()),FALSE()))</f>
        <v>0</v>
      </c>
      <c r="CS96" s="50" t="b">
        <f aca="false">IF(Configuration!$C$32="No","",IFERROR(IF(AND(N(AR96)&gt;=1,OR(AG96&lt;&gt;"",AM96&lt;&gt;"")),TRUE(),FALSE()),FALSE()))</f>
        <v>0</v>
      </c>
      <c r="CT96" s="50" t="b">
        <f aca="false">IF(Configuration!$C$33="No","",IFERROR(IF(AG96&lt;&gt;"",TRUE(),FALSE()),FALSE()))</f>
        <v>0</v>
      </c>
      <c r="CU96" s="50" t="b">
        <f aca="false">IF(Configuration!$C$34="No","",IFERROR(IF(AX96="Yes",TRUE(),FALSE()),FALSE()))</f>
        <v>0</v>
      </c>
      <c r="CV96" s="50" t="b">
        <f aca="false">IF(Configuration!$C$35="No","",IFERROR(IF(OR(BO96="Partial",BO96="Full"),TRUE(),FALSE()),FALSE()))</f>
        <v>0</v>
      </c>
      <c r="CW96" s="50" t="b">
        <f aca="false">IF(Configuration!$C$36="No","",IFERROR(IF(BM96="Survived",TRUE(),FALSE()),FALSE()))</f>
        <v>0</v>
      </c>
      <c r="CX96" s="50" t="b">
        <f aca="false">IF(Configuration!$C$37="No","",IFERROR(IF(AND(BN96="Clean",BP96="None"),TRUE(),FALSE()),FALSE()))</f>
        <v>0</v>
      </c>
      <c r="CY96" s="50" t="b">
        <f aca="false">IF(Configuration!$C$38="No","",IFERROR(IF(N(BK96)&gt;=Configuration!$C$53,TRUE(),FALSE()),FALSE()))</f>
        <v>0</v>
      </c>
      <c r="CZ96" s="50" t="b">
        <f aca="false">IF(Configuration!$C$39="No","",IFERROR(IF(AND(N(BS96)&gt;=2,N(BF96)&gt;=2),TRUE(),FALSE()),FALSE()))</f>
        <v>0</v>
      </c>
      <c r="DA96" s="50" t="b">
        <f aca="false">IF(Configuration!$C$40="No","",IFERROR(IF(OR(N(BG96)&lt;=Configuration!$C$56,N(AY96)&lt;Configuration!$C$57,N(BH96)&lt;=Configuration!$C$58),TRUE(),FALSE()),FALSE()))</f>
        <v>1</v>
      </c>
      <c r="DB96" s="50" t="b">
        <f aca="false">IF(Configuration!$C$41="No","",IFERROR(IF(AND(N(AY96)&gt;=Configuration!$C$54,N(AY96)&lt;=Configuration!$C$55),TRUE(),FALSE()),FALSE()))</f>
        <v>0</v>
      </c>
      <c r="DC96" s="50" t="b">
        <f aca="false">IF(Configuration!$C$42="No","",IFERROR(IF(AND(AG96&lt;&gt;"",AJ96&lt;&gt;""),TRUE(),FALSE()),FALSE()))</f>
        <v>0</v>
      </c>
      <c r="DD96" s="51" t="n">
        <f aca="false">COUNTIF(BW96:DC96,TRUE())</f>
        <v>2</v>
      </c>
    </row>
    <row r="97" customFormat="false" ht="15" hidden="false" customHeight="true" outlineLevel="0" collapsed="false">
      <c r="A97" s="18" t="n">
        <v>58</v>
      </c>
      <c r="B97" s="44"/>
      <c r="C97" s="44"/>
      <c r="D97" s="44"/>
      <c r="E97" s="44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6" t="str">
        <f aca="false">IFERROR(IF(F97&lt;&gt;"",F97,""),"")</f>
        <v/>
      </c>
      <c r="AF97" s="46" t="str">
        <f aca="false">IFERROR(IF(G97&lt;&gt;"",G97,""),"")</f>
        <v/>
      </c>
      <c r="AG97" s="46" t="str">
        <f aca="false">IFERROR(IF(AA97&lt;&gt;"",AA97,IF(R97&lt;&gt;"",R97,"")),"")</f>
        <v/>
      </c>
      <c r="AH97" s="46" t="str">
        <f aca="false">IFERROR(IF(AB97&lt;&gt;"",AB97,IF(S97&lt;&gt;"",S97,"")),"")</f>
        <v/>
      </c>
      <c r="AI97" s="47"/>
      <c r="AJ97" s="47"/>
      <c r="AK97" s="47"/>
      <c r="AL97" s="47"/>
      <c r="AM97" s="47"/>
      <c r="AN97" s="47"/>
      <c r="AO97" s="47"/>
      <c r="AP97" s="47"/>
      <c r="AQ97" s="46" t="str">
        <f aca="false">IFERROR(IF(Y97&lt;&gt;"",VALUE(Y97),""),"")</f>
        <v/>
      </c>
      <c r="AR97" s="47"/>
      <c r="AS97" s="47"/>
      <c r="AT97" s="47"/>
      <c r="AU97" s="47"/>
      <c r="AV97" s="46" t="str">
        <f aca="false">IFERROR(IF(T97&lt;&gt;"",VALUE(T97),""),"")</f>
        <v/>
      </c>
      <c r="AW97" s="46" t="str">
        <f aca="false">IFERROR(IF(N97="","",IF(OR(ISNUMBER(SEARCH("grant",N97)),ISNUMBER(SEARCH("B",AC97))),"Granted",IF(OR(ISNUMBER(SEARCH("pend",N97)),ISNUMBER(SEARCH("A",AC97))),"Pending",IF(ISNUMBER(SEARCH("expir",N97)),"Expired",N97)))),"")</f>
        <v/>
      </c>
      <c r="AX97" s="47"/>
      <c r="AY97" s="46" t="str">
        <f aca="true">IFERROR(IF(M97&lt;&gt;"",ROUND(VALUE(M97),1),IF(L97&lt;&gt;"",ROUND(MAX(0,(DATEVALUE(TEXT(L97,"YYYY-MM-DD"))-TODAY())/365.25),1),"")),"")</f>
        <v/>
      </c>
      <c r="AZ97" s="46" t="str">
        <f aca="false">IFERROR(IF(O97&lt;&gt;"",O97,""),"")</f>
        <v/>
      </c>
      <c r="BA97" s="46" t="str">
        <f aca="false">IFERROR(IF(U97&lt;&gt;"",SUBSTITUTE(SUBSTITUTE(U97,"; ",", "),";",","),""),"")</f>
        <v/>
      </c>
      <c r="BB97" s="47"/>
      <c r="BC97" s="47"/>
      <c r="BD97" s="47"/>
      <c r="BE97" s="47"/>
      <c r="BF97" s="47"/>
      <c r="BG97" s="47"/>
      <c r="BH97" s="47"/>
      <c r="BI97" s="47"/>
      <c r="BJ97" s="47"/>
      <c r="BK97" s="46" t="str">
        <f aca="false">IFERROR(IF(W97&lt;&gt;"",VALUE(W97),""),"")</f>
        <v/>
      </c>
      <c r="BL97" s="46" t="str">
        <f aca="false">IFERROR(IF(X97&lt;&gt;"",VALUE(X97),""),"")</f>
        <v/>
      </c>
      <c r="BM97" s="46" t="str">
        <f aca="false">IFERROR(IF(AD97="","None",IF(ISNUMBER(SEARCH("surv",AD97)),"Survived",IF(ISNUMBER(SEARCH("pend",AD97)),"Pending",IF(ISNUMBER(SEARCH("yes",AD97)),"Pending","None")))),"None")</f>
        <v>None</v>
      </c>
      <c r="BN97" s="47"/>
      <c r="BO97" s="47"/>
      <c r="BP97" s="47"/>
      <c r="BQ97" s="47"/>
      <c r="BR97" s="47"/>
      <c r="BS97" s="47"/>
      <c r="BT97" s="47"/>
      <c r="BU97" s="48" t="n">
        <f aca="false">IFERROR(COUNTA(AE97:BT97)/42,0)</f>
        <v>0.30952380952381</v>
      </c>
      <c r="BV97" s="49"/>
      <c r="BW97" s="50" t="b">
        <f aca="false">IF(Configuration!$C$10="No","",IFERROR(IF(AG97&lt;&gt;"",TRUE(),FALSE()),FALSE()))</f>
        <v>0</v>
      </c>
      <c r="BX97" s="50" t="b">
        <f aca="false">IF(Configuration!$C$11="No","",IFERROR(IF(AND(N(AL97)&gt;=Configuration!$C$44,AM97&lt;&gt;""),TRUE(),FALSE()),FALSE()))</f>
        <v>0</v>
      </c>
      <c r="BY97" s="50" t="b">
        <f aca="false">IF(Configuration!$C$12="No","",IFERROR(IF(AJ97&lt;&gt;"",TRUE(),FALSE()),FALSE()))</f>
        <v>0</v>
      </c>
      <c r="BZ97" s="50" t="b">
        <f aca="false">IF(Configuration!$C$13="No","",IFERROR(IF(AI97&lt;&gt;"",TRUE(),FALSE()),FALSE()))</f>
        <v>0</v>
      </c>
      <c r="CA97" s="50" t="b">
        <f aca="false">IF(Configuration!$C$14="No","",IFERROR(IF(AK97&lt;&gt;"",TRUE(),FALSE()),FALSE()))</f>
        <v>0</v>
      </c>
      <c r="CB97" s="50" t="b">
        <f aca="false">IF(Configuration!$C$15="No","",IFERROR(IF(AND(OR(ISNUMBER(SEARCH("process",AG97)),ISNUMBER(SEARCH("fab",AG97)),ISNUMBER(SEARCH("manufac",AG97))),AO97="Method"),TRUE(),FALSE()),FALSE()))</f>
        <v>0</v>
      </c>
      <c r="CC97" s="50" t="b">
        <f aca="false">IF(Configuration!$C$16="No","",IFERROR(IF(AND(OR(ISNUMBER(SEARCH("material",AG97)),ISNUMBER(SEARCH("chem",AG97)),ISNUMBER(SEARCH("battery",AG97)),ISNUMBER(SEARCH("electrolyte",AG97)),ISNUMBER(SEARCH("polymer",AG97))),OR(AO97="Apparatus",AO97="Method")),TRUE(),FALSE()),FALSE()))</f>
        <v>0</v>
      </c>
      <c r="CD97" s="50" t="b">
        <f aca="false">IF(Configuration!$C$17="No","",IFERROR(IF(AND(OR(AI97="App",AI97="Middleware",AI97="Cloud"),OR(AO97="Method",AO97="CRM")),TRUE(),FALSE()),FALSE()))</f>
        <v>0</v>
      </c>
      <c r="CE97" s="50" t="b">
        <f aca="false">IF(Configuration!$C$18="No","",IFERROR(IF(N(AN97)&gt;=Configuration!$C$45,TRUE(),FALSE()),FALSE()))</f>
        <v>0</v>
      </c>
      <c r="CF97" s="50" t="b">
        <f aca="false">IF(Configuration!$C$19="No","",IFERROR(IF(BE97&lt;&gt;"",TRUE(),FALSE()),FALSE()))</f>
        <v>0</v>
      </c>
      <c r="CG97" s="50" t="b">
        <f aca="false">IF(Configuration!$C$20="No","",IFERROR(IF(AO97&lt;&gt;"",TRUE(),FALSE()),FALSE()))</f>
        <v>0</v>
      </c>
      <c r="CH97" s="50" t="b">
        <f aca="false">IF(Configuration!$C$21="No","",IFERROR(IF(OR(N(AS97)&gt;=Configuration!$C$46,N(AT97)&gt;=Configuration!$C$47),TRUE(),FALSE()),FALSE()))</f>
        <v>0</v>
      </c>
      <c r="CI97" s="50" t="b">
        <f aca="false">IF(Configuration!$C$22="No","",IFERROR(IF(BB97="Yes",TRUE(),FALSE()),FALSE()))</f>
        <v>0</v>
      </c>
      <c r="CJ97" s="50" t="b">
        <f aca="false">IF(Configuration!$C$23="No","",IFERROR(IF(N(AV97)&gt;=Configuration!$C$48,TRUE(),FALSE()),FALSE()))</f>
        <v>0</v>
      </c>
      <c r="CK97" s="50" t="b">
        <f aca="false">IF(Configuration!$C$24="No","",IFERROR(IF(N(AY97)&gt;0,TRUE(),FALSE()),FALSE()))</f>
        <v>0</v>
      </c>
      <c r="CL97" s="50" t="b">
        <f aca="false">IF(Configuration!$C$25="No","",IFERROR(IF(OR(N(AP97)=3,N(AP97)&lt;=1),TRUE(),FALSE()),FALSE()))</f>
        <v>1</v>
      </c>
      <c r="CM97" s="50" t="b">
        <f aca="false">IF(Configuration!$C$26="No","",IFERROR(IF(N(BF97)&gt;=Configuration!$C$49,TRUE(),FALSE()),FALSE()))</f>
        <v>0</v>
      </c>
      <c r="CN97" s="50" t="b">
        <f aca="false">IF(Configuration!$C$27="No","",IFERROR(IF(BD97&lt;&gt;"",TRUE(),FALSE()),FALSE()))</f>
        <v>0</v>
      </c>
      <c r="CO97" s="50" t="b">
        <f aca="false">IF(Configuration!$C$28="No","",IFERROR(IF(N(AU97)&gt;=Configuration!$C$50,TRUE(),FALSE()),FALSE()))</f>
        <v>0</v>
      </c>
      <c r="CP97" s="50" t="b">
        <f aca="false">IF(Configuration!$C$29="No","",IFERROR(IF(AND(N(AR97)&gt;=Configuration!$C$51,AG97&lt;&gt;""),TRUE(),FALSE()),FALSE()))</f>
        <v>0</v>
      </c>
      <c r="CQ97" s="50" t="b">
        <f aca="false">IF(Configuration!$C$30="No","",IFERROR(IF(OR(AW97="Pending",AX97="Yes"),TRUE(),FALSE()),FALSE()))</f>
        <v>0</v>
      </c>
      <c r="CR97" s="50" t="b">
        <f aca="false">IF(Configuration!$C$31="No","",IFERROR(IF(AND(N(BG97)&gt;=Configuration!$C$52,N(AP97)&gt;=1),TRUE(),FALSE()),FALSE()))</f>
        <v>0</v>
      </c>
      <c r="CS97" s="50" t="b">
        <f aca="false">IF(Configuration!$C$32="No","",IFERROR(IF(AND(N(AR97)&gt;=1,OR(AG97&lt;&gt;"",AM97&lt;&gt;"")),TRUE(),FALSE()),FALSE()))</f>
        <v>0</v>
      </c>
      <c r="CT97" s="50" t="b">
        <f aca="false">IF(Configuration!$C$33="No","",IFERROR(IF(AG97&lt;&gt;"",TRUE(),FALSE()),FALSE()))</f>
        <v>0</v>
      </c>
      <c r="CU97" s="50" t="b">
        <f aca="false">IF(Configuration!$C$34="No","",IFERROR(IF(AX97="Yes",TRUE(),FALSE()),FALSE()))</f>
        <v>0</v>
      </c>
      <c r="CV97" s="50" t="b">
        <f aca="false">IF(Configuration!$C$35="No","",IFERROR(IF(OR(BO97="Partial",BO97="Full"),TRUE(),FALSE()),FALSE()))</f>
        <v>0</v>
      </c>
      <c r="CW97" s="50" t="b">
        <f aca="false">IF(Configuration!$C$36="No","",IFERROR(IF(BM97="Survived",TRUE(),FALSE()),FALSE()))</f>
        <v>0</v>
      </c>
      <c r="CX97" s="50" t="b">
        <f aca="false">IF(Configuration!$C$37="No","",IFERROR(IF(AND(BN97="Clean",BP97="None"),TRUE(),FALSE()),FALSE()))</f>
        <v>0</v>
      </c>
      <c r="CY97" s="50" t="b">
        <f aca="false">IF(Configuration!$C$38="No","",IFERROR(IF(N(BK97)&gt;=Configuration!$C$53,TRUE(),FALSE()),FALSE()))</f>
        <v>0</v>
      </c>
      <c r="CZ97" s="50" t="b">
        <f aca="false">IF(Configuration!$C$39="No","",IFERROR(IF(AND(N(BS97)&gt;=2,N(BF97)&gt;=2),TRUE(),FALSE()),FALSE()))</f>
        <v>0</v>
      </c>
      <c r="DA97" s="50" t="b">
        <f aca="false">IF(Configuration!$C$40="No","",IFERROR(IF(OR(N(BG97)&lt;=Configuration!$C$56,N(AY97)&lt;Configuration!$C$57,N(BH97)&lt;=Configuration!$C$58),TRUE(),FALSE()),FALSE()))</f>
        <v>1</v>
      </c>
      <c r="DB97" s="50" t="b">
        <f aca="false">IF(Configuration!$C$41="No","",IFERROR(IF(AND(N(AY97)&gt;=Configuration!$C$54,N(AY97)&lt;=Configuration!$C$55),TRUE(),FALSE()),FALSE()))</f>
        <v>0</v>
      </c>
      <c r="DC97" s="50" t="b">
        <f aca="false">IF(Configuration!$C$42="No","",IFERROR(IF(AND(AG97&lt;&gt;"",AJ97&lt;&gt;""),TRUE(),FALSE()),FALSE()))</f>
        <v>0</v>
      </c>
      <c r="DD97" s="51" t="n">
        <f aca="false">COUNTIF(BW97:DC97,TRUE())</f>
        <v>2</v>
      </c>
    </row>
    <row r="98" customFormat="false" ht="15" hidden="false" customHeight="true" outlineLevel="0" collapsed="false">
      <c r="A98" s="18" t="n">
        <v>59</v>
      </c>
      <c r="B98" s="44"/>
      <c r="C98" s="44"/>
      <c r="D98" s="44"/>
      <c r="E98" s="44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6" t="str">
        <f aca="false">IFERROR(IF(F98&lt;&gt;"",F98,""),"")</f>
        <v/>
      </c>
      <c r="AF98" s="46" t="str">
        <f aca="false">IFERROR(IF(G98&lt;&gt;"",G98,""),"")</f>
        <v/>
      </c>
      <c r="AG98" s="46" t="str">
        <f aca="false">IFERROR(IF(AA98&lt;&gt;"",AA98,IF(R98&lt;&gt;"",R98,"")),"")</f>
        <v/>
      </c>
      <c r="AH98" s="46" t="str">
        <f aca="false">IFERROR(IF(AB98&lt;&gt;"",AB98,IF(S98&lt;&gt;"",S98,"")),"")</f>
        <v/>
      </c>
      <c r="AI98" s="47"/>
      <c r="AJ98" s="47"/>
      <c r="AK98" s="47"/>
      <c r="AL98" s="47"/>
      <c r="AM98" s="47"/>
      <c r="AN98" s="47"/>
      <c r="AO98" s="47"/>
      <c r="AP98" s="47"/>
      <c r="AQ98" s="46" t="str">
        <f aca="false">IFERROR(IF(Y98&lt;&gt;"",VALUE(Y98),""),"")</f>
        <v/>
      </c>
      <c r="AR98" s="47"/>
      <c r="AS98" s="47"/>
      <c r="AT98" s="47"/>
      <c r="AU98" s="47"/>
      <c r="AV98" s="46" t="str">
        <f aca="false">IFERROR(IF(T98&lt;&gt;"",VALUE(T98),""),"")</f>
        <v/>
      </c>
      <c r="AW98" s="46" t="str">
        <f aca="false">IFERROR(IF(N98="","",IF(OR(ISNUMBER(SEARCH("grant",N98)),ISNUMBER(SEARCH("B",AC98))),"Granted",IF(OR(ISNUMBER(SEARCH("pend",N98)),ISNUMBER(SEARCH("A",AC98))),"Pending",IF(ISNUMBER(SEARCH("expir",N98)),"Expired",N98)))),"")</f>
        <v/>
      </c>
      <c r="AX98" s="47"/>
      <c r="AY98" s="46" t="str">
        <f aca="true">IFERROR(IF(M98&lt;&gt;"",ROUND(VALUE(M98),1),IF(L98&lt;&gt;"",ROUND(MAX(0,(DATEVALUE(TEXT(L98,"YYYY-MM-DD"))-TODAY())/365.25),1),"")),"")</f>
        <v/>
      </c>
      <c r="AZ98" s="46" t="str">
        <f aca="false">IFERROR(IF(O98&lt;&gt;"",O98,""),"")</f>
        <v/>
      </c>
      <c r="BA98" s="46" t="str">
        <f aca="false">IFERROR(IF(U98&lt;&gt;"",SUBSTITUTE(SUBSTITUTE(U98,"; ",", "),";",","),""),"")</f>
        <v/>
      </c>
      <c r="BB98" s="47"/>
      <c r="BC98" s="47"/>
      <c r="BD98" s="47"/>
      <c r="BE98" s="47"/>
      <c r="BF98" s="47"/>
      <c r="BG98" s="47"/>
      <c r="BH98" s="47"/>
      <c r="BI98" s="47"/>
      <c r="BJ98" s="47"/>
      <c r="BK98" s="46" t="str">
        <f aca="false">IFERROR(IF(W98&lt;&gt;"",VALUE(W98),""),"")</f>
        <v/>
      </c>
      <c r="BL98" s="46" t="str">
        <f aca="false">IFERROR(IF(X98&lt;&gt;"",VALUE(X98),""),"")</f>
        <v/>
      </c>
      <c r="BM98" s="46" t="str">
        <f aca="false">IFERROR(IF(AD98="","None",IF(ISNUMBER(SEARCH("surv",AD98)),"Survived",IF(ISNUMBER(SEARCH("pend",AD98)),"Pending",IF(ISNUMBER(SEARCH("yes",AD98)),"Pending","None")))),"None")</f>
        <v>None</v>
      </c>
      <c r="BN98" s="47"/>
      <c r="BO98" s="47"/>
      <c r="BP98" s="47"/>
      <c r="BQ98" s="47"/>
      <c r="BR98" s="47"/>
      <c r="BS98" s="47"/>
      <c r="BT98" s="47"/>
      <c r="BU98" s="48" t="n">
        <f aca="false">IFERROR(COUNTA(AE98:BT98)/42,0)</f>
        <v>0.30952380952381</v>
      </c>
      <c r="BV98" s="49"/>
      <c r="BW98" s="50" t="b">
        <f aca="false">IF(Configuration!$C$10="No","",IFERROR(IF(AG98&lt;&gt;"",TRUE(),FALSE()),FALSE()))</f>
        <v>0</v>
      </c>
      <c r="BX98" s="50" t="b">
        <f aca="false">IF(Configuration!$C$11="No","",IFERROR(IF(AND(N(AL98)&gt;=Configuration!$C$44,AM98&lt;&gt;""),TRUE(),FALSE()),FALSE()))</f>
        <v>0</v>
      </c>
      <c r="BY98" s="50" t="b">
        <f aca="false">IF(Configuration!$C$12="No","",IFERROR(IF(AJ98&lt;&gt;"",TRUE(),FALSE()),FALSE()))</f>
        <v>0</v>
      </c>
      <c r="BZ98" s="50" t="b">
        <f aca="false">IF(Configuration!$C$13="No","",IFERROR(IF(AI98&lt;&gt;"",TRUE(),FALSE()),FALSE()))</f>
        <v>0</v>
      </c>
      <c r="CA98" s="50" t="b">
        <f aca="false">IF(Configuration!$C$14="No","",IFERROR(IF(AK98&lt;&gt;"",TRUE(),FALSE()),FALSE()))</f>
        <v>0</v>
      </c>
      <c r="CB98" s="50" t="b">
        <f aca="false">IF(Configuration!$C$15="No","",IFERROR(IF(AND(OR(ISNUMBER(SEARCH("process",AG98)),ISNUMBER(SEARCH("fab",AG98)),ISNUMBER(SEARCH("manufac",AG98))),AO98="Method"),TRUE(),FALSE()),FALSE()))</f>
        <v>0</v>
      </c>
      <c r="CC98" s="50" t="b">
        <f aca="false">IF(Configuration!$C$16="No","",IFERROR(IF(AND(OR(ISNUMBER(SEARCH("material",AG98)),ISNUMBER(SEARCH("chem",AG98)),ISNUMBER(SEARCH("battery",AG98)),ISNUMBER(SEARCH("electrolyte",AG98)),ISNUMBER(SEARCH("polymer",AG98))),OR(AO98="Apparatus",AO98="Method")),TRUE(),FALSE()),FALSE()))</f>
        <v>0</v>
      </c>
      <c r="CD98" s="50" t="b">
        <f aca="false">IF(Configuration!$C$17="No","",IFERROR(IF(AND(OR(AI98="App",AI98="Middleware",AI98="Cloud"),OR(AO98="Method",AO98="CRM")),TRUE(),FALSE()),FALSE()))</f>
        <v>0</v>
      </c>
      <c r="CE98" s="50" t="b">
        <f aca="false">IF(Configuration!$C$18="No","",IFERROR(IF(N(AN98)&gt;=Configuration!$C$45,TRUE(),FALSE()),FALSE()))</f>
        <v>0</v>
      </c>
      <c r="CF98" s="50" t="b">
        <f aca="false">IF(Configuration!$C$19="No","",IFERROR(IF(BE98&lt;&gt;"",TRUE(),FALSE()),FALSE()))</f>
        <v>0</v>
      </c>
      <c r="CG98" s="50" t="b">
        <f aca="false">IF(Configuration!$C$20="No","",IFERROR(IF(AO98&lt;&gt;"",TRUE(),FALSE()),FALSE()))</f>
        <v>0</v>
      </c>
      <c r="CH98" s="50" t="b">
        <f aca="false">IF(Configuration!$C$21="No","",IFERROR(IF(OR(N(AS98)&gt;=Configuration!$C$46,N(AT98)&gt;=Configuration!$C$47),TRUE(),FALSE()),FALSE()))</f>
        <v>0</v>
      </c>
      <c r="CI98" s="50" t="b">
        <f aca="false">IF(Configuration!$C$22="No","",IFERROR(IF(BB98="Yes",TRUE(),FALSE()),FALSE()))</f>
        <v>0</v>
      </c>
      <c r="CJ98" s="50" t="b">
        <f aca="false">IF(Configuration!$C$23="No","",IFERROR(IF(N(AV98)&gt;=Configuration!$C$48,TRUE(),FALSE()),FALSE()))</f>
        <v>0</v>
      </c>
      <c r="CK98" s="50" t="b">
        <f aca="false">IF(Configuration!$C$24="No","",IFERROR(IF(N(AY98)&gt;0,TRUE(),FALSE()),FALSE()))</f>
        <v>0</v>
      </c>
      <c r="CL98" s="50" t="b">
        <f aca="false">IF(Configuration!$C$25="No","",IFERROR(IF(OR(N(AP98)=3,N(AP98)&lt;=1),TRUE(),FALSE()),FALSE()))</f>
        <v>1</v>
      </c>
      <c r="CM98" s="50" t="b">
        <f aca="false">IF(Configuration!$C$26="No","",IFERROR(IF(N(BF98)&gt;=Configuration!$C$49,TRUE(),FALSE()),FALSE()))</f>
        <v>0</v>
      </c>
      <c r="CN98" s="50" t="b">
        <f aca="false">IF(Configuration!$C$27="No","",IFERROR(IF(BD98&lt;&gt;"",TRUE(),FALSE()),FALSE()))</f>
        <v>0</v>
      </c>
      <c r="CO98" s="50" t="b">
        <f aca="false">IF(Configuration!$C$28="No","",IFERROR(IF(N(AU98)&gt;=Configuration!$C$50,TRUE(),FALSE()),FALSE()))</f>
        <v>0</v>
      </c>
      <c r="CP98" s="50" t="b">
        <f aca="false">IF(Configuration!$C$29="No","",IFERROR(IF(AND(N(AR98)&gt;=Configuration!$C$51,AG98&lt;&gt;""),TRUE(),FALSE()),FALSE()))</f>
        <v>0</v>
      </c>
      <c r="CQ98" s="50" t="b">
        <f aca="false">IF(Configuration!$C$30="No","",IFERROR(IF(OR(AW98="Pending",AX98="Yes"),TRUE(),FALSE()),FALSE()))</f>
        <v>0</v>
      </c>
      <c r="CR98" s="50" t="b">
        <f aca="false">IF(Configuration!$C$31="No","",IFERROR(IF(AND(N(BG98)&gt;=Configuration!$C$52,N(AP98)&gt;=1),TRUE(),FALSE()),FALSE()))</f>
        <v>0</v>
      </c>
      <c r="CS98" s="50" t="b">
        <f aca="false">IF(Configuration!$C$32="No","",IFERROR(IF(AND(N(AR98)&gt;=1,OR(AG98&lt;&gt;"",AM98&lt;&gt;"")),TRUE(),FALSE()),FALSE()))</f>
        <v>0</v>
      </c>
      <c r="CT98" s="50" t="b">
        <f aca="false">IF(Configuration!$C$33="No","",IFERROR(IF(AG98&lt;&gt;"",TRUE(),FALSE()),FALSE()))</f>
        <v>0</v>
      </c>
      <c r="CU98" s="50" t="b">
        <f aca="false">IF(Configuration!$C$34="No","",IFERROR(IF(AX98="Yes",TRUE(),FALSE()),FALSE()))</f>
        <v>0</v>
      </c>
      <c r="CV98" s="50" t="b">
        <f aca="false">IF(Configuration!$C$35="No","",IFERROR(IF(OR(BO98="Partial",BO98="Full"),TRUE(),FALSE()),FALSE()))</f>
        <v>0</v>
      </c>
      <c r="CW98" s="50" t="b">
        <f aca="false">IF(Configuration!$C$36="No","",IFERROR(IF(BM98="Survived",TRUE(),FALSE()),FALSE()))</f>
        <v>0</v>
      </c>
      <c r="CX98" s="50" t="b">
        <f aca="false">IF(Configuration!$C$37="No","",IFERROR(IF(AND(BN98="Clean",BP98="None"),TRUE(),FALSE()),FALSE()))</f>
        <v>0</v>
      </c>
      <c r="CY98" s="50" t="b">
        <f aca="false">IF(Configuration!$C$38="No","",IFERROR(IF(N(BK98)&gt;=Configuration!$C$53,TRUE(),FALSE()),FALSE()))</f>
        <v>0</v>
      </c>
      <c r="CZ98" s="50" t="b">
        <f aca="false">IF(Configuration!$C$39="No","",IFERROR(IF(AND(N(BS98)&gt;=2,N(BF98)&gt;=2),TRUE(),FALSE()),FALSE()))</f>
        <v>0</v>
      </c>
      <c r="DA98" s="50" t="b">
        <f aca="false">IF(Configuration!$C$40="No","",IFERROR(IF(OR(N(BG98)&lt;=Configuration!$C$56,N(AY98)&lt;Configuration!$C$57,N(BH98)&lt;=Configuration!$C$58),TRUE(),FALSE()),FALSE()))</f>
        <v>1</v>
      </c>
      <c r="DB98" s="50" t="b">
        <f aca="false">IF(Configuration!$C$41="No","",IFERROR(IF(AND(N(AY98)&gt;=Configuration!$C$54,N(AY98)&lt;=Configuration!$C$55),TRUE(),FALSE()),FALSE()))</f>
        <v>0</v>
      </c>
      <c r="DC98" s="50" t="b">
        <f aca="false">IF(Configuration!$C$42="No","",IFERROR(IF(AND(AG98&lt;&gt;"",AJ98&lt;&gt;""),TRUE(),FALSE()),FALSE()))</f>
        <v>0</v>
      </c>
      <c r="DD98" s="51" t="n">
        <f aca="false">COUNTIF(BW98:DC98,TRUE())</f>
        <v>2</v>
      </c>
    </row>
    <row r="99" customFormat="false" ht="15" hidden="false" customHeight="true" outlineLevel="0" collapsed="false">
      <c r="A99" s="18" t="n">
        <v>60</v>
      </c>
      <c r="B99" s="44"/>
      <c r="C99" s="44"/>
      <c r="D99" s="44"/>
      <c r="E99" s="44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6" t="str">
        <f aca="false">IFERROR(IF(F99&lt;&gt;"",F99,""),"")</f>
        <v/>
      </c>
      <c r="AF99" s="46" t="str">
        <f aca="false">IFERROR(IF(G99&lt;&gt;"",G99,""),"")</f>
        <v/>
      </c>
      <c r="AG99" s="46" t="str">
        <f aca="false">IFERROR(IF(AA99&lt;&gt;"",AA99,IF(R99&lt;&gt;"",R99,"")),"")</f>
        <v/>
      </c>
      <c r="AH99" s="46" t="str">
        <f aca="false">IFERROR(IF(AB99&lt;&gt;"",AB99,IF(S99&lt;&gt;"",S99,"")),"")</f>
        <v/>
      </c>
      <c r="AI99" s="47"/>
      <c r="AJ99" s="47"/>
      <c r="AK99" s="47"/>
      <c r="AL99" s="47"/>
      <c r="AM99" s="47"/>
      <c r="AN99" s="47"/>
      <c r="AO99" s="47"/>
      <c r="AP99" s="47"/>
      <c r="AQ99" s="46" t="str">
        <f aca="false">IFERROR(IF(Y99&lt;&gt;"",VALUE(Y99),""),"")</f>
        <v/>
      </c>
      <c r="AR99" s="47"/>
      <c r="AS99" s="47"/>
      <c r="AT99" s="47"/>
      <c r="AU99" s="47"/>
      <c r="AV99" s="46" t="str">
        <f aca="false">IFERROR(IF(T99&lt;&gt;"",VALUE(T99),""),"")</f>
        <v/>
      </c>
      <c r="AW99" s="46" t="str">
        <f aca="false">IFERROR(IF(N99="","",IF(OR(ISNUMBER(SEARCH("grant",N99)),ISNUMBER(SEARCH("B",AC99))),"Granted",IF(OR(ISNUMBER(SEARCH("pend",N99)),ISNUMBER(SEARCH("A",AC99))),"Pending",IF(ISNUMBER(SEARCH("expir",N99)),"Expired",N99)))),"")</f>
        <v/>
      </c>
      <c r="AX99" s="47"/>
      <c r="AY99" s="46" t="str">
        <f aca="true">IFERROR(IF(M99&lt;&gt;"",ROUND(VALUE(M99),1),IF(L99&lt;&gt;"",ROUND(MAX(0,(DATEVALUE(TEXT(L99,"YYYY-MM-DD"))-TODAY())/365.25),1),"")),"")</f>
        <v/>
      </c>
      <c r="AZ99" s="46" t="str">
        <f aca="false">IFERROR(IF(O99&lt;&gt;"",O99,""),"")</f>
        <v/>
      </c>
      <c r="BA99" s="46" t="str">
        <f aca="false">IFERROR(IF(U99&lt;&gt;"",SUBSTITUTE(SUBSTITUTE(U99,"; ",", "),";",","),""),"")</f>
        <v/>
      </c>
      <c r="BB99" s="47"/>
      <c r="BC99" s="47"/>
      <c r="BD99" s="47"/>
      <c r="BE99" s="47"/>
      <c r="BF99" s="47"/>
      <c r="BG99" s="47"/>
      <c r="BH99" s="47"/>
      <c r="BI99" s="47"/>
      <c r="BJ99" s="47"/>
      <c r="BK99" s="46" t="str">
        <f aca="false">IFERROR(IF(W99&lt;&gt;"",VALUE(W99),""),"")</f>
        <v/>
      </c>
      <c r="BL99" s="46" t="str">
        <f aca="false">IFERROR(IF(X99&lt;&gt;"",VALUE(X99),""),"")</f>
        <v/>
      </c>
      <c r="BM99" s="46" t="str">
        <f aca="false">IFERROR(IF(AD99="","None",IF(ISNUMBER(SEARCH("surv",AD99)),"Survived",IF(ISNUMBER(SEARCH("pend",AD99)),"Pending",IF(ISNUMBER(SEARCH("yes",AD99)),"Pending","None")))),"None")</f>
        <v>None</v>
      </c>
      <c r="BN99" s="47"/>
      <c r="BO99" s="47"/>
      <c r="BP99" s="47"/>
      <c r="BQ99" s="47"/>
      <c r="BR99" s="47"/>
      <c r="BS99" s="47"/>
      <c r="BT99" s="47"/>
      <c r="BU99" s="48" t="n">
        <f aca="false">IFERROR(COUNTA(AE99:BT99)/42,0)</f>
        <v>0.30952380952381</v>
      </c>
      <c r="BV99" s="49"/>
      <c r="BW99" s="50" t="b">
        <f aca="false">IF(Configuration!$C$10="No","",IFERROR(IF(AG99&lt;&gt;"",TRUE(),FALSE()),FALSE()))</f>
        <v>0</v>
      </c>
      <c r="BX99" s="50" t="b">
        <f aca="false">IF(Configuration!$C$11="No","",IFERROR(IF(AND(N(AL99)&gt;=Configuration!$C$44,AM99&lt;&gt;""),TRUE(),FALSE()),FALSE()))</f>
        <v>0</v>
      </c>
      <c r="BY99" s="50" t="b">
        <f aca="false">IF(Configuration!$C$12="No","",IFERROR(IF(AJ99&lt;&gt;"",TRUE(),FALSE()),FALSE()))</f>
        <v>0</v>
      </c>
      <c r="BZ99" s="50" t="b">
        <f aca="false">IF(Configuration!$C$13="No","",IFERROR(IF(AI99&lt;&gt;"",TRUE(),FALSE()),FALSE()))</f>
        <v>0</v>
      </c>
      <c r="CA99" s="50" t="b">
        <f aca="false">IF(Configuration!$C$14="No","",IFERROR(IF(AK99&lt;&gt;"",TRUE(),FALSE()),FALSE()))</f>
        <v>0</v>
      </c>
      <c r="CB99" s="50" t="b">
        <f aca="false">IF(Configuration!$C$15="No","",IFERROR(IF(AND(OR(ISNUMBER(SEARCH("process",AG99)),ISNUMBER(SEARCH("fab",AG99)),ISNUMBER(SEARCH("manufac",AG99))),AO99="Method"),TRUE(),FALSE()),FALSE()))</f>
        <v>0</v>
      </c>
      <c r="CC99" s="50" t="b">
        <f aca="false">IF(Configuration!$C$16="No","",IFERROR(IF(AND(OR(ISNUMBER(SEARCH("material",AG99)),ISNUMBER(SEARCH("chem",AG99)),ISNUMBER(SEARCH("battery",AG99)),ISNUMBER(SEARCH("electrolyte",AG99)),ISNUMBER(SEARCH("polymer",AG99))),OR(AO99="Apparatus",AO99="Method")),TRUE(),FALSE()),FALSE()))</f>
        <v>0</v>
      </c>
      <c r="CD99" s="50" t="b">
        <f aca="false">IF(Configuration!$C$17="No","",IFERROR(IF(AND(OR(AI99="App",AI99="Middleware",AI99="Cloud"),OR(AO99="Method",AO99="CRM")),TRUE(),FALSE()),FALSE()))</f>
        <v>0</v>
      </c>
      <c r="CE99" s="50" t="b">
        <f aca="false">IF(Configuration!$C$18="No","",IFERROR(IF(N(AN99)&gt;=Configuration!$C$45,TRUE(),FALSE()),FALSE()))</f>
        <v>0</v>
      </c>
      <c r="CF99" s="50" t="b">
        <f aca="false">IF(Configuration!$C$19="No","",IFERROR(IF(BE99&lt;&gt;"",TRUE(),FALSE()),FALSE()))</f>
        <v>0</v>
      </c>
      <c r="CG99" s="50" t="b">
        <f aca="false">IF(Configuration!$C$20="No","",IFERROR(IF(AO99&lt;&gt;"",TRUE(),FALSE()),FALSE()))</f>
        <v>0</v>
      </c>
      <c r="CH99" s="50" t="b">
        <f aca="false">IF(Configuration!$C$21="No","",IFERROR(IF(OR(N(AS99)&gt;=Configuration!$C$46,N(AT99)&gt;=Configuration!$C$47),TRUE(),FALSE()),FALSE()))</f>
        <v>0</v>
      </c>
      <c r="CI99" s="50" t="b">
        <f aca="false">IF(Configuration!$C$22="No","",IFERROR(IF(BB99="Yes",TRUE(),FALSE()),FALSE()))</f>
        <v>0</v>
      </c>
      <c r="CJ99" s="50" t="b">
        <f aca="false">IF(Configuration!$C$23="No","",IFERROR(IF(N(AV99)&gt;=Configuration!$C$48,TRUE(),FALSE()),FALSE()))</f>
        <v>0</v>
      </c>
      <c r="CK99" s="50" t="b">
        <f aca="false">IF(Configuration!$C$24="No","",IFERROR(IF(N(AY99)&gt;0,TRUE(),FALSE()),FALSE()))</f>
        <v>0</v>
      </c>
      <c r="CL99" s="50" t="b">
        <f aca="false">IF(Configuration!$C$25="No","",IFERROR(IF(OR(N(AP99)=3,N(AP99)&lt;=1),TRUE(),FALSE()),FALSE()))</f>
        <v>1</v>
      </c>
      <c r="CM99" s="50" t="b">
        <f aca="false">IF(Configuration!$C$26="No","",IFERROR(IF(N(BF99)&gt;=Configuration!$C$49,TRUE(),FALSE()),FALSE()))</f>
        <v>0</v>
      </c>
      <c r="CN99" s="50" t="b">
        <f aca="false">IF(Configuration!$C$27="No","",IFERROR(IF(BD99&lt;&gt;"",TRUE(),FALSE()),FALSE()))</f>
        <v>0</v>
      </c>
      <c r="CO99" s="50" t="b">
        <f aca="false">IF(Configuration!$C$28="No","",IFERROR(IF(N(AU99)&gt;=Configuration!$C$50,TRUE(),FALSE()),FALSE()))</f>
        <v>0</v>
      </c>
      <c r="CP99" s="50" t="b">
        <f aca="false">IF(Configuration!$C$29="No","",IFERROR(IF(AND(N(AR99)&gt;=Configuration!$C$51,AG99&lt;&gt;""),TRUE(),FALSE()),FALSE()))</f>
        <v>0</v>
      </c>
      <c r="CQ99" s="50" t="b">
        <f aca="false">IF(Configuration!$C$30="No","",IFERROR(IF(OR(AW99="Pending",AX99="Yes"),TRUE(),FALSE()),FALSE()))</f>
        <v>0</v>
      </c>
      <c r="CR99" s="50" t="b">
        <f aca="false">IF(Configuration!$C$31="No","",IFERROR(IF(AND(N(BG99)&gt;=Configuration!$C$52,N(AP99)&gt;=1),TRUE(),FALSE()),FALSE()))</f>
        <v>0</v>
      </c>
      <c r="CS99" s="50" t="b">
        <f aca="false">IF(Configuration!$C$32="No","",IFERROR(IF(AND(N(AR99)&gt;=1,OR(AG99&lt;&gt;"",AM99&lt;&gt;"")),TRUE(),FALSE()),FALSE()))</f>
        <v>0</v>
      </c>
      <c r="CT99" s="50" t="b">
        <f aca="false">IF(Configuration!$C$33="No","",IFERROR(IF(AG99&lt;&gt;"",TRUE(),FALSE()),FALSE()))</f>
        <v>0</v>
      </c>
      <c r="CU99" s="50" t="b">
        <f aca="false">IF(Configuration!$C$34="No","",IFERROR(IF(AX99="Yes",TRUE(),FALSE()),FALSE()))</f>
        <v>0</v>
      </c>
      <c r="CV99" s="50" t="b">
        <f aca="false">IF(Configuration!$C$35="No","",IFERROR(IF(OR(BO99="Partial",BO99="Full"),TRUE(),FALSE()),FALSE()))</f>
        <v>0</v>
      </c>
      <c r="CW99" s="50" t="b">
        <f aca="false">IF(Configuration!$C$36="No","",IFERROR(IF(BM99="Survived",TRUE(),FALSE()),FALSE()))</f>
        <v>0</v>
      </c>
      <c r="CX99" s="50" t="b">
        <f aca="false">IF(Configuration!$C$37="No","",IFERROR(IF(AND(BN99="Clean",BP99="None"),TRUE(),FALSE()),FALSE()))</f>
        <v>0</v>
      </c>
      <c r="CY99" s="50" t="b">
        <f aca="false">IF(Configuration!$C$38="No","",IFERROR(IF(N(BK99)&gt;=Configuration!$C$53,TRUE(),FALSE()),FALSE()))</f>
        <v>0</v>
      </c>
      <c r="CZ99" s="50" t="b">
        <f aca="false">IF(Configuration!$C$39="No","",IFERROR(IF(AND(N(BS99)&gt;=2,N(BF99)&gt;=2),TRUE(),FALSE()),FALSE()))</f>
        <v>0</v>
      </c>
      <c r="DA99" s="50" t="b">
        <f aca="false">IF(Configuration!$C$40="No","",IFERROR(IF(OR(N(BG99)&lt;=Configuration!$C$56,N(AY99)&lt;Configuration!$C$57,N(BH99)&lt;=Configuration!$C$58),TRUE(),FALSE()),FALSE()))</f>
        <v>1</v>
      </c>
      <c r="DB99" s="50" t="b">
        <f aca="false">IF(Configuration!$C$41="No","",IFERROR(IF(AND(N(AY99)&gt;=Configuration!$C$54,N(AY99)&lt;=Configuration!$C$55),TRUE(),FALSE()),FALSE()))</f>
        <v>0</v>
      </c>
      <c r="DC99" s="50" t="b">
        <f aca="false">IF(Configuration!$C$42="No","",IFERROR(IF(AND(AG99&lt;&gt;"",AJ99&lt;&gt;""),TRUE(),FALSE()),FALSE()))</f>
        <v>0</v>
      </c>
      <c r="DD99" s="51" t="n">
        <f aca="false">COUNTIF(BW99:DC99,TRUE())</f>
        <v>2</v>
      </c>
    </row>
    <row r="100" customFormat="false" ht="15" hidden="false" customHeight="true" outlineLevel="0" collapsed="false">
      <c r="A100" s="18" t="n">
        <v>61</v>
      </c>
      <c r="B100" s="44"/>
      <c r="C100" s="44"/>
      <c r="D100" s="44"/>
      <c r="E100" s="44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6" t="str">
        <f aca="false">IFERROR(IF(F100&lt;&gt;"",F100,""),"")</f>
        <v/>
      </c>
      <c r="AF100" s="46" t="str">
        <f aca="false">IFERROR(IF(G100&lt;&gt;"",G100,""),"")</f>
        <v/>
      </c>
      <c r="AG100" s="46" t="str">
        <f aca="false">IFERROR(IF(AA100&lt;&gt;"",AA100,IF(R100&lt;&gt;"",R100,"")),"")</f>
        <v/>
      </c>
      <c r="AH100" s="46" t="str">
        <f aca="false">IFERROR(IF(AB100&lt;&gt;"",AB100,IF(S100&lt;&gt;"",S100,"")),"")</f>
        <v/>
      </c>
      <c r="AI100" s="47"/>
      <c r="AJ100" s="47"/>
      <c r="AK100" s="47"/>
      <c r="AL100" s="47"/>
      <c r="AM100" s="47"/>
      <c r="AN100" s="47"/>
      <c r="AO100" s="47"/>
      <c r="AP100" s="47"/>
      <c r="AQ100" s="46" t="str">
        <f aca="false">IFERROR(IF(Y100&lt;&gt;"",VALUE(Y100),""),"")</f>
        <v/>
      </c>
      <c r="AR100" s="47"/>
      <c r="AS100" s="47"/>
      <c r="AT100" s="47"/>
      <c r="AU100" s="47"/>
      <c r="AV100" s="46" t="str">
        <f aca="false">IFERROR(IF(T100&lt;&gt;"",VALUE(T100),""),"")</f>
        <v/>
      </c>
      <c r="AW100" s="46" t="str">
        <f aca="false">IFERROR(IF(N100="","",IF(OR(ISNUMBER(SEARCH("grant",N100)),ISNUMBER(SEARCH("B",AC100))),"Granted",IF(OR(ISNUMBER(SEARCH("pend",N100)),ISNUMBER(SEARCH("A",AC100))),"Pending",IF(ISNUMBER(SEARCH("expir",N100)),"Expired",N100)))),"")</f>
        <v/>
      </c>
      <c r="AX100" s="47"/>
      <c r="AY100" s="46" t="str">
        <f aca="true">IFERROR(IF(M100&lt;&gt;"",ROUND(VALUE(M100),1),IF(L100&lt;&gt;"",ROUND(MAX(0,(DATEVALUE(TEXT(L100,"YYYY-MM-DD"))-TODAY())/365.25),1),"")),"")</f>
        <v/>
      </c>
      <c r="AZ100" s="46" t="str">
        <f aca="false">IFERROR(IF(O100&lt;&gt;"",O100,""),"")</f>
        <v/>
      </c>
      <c r="BA100" s="46" t="str">
        <f aca="false">IFERROR(IF(U100&lt;&gt;"",SUBSTITUTE(SUBSTITUTE(U100,"; ",", "),";",","),""),"")</f>
        <v/>
      </c>
      <c r="BB100" s="47"/>
      <c r="BC100" s="47"/>
      <c r="BD100" s="47"/>
      <c r="BE100" s="47"/>
      <c r="BF100" s="47"/>
      <c r="BG100" s="47"/>
      <c r="BH100" s="47"/>
      <c r="BI100" s="47"/>
      <c r="BJ100" s="47"/>
      <c r="BK100" s="46" t="str">
        <f aca="false">IFERROR(IF(W100&lt;&gt;"",VALUE(W100),""),"")</f>
        <v/>
      </c>
      <c r="BL100" s="46" t="str">
        <f aca="false">IFERROR(IF(X100&lt;&gt;"",VALUE(X100),""),"")</f>
        <v/>
      </c>
      <c r="BM100" s="46" t="str">
        <f aca="false">IFERROR(IF(AD100="","None",IF(ISNUMBER(SEARCH("surv",AD100)),"Survived",IF(ISNUMBER(SEARCH("pend",AD100)),"Pending",IF(ISNUMBER(SEARCH("yes",AD100)),"Pending","None")))),"None")</f>
        <v>None</v>
      </c>
      <c r="BN100" s="47"/>
      <c r="BO100" s="47"/>
      <c r="BP100" s="47"/>
      <c r="BQ100" s="47"/>
      <c r="BR100" s="47"/>
      <c r="BS100" s="47"/>
      <c r="BT100" s="47"/>
      <c r="BU100" s="48" t="n">
        <f aca="false">IFERROR(COUNTA(AE100:BT100)/42,0)</f>
        <v>0.30952380952381</v>
      </c>
      <c r="BV100" s="49"/>
      <c r="BW100" s="50" t="b">
        <f aca="false">IF(Configuration!$C$10="No","",IFERROR(IF(AG100&lt;&gt;"",TRUE(),FALSE()),FALSE()))</f>
        <v>0</v>
      </c>
      <c r="BX100" s="50" t="b">
        <f aca="false">IF(Configuration!$C$11="No","",IFERROR(IF(AND(N(AL100)&gt;=Configuration!$C$44,AM100&lt;&gt;""),TRUE(),FALSE()),FALSE()))</f>
        <v>0</v>
      </c>
      <c r="BY100" s="50" t="b">
        <f aca="false">IF(Configuration!$C$12="No","",IFERROR(IF(AJ100&lt;&gt;"",TRUE(),FALSE()),FALSE()))</f>
        <v>0</v>
      </c>
      <c r="BZ100" s="50" t="b">
        <f aca="false">IF(Configuration!$C$13="No","",IFERROR(IF(AI100&lt;&gt;"",TRUE(),FALSE()),FALSE()))</f>
        <v>0</v>
      </c>
      <c r="CA100" s="50" t="b">
        <f aca="false">IF(Configuration!$C$14="No","",IFERROR(IF(AK100&lt;&gt;"",TRUE(),FALSE()),FALSE()))</f>
        <v>0</v>
      </c>
      <c r="CB100" s="50" t="b">
        <f aca="false">IF(Configuration!$C$15="No","",IFERROR(IF(AND(OR(ISNUMBER(SEARCH("process",AG100)),ISNUMBER(SEARCH("fab",AG100)),ISNUMBER(SEARCH("manufac",AG100))),AO100="Method"),TRUE(),FALSE()),FALSE()))</f>
        <v>0</v>
      </c>
      <c r="CC100" s="50" t="b">
        <f aca="false">IF(Configuration!$C$16="No","",IFERROR(IF(AND(OR(ISNUMBER(SEARCH("material",AG100)),ISNUMBER(SEARCH("chem",AG100)),ISNUMBER(SEARCH("battery",AG100)),ISNUMBER(SEARCH("electrolyte",AG100)),ISNUMBER(SEARCH("polymer",AG100))),OR(AO100="Apparatus",AO100="Method")),TRUE(),FALSE()),FALSE()))</f>
        <v>0</v>
      </c>
      <c r="CD100" s="50" t="b">
        <f aca="false">IF(Configuration!$C$17="No","",IFERROR(IF(AND(OR(AI100="App",AI100="Middleware",AI100="Cloud"),OR(AO100="Method",AO100="CRM")),TRUE(),FALSE()),FALSE()))</f>
        <v>0</v>
      </c>
      <c r="CE100" s="50" t="b">
        <f aca="false">IF(Configuration!$C$18="No","",IFERROR(IF(N(AN100)&gt;=Configuration!$C$45,TRUE(),FALSE()),FALSE()))</f>
        <v>0</v>
      </c>
      <c r="CF100" s="50" t="b">
        <f aca="false">IF(Configuration!$C$19="No","",IFERROR(IF(BE100&lt;&gt;"",TRUE(),FALSE()),FALSE()))</f>
        <v>0</v>
      </c>
      <c r="CG100" s="50" t="b">
        <f aca="false">IF(Configuration!$C$20="No","",IFERROR(IF(AO100&lt;&gt;"",TRUE(),FALSE()),FALSE()))</f>
        <v>0</v>
      </c>
      <c r="CH100" s="50" t="b">
        <f aca="false">IF(Configuration!$C$21="No","",IFERROR(IF(OR(N(AS100)&gt;=Configuration!$C$46,N(AT100)&gt;=Configuration!$C$47),TRUE(),FALSE()),FALSE()))</f>
        <v>0</v>
      </c>
      <c r="CI100" s="50" t="b">
        <f aca="false">IF(Configuration!$C$22="No","",IFERROR(IF(BB100="Yes",TRUE(),FALSE()),FALSE()))</f>
        <v>0</v>
      </c>
      <c r="CJ100" s="50" t="b">
        <f aca="false">IF(Configuration!$C$23="No","",IFERROR(IF(N(AV100)&gt;=Configuration!$C$48,TRUE(),FALSE()),FALSE()))</f>
        <v>0</v>
      </c>
      <c r="CK100" s="50" t="b">
        <f aca="false">IF(Configuration!$C$24="No","",IFERROR(IF(N(AY100)&gt;0,TRUE(),FALSE()),FALSE()))</f>
        <v>0</v>
      </c>
      <c r="CL100" s="50" t="b">
        <f aca="false">IF(Configuration!$C$25="No","",IFERROR(IF(OR(N(AP100)=3,N(AP100)&lt;=1),TRUE(),FALSE()),FALSE()))</f>
        <v>1</v>
      </c>
      <c r="CM100" s="50" t="b">
        <f aca="false">IF(Configuration!$C$26="No","",IFERROR(IF(N(BF100)&gt;=Configuration!$C$49,TRUE(),FALSE()),FALSE()))</f>
        <v>0</v>
      </c>
      <c r="CN100" s="50" t="b">
        <f aca="false">IF(Configuration!$C$27="No","",IFERROR(IF(BD100&lt;&gt;"",TRUE(),FALSE()),FALSE()))</f>
        <v>0</v>
      </c>
      <c r="CO100" s="50" t="b">
        <f aca="false">IF(Configuration!$C$28="No","",IFERROR(IF(N(AU100)&gt;=Configuration!$C$50,TRUE(),FALSE()),FALSE()))</f>
        <v>0</v>
      </c>
      <c r="CP100" s="50" t="b">
        <f aca="false">IF(Configuration!$C$29="No","",IFERROR(IF(AND(N(AR100)&gt;=Configuration!$C$51,AG100&lt;&gt;""),TRUE(),FALSE()),FALSE()))</f>
        <v>0</v>
      </c>
      <c r="CQ100" s="50" t="b">
        <f aca="false">IF(Configuration!$C$30="No","",IFERROR(IF(OR(AW100="Pending",AX100="Yes"),TRUE(),FALSE()),FALSE()))</f>
        <v>0</v>
      </c>
      <c r="CR100" s="50" t="b">
        <f aca="false">IF(Configuration!$C$31="No","",IFERROR(IF(AND(N(BG100)&gt;=Configuration!$C$52,N(AP100)&gt;=1),TRUE(),FALSE()),FALSE()))</f>
        <v>0</v>
      </c>
      <c r="CS100" s="50" t="b">
        <f aca="false">IF(Configuration!$C$32="No","",IFERROR(IF(AND(N(AR100)&gt;=1,OR(AG100&lt;&gt;"",AM100&lt;&gt;"")),TRUE(),FALSE()),FALSE()))</f>
        <v>0</v>
      </c>
      <c r="CT100" s="50" t="b">
        <f aca="false">IF(Configuration!$C$33="No","",IFERROR(IF(AG100&lt;&gt;"",TRUE(),FALSE()),FALSE()))</f>
        <v>0</v>
      </c>
      <c r="CU100" s="50" t="b">
        <f aca="false">IF(Configuration!$C$34="No","",IFERROR(IF(AX100="Yes",TRUE(),FALSE()),FALSE()))</f>
        <v>0</v>
      </c>
      <c r="CV100" s="50" t="b">
        <f aca="false">IF(Configuration!$C$35="No","",IFERROR(IF(OR(BO100="Partial",BO100="Full"),TRUE(),FALSE()),FALSE()))</f>
        <v>0</v>
      </c>
      <c r="CW100" s="50" t="b">
        <f aca="false">IF(Configuration!$C$36="No","",IFERROR(IF(BM100="Survived",TRUE(),FALSE()),FALSE()))</f>
        <v>0</v>
      </c>
      <c r="CX100" s="50" t="b">
        <f aca="false">IF(Configuration!$C$37="No","",IFERROR(IF(AND(BN100="Clean",BP100="None"),TRUE(),FALSE()),FALSE()))</f>
        <v>0</v>
      </c>
      <c r="CY100" s="50" t="b">
        <f aca="false">IF(Configuration!$C$38="No","",IFERROR(IF(N(BK100)&gt;=Configuration!$C$53,TRUE(),FALSE()),FALSE()))</f>
        <v>0</v>
      </c>
      <c r="CZ100" s="50" t="b">
        <f aca="false">IF(Configuration!$C$39="No","",IFERROR(IF(AND(N(BS100)&gt;=2,N(BF100)&gt;=2),TRUE(),FALSE()),FALSE()))</f>
        <v>0</v>
      </c>
      <c r="DA100" s="50" t="b">
        <f aca="false">IF(Configuration!$C$40="No","",IFERROR(IF(OR(N(BG100)&lt;=Configuration!$C$56,N(AY100)&lt;Configuration!$C$57,N(BH100)&lt;=Configuration!$C$58),TRUE(),FALSE()),FALSE()))</f>
        <v>1</v>
      </c>
      <c r="DB100" s="50" t="b">
        <f aca="false">IF(Configuration!$C$41="No","",IFERROR(IF(AND(N(AY100)&gt;=Configuration!$C$54,N(AY100)&lt;=Configuration!$C$55),TRUE(),FALSE()),FALSE()))</f>
        <v>0</v>
      </c>
      <c r="DC100" s="50" t="b">
        <f aca="false">IF(Configuration!$C$42="No","",IFERROR(IF(AND(AG100&lt;&gt;"",AJ100&lt;&gt;""),TRUE(),FALSE()),FALSE()))</f>
        <v>0</v>
      </c>
      <c r="DD100" s="51" t="n">
        <f aca="false">COUNTIF(BW100:DC100,TRUE())</f>
        <v>2</v>
      </c>
    </row>
    <row r="101" customFormat="false" ht="15" hidden="false" customHeight="true" outlineLevel="0" collapsed="false">
      <c r="A101" s="18" t="n">
        <v>62</v>
      </c>
      <c r="B101" s="44"/>
      <c r="C101" s="44"/>
      <c r="D101" s="44"/>
      <c r="E101" s="44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6" t="str">
        <f aca="false">IFERROR(IF(F101&lt;&gt;"",F101,""),"")</f>
        <v/>
      </c>
      <c r="AF101" s="46" t="str">
        <f aca="false">IFERROR(IF(G101&lt;&gt;"",G101,""),"")</f>
        <v/>
      </c>
      <c r="AG101" s="46" t="str">
        <f aca="false">IFERROR(IF(AA101&lt;&gt;"",AA101,IF(R101&lt;&gt;"",R101,"")),"")</f>
        <v/>
      </c>
      <c r="AH101" s="46" t="str">
        <f aca="false">IFERROR(IF(AB101&lt;&gt;"",AB101,IF(S101&lt;&gt;"",S101,"")),"")</f>
        <v/>
      </c>
      <c r="AI101" s="47"/>
      <c r="AJ101" s="47"/>
      <c r="AK101" s="47"/>
      <c r="AL101" s="47"/>
      <c r="AM101" s="47"/>
      <c r="AN101" s="47"/>
      <c r="AO101" s="47"/>
      <c r="AP101" s="47"/>
      <c r="AQ101" s="46" t="str">
        <f aca="false">IFERROR(IF(Y101&lt;&gt;"",VALUE(Y101),""),"")</f>
        <v/>
      </c>
      <c r="AR101" s="47"/>
      <c r="AS101" s="47"/>
      <c r="AT101" s="47"/>
      <c r="AU101" s="47"/>
      <c r="AV101" s="46" t="str">
        <f aca="false">IFERROR(IF(T101&lt;&gt;"",VALUE(T101),""),"")</f>
        <v/>
      </c>
      <c r="AW101" s="46" t="str">
        <f aca="false">IFERROR(IF(N101="","",IF(OR(ISNUMBER(SEARCH("grant",N101)),ISNUMBER(SEARCH("B",AC101))),"Granted",IF(OR(ISNUMBER(SEARCH("pend",N101)),ISNUMBER(SEARCH("A",AC101))),"Pending",IF(ISNUMBER(SEARCH("expir",N101)),"Expired",N101)))),"")</f>
        <v/>
      </c>
      <c r="AX101" s="47"/>
      <c r="AY101" s="46" t="str">
        <f aca="true">IFERROR(IF(M101&lt;&gt;"",ROUND(VALUE(M101),1),IF(L101&lt;&gt;"",ROUND(MAX(0,(DATEVALUE(TEXT(L101,"YYYY-MM-DD"))-TODAY())/365.25),1),"")),"")</f>
        <v/>
      </c>
      <c r="AZ101" s="46" t="str">
        <f aca="false">IFERROR(IF(O101&lt;&gt;"",O101,""),"")</f>
        <v/>
      </c>
      <c r="BA101" s="46" t="str">
        <f aca="false">IFERROR(IF(U101&lt;&gt;"",SUBSTITUTE(SUBSTITUTE(U101,"; ",", "),";",","),""),"")</f>
        <v/>
      </c>
      <c r="BB101" s="47"/>
      <c r="BC101" s="47"/>
      <c r="BD101" s="47"/>
      <c r="BE101" s="47"/>
      <c r="BF101" s="47"/>
      <c r="BG101" s="47"/>
      <c r="BH101" s="47"/>
      <c r="BI101" s="47"/>
      <c r="BJ101" s="47"/>
      <c r="BK101" s="46" t="str">
        <f aca="false">IFERROR(IF(W101&lt;&gt;"",VALUE(W101),""),"")</f>
        <v/>
      </c>
      <c r="BL101" s="46" t="str">
        <f aca="false">IFERROR(IF(X101&lt;&gt;"",VALUE(X101),""),"")</f>
        <v/>
      </c>
      <c r="BM101" s="46" t="str">
        <f aca="false">IFERROR(IF(AD101="","None",IF(ISNUMBER(SEARCH("surv",AD101)),"Survived",IF(ISNUMBER(SEARCH("pend",AD101)),"Pending",IF(ISNUMBER(SEARCH("yes",AD101)),"Pending","None")))),"None")</f>
        <v>None</v>
      </c>
      <c r="BN101" s="47"/>
      <c r="BO101" s="47"/>
      <c r="BP101" s="47"/>
      <c r="BQ101" s="47"/>
      <c r="BR101" s="47"/>
      <c r="BS101" s="47"/>
      <c r="BT101" s="47"/>
      <c r="BU101" s="48" t="n">
        <f aca="false">IFERROR(COUNTA(AE101:BT101)/42,0)</f>
        <v>0.30952380952381</v>
      </c>
      <c r="BV101" s="49"/>
      <c r="BW101" s="50" t="b">
        <f aca="false">IF(Configuration!$C$10="No","",IFERROR(IF(AG101&lt;&gt;"",TRUE(),FALSE()),FALSE()))</f>
        <v>0</v>
      </c>
      <c r="BX101" s="50" t="b">
        <f aca="false">IF(Configuration!$C$11="No","",IFERROR(IF(AND(N(AL101)&gt;=Configuration!$C$44,AM101&lt;&gt;""),TRUE(),FALSE()),FALSE()))</f>
        <v>0</v>
      </c>
      <c r="BY101" s="50" t="b">
        <f aca="false">IF(Configuration!$C$12="No","",IFERROR(IF(AJ101&lt;&gt;"",TRUE(),FALSE()),FALSE()))</f>
        <v>0</v>
      </c>
      <c r="BZ101" s="50" t="b">
        <f aca="false">IF(Configuration!$C$13="No","",IFERROR(IF(AI101&lt;&gt;"",TRUE(),FALSE()),FALSE()))</f>
        <v>0</v>
      </c>
      <c r="CA101" s="50" t="b">
        <f aca="false">IF(Configuration!$C$14="No","",IFERROR(IF(AK101&lt;&gt;"",TRUE(),FALSE()),FALSE()))</f>
        <v>0</v>
      </c>
      <c r="CB101" s="50" t="b">
        <f aca="false">IF(Configuration!$C$15="No","",IFERROR(IF(AND(OR(ISNUMBER(SEARCH("process",AG101)),ISNUMBER(SEARCH("fab",AG101)),ISNUMBER(SEARCH("manufac",AG101))),AO101="Method"),TRUE(),FALSE()),FALSE()))</f>
        <v>0</v>
      </c>
      <c r="CC101" s="50" t="b">
        <f aca="false">IF(Configuration!$C$16="No","",IFERROR(IF(AND(OR(ISNUMBER(SEARCH("material",AG101)),ISNUMBER(SEARCH("chem",AG101)),ISNUMBER(SEARCH("battery",AG101)),ISNUMBER(SEARCH("electrolyte",AG101)),ISNUMBER(SEARCH("polymer",AG101))),OR(AO101="Apparatus",AO101="Method")),TRUE(),FALSE()),FALSE()))</f>
        <v>0</v>
      </c>
      <c r="CD101" s="50" t="b">
        <f aca="false">IF(Configuration!$C$17="No","",IFERROR(IF(AND(OR(AI101="App",AI101="Middleware",AI101="Cloud"),OR(AO101="Method",AO101="CRM")),TRUE(),FALSE()),FALSE()))</f>
        <v>0</v>
      </c>
      <c r="CE101" s="50" t="b">
        <f aca="false">IF(Configuration!$C$18="No","",IFERROR(IF(N(AN101)&gt;=Configuration!$C$45,TRUE(),FALSE()),FALSE()))</f>
        <v>0</v>
      </c>
      <c r="CF101" s="50" t="b">
        <f aca="false">IF(Configuration!$C$19="No","",IFERROR(IF(BE101&lt;&gt;"",TRUE(),FALSE()),FALSE()))</f>
        <v>0</v>
      </c>
      <c r="CG101" s="50" t="b">
        <f aca="false">IF(Configuration!$C$20="No","",IFERROR(IF(AO101&lt;&gt;"",TRUE(),FALSE()),FALSE()))</f>
        <v>0</v>
      </c>
      <c r="CH101" s="50" t="b">
        <f aca="false">IF(Configuration!$C$21="No","",IFERROR(IF(OR(N(AS101)&gt;=Configuration!$C$46,N(AT101)&gt;=Configuration!$C$47),TRUE(),FALSE()),FALSE()))</f>
        <v>0</v>
      </c>
      <c r="CI101" s="50" t="b">
        <f aca="false">IF(Configuration!$C$22="No","",IFERROR(IF(BB101="Yes",TRUE(),FALSE()),FALSE()))</f>
        <v>0</v>
      </c>
      <c r="CJ101" s="50" t="b">
        <f aca="false">IF(Configuration!$C$23="No","",IFERROR(IF(N(AV101)&gt;=Configuration!$C$48,TRUE(),FALSE()),FALSE()))</f>
        <v>0</v>
      </c>
      <c r="CK101" s="50" t="b">
        <f aca="false">IF(Configuration!$C$24="No","",IFERROR(IF(N(AY101)&gt;0,TRUE(),FALSE()),FALSE()))</f>
        <v>0</v>
      </c>
      <c r="CL101" s="50" t="b">
        <f aca="false">IF(Configuration!$C$25="No","",IFERROR(IF(OR(N(AP101)=3,N(AP101)&lt;=1),TRUE(),FALSE()),FALSE()))</f>
        <v>1</v>
      </c>
      <c r="CM101" s="50" t="b">
        <f aca="false">IF(Configuration!$C$26="No","",IFERROR(IF(N(BF101)&gt;=Configuration!$C$49,TRUE(),FALSE()),FALSE()))</f>
        <v>0</v>
      </c>
      <c r="CN101" s="50" t="b">
        <f aca="false">IF(Configuration!$C$27="No","",IFERROR(IF(BD101&lt;&gt;"",TRUE(),FALSE()),FALSE()))</f>
        <v>0</v>
      </c>
      <c r="CO101" s="50" t="b">
        <f aca="false">IF(Configuration!$C$28="No","",IFERROR(IF(N(AU101)&gt;=Configuration!$C$50,TRUE(),FALSE()),FALSE()))</f>
        <v>0</v>
      </c>
      <c r="CP101" s="50" t="b">
        <f aca="false">IF(Configuration!$C$29="No","",IFERROR(IF(AND(N(AR101)&gt;=Configuration!$C$51,AG101&lt;&gt;""),TRUE(),FALSE()),FALSE()))</f>
        <v>0</v>
      </c>
      <c r="CQ101" s="50" t="b">
        <f aca="false">IF(Configuration!$C$30="No","",IFERROR(IF(OR(AW101="Pending",AX101="Yes"),TRUE(),FALSE()),FALSE()))</f>
        <v>0</v>
      </c>
      <c r="CR101" s="50" t="b">
        <f aca="false">IF(Configuration!$C$31="No","",IFERROR(IF(AND(N(BG101)&gt;=Configuration!$C$52,N(AP101)&gt;=1),TRUE(),FALSE()),FALSE()))</f>
        <v>0</v>
      </c>
      <c r="CS101" s="50" t="b">
        <f aca="false">IF(Configuration!$C$32="No","",IFERROR(IF(AND(N(AR101)&gt;=1,OR(AG101&lt;&gt;"",AM101&lt;&gt;"")),TRUE(),FALSE()),FALSE()))</f>
        <v>0</v>
      </c>
      <c r="CT101" s="50" t="b">
        <f aca="false">IF(Configuration!$C$33="No","",IFERROR(IF(AG101&lt;&gt;"",TRUE(),FALSE()),FALSE()))</f>
        <v>0</v>
      </c>
      <c r="CU101" s="50" t="b">
        <f aca="false">IF(Configuration!$C$34="No","",IFERROR(IF(AX101="Yes",TRUE(),FALSE()),FALSE()))</f>
        <v>0</v>
      </c>
      <c r="CV101" s="50" t="b">
        <f aca="false">IF(Configuration!$C$35="No","",IFERROR(IF(OR(BO101="Partial",BO101="Full"),TRUE(),FALSE()),FALSE()))</f>
        <v>0</v>
      </c>
      <c r="CW101" s="50" t="b">
        <f aca="false">IF(Configuration!$C$36="No","",IFERROR(IF(BM101="Survived",TRUE(),FALSE()),FALSE()))</f>
        <v>0</v>
      </c>
      <c r="CX101" s="50" t="b">
        <f aca="false">IF(Configuration!$C$37="No","",IFERROR(IF(AND(BN101="Clean",BP101="None"),TRUE(),FALSE()),FALSE()))</f>
        <v>0</v>
      </c>
      <c r="CY101" s="50" t="b">
        <f aca="false">IF(Configuration!$C$38="No","",IFERROR(IF(N(BK101)&gt;=Configuration!$C$53,TRUE(),FALSE()),FALSE()))</f>
        <v>0</v>
      </c>
      <c r="CZ101" s="50" t="b">
        <f aca="false">IF(Configuration!$C$39="No","",IFERROR(IF(AND(N(BS101)&gt;=2,N(BF101)&gt;=2),TRUE(),FALSE()),FALSE()))</f>
        <v>0</v>
      </c>
      <c r="DA101" s="50" t="b">
        <f aca="false">IF(Configuration!$C$40="No","",IFERROR(IF(OR(N(BG101)&lt;=Configuration!$C$56,N(AY101)&lt;Configuration!$C$57,N(BH101)&lt;=Configuration!$C$58),TRUE(),FALSE()),FALSE()))</f>
        <v>1</v>
      </c>
      <c r="DB101" s="50" t="b">
        <f aca="false">IF(Configuration!$C$41="No","",IFERROR(IF(AND(N(AY101)&gt;=Configuration!$C$54,N(AY101)&lt;=Configuration!$C$55),TRUE(),FALSE()),FALSE()))</f>
        <v>0</v>
      </c>
      <c r="DC101" s="50" t="b">
        <f aca="false">IF(Configuration!$C$42="No","",IFERROR(IF(AND(AG101&lt;&gt;"",AJ101&lt;&gt;""),TRUE(),FALSE()),FALSE()))</f>
        <v>0</v>
      </c>
      <c r="DD101" s="51" t="n">
        <f aca="false">COUNTIF(BW101:DC101,TRUE())</f>
        <v>2</v>
      </c>
    </row>
    <row r="102" customFormat="false" ht="15" hidden="false" customHeight="true" outlineLevel="0" collapsed="false">
      <c r="A102" s="18" t="n">
        <v>63</v>
      </c>
      <c r="B102" s="44"/>
      <c r="C102" s="44"/>
      <c r="D102" s="44"/>
      <c r="E102" s="44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6" t="str">
        <f aca="false">IFERROR(IF(F102&lt;&gt;"",F102,""),"")</f>
        <v/>
      </c>
      <c r="AF102" s="46" t="str">
        <f aca="false">IFERROR(IF(G102&lt;&gt;"",G102,""),"")</f>
        <v/>
      </c>
      <c r="AG102" s="46" t="str">
        <f aca="false">IFERROR(IF(AA102&lt;&gt;"",AA102,IF(R102&lt;&gt;"",R102,"")),"")</f>
        <v/>
      </c>
      <c r="AH102" s="46" t="str">
        <f aca="false">IFERROR(IF(AB102&lt;&gt;"",AB102,IF(S102&lt;&gt;"",S102,"")),"")</f>
        <v/>
      </c>
      <c r="AI102" s="47"/>
      <c r="AJ102" s="47"/>
      <c r="AK102" s="47"/>
      <c r="AL102" s="47"/>
      <c r="AM102" s="47"/>
      <c r="AN102" s="47"/>
      <c r="AO102" s="47"/>
      <c r="AP102" s="47"/>
      <c r="AQ102" s="46" t="str">
        <f aca="false">IFERROR(IF(Y102&lt;&gt;"",VALUE(Y102),""),"")</f>
        <v/>
      </c>
      <c r="AR102" s="47"/>
      <c r="AS102" s="47"/>
      <c r="AT102" s="47"/>
      <c r="AU102" s="47"/>
      <c r="AV102" s="46" t="str">
        <f aca="false">IFERROR(IF(T102&lt;&gt;"",VALUE(T102),""),"")</f>
        <v/>
      </c>
      <c r="AW102" s="46" t="str">
        <f aca="false">IFERROR(IF(N102="","",IF(OR(ISNUMBER(SEARCH("grant",N102)),ISNUMBER(SEARCH("B",AC102))),"Granted",IF(OR(ISNUMBER(SEARCH("pend",N102)),ISNUMBER(SEARCH("A",AC102))),"Pending",IF(ISNUMBER(SEARCH("expir",N102)),"Expired",N102)))),"")</f>
        <v/>
      </c>
      <c r="AX102" s="47"/>
      <c r="AY102" s="46" t="str">
        <f aca="true">IFERROR(IF(M102&lt;&gt;"",ROUND(VALUE(M102),1),IF(L102&lt;&gt;"",ROUND(MAX(0,(DATEVALUE(TEXT(L102,"YYYY-MM-DD"))-TODAY())/365.25),1),"")),"")</f>
        <v/>
      </c>
      <c r="AZ102" s="46" t="str">
        <f aca="false">IFERROR(IF(O102&lt;&gt;"",O102,""),"")</f>
        <v/>
      </c>
      <c r="BA102" s="46" t="str">
        <f aca="false">IFERROR(IF(U102&lt;&gt;"",SUBSTITUTE(SUBSTITUTE(U102,"; ",", "),";",","),""),"")</f>
        <v/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6" t="str">
        <f aca="false">IFERROR(IF(W102&lt;&gt;"",VALUE(W102),""),"")</f>
        <v/>
      </c>
      <c r="BL102" s="46" t="str">
        <f aca="false">IFERROR(IF(X102&lt;&gt;"",VALUE(X102),""),"")</f>
        <v/>
      </c>
      <c r="BM102" s="46" t="str">
        <f aca="false">IFERROR(IF(AD102="","None",IF(ISNUMBER(SEARCH("surv",AD102)),"Survived",IF(ISNUMBER(SEARCH("pend",AD102)),"Pending",IF(ISNUMBER(SEARCH("yes",AD102)),"Pending","None")))),"None")</f>
        <v>None</v>
      </c>
      <c r="BN102" s="47"/>
      <c r="BO102" s="47"/>
      <c r="BP102" s="47"/>
      <c r="BQ102" s="47"/>
      <c r="BR102" s="47"/>
      <c r="BS102" s="47"/>
      <c r="BT102" s="47"/>
      <c r="BU102" s="48" t="n">
        <f aca="false">IFERROR(COUNTA(AE102:BT102)/42,0)</f>
        <v>0.30952380952381</v>
      </c>
      <c r="BV102" s="49"/>
      <c r="BW102" s="50" t="b">
        <f aca="false">IF(Configuration!$C$10="No","",IFERROR(IF(AG102&lt;&gt;"",TRUE(),FALSE()),FALSE()))</f>
        <v>0</v>
      </c>
      <c r="BX102" s="50" t="b">
        <f aca="false">IF(Configuration!$C$11="No","",IFERROR(IF(AND(N(AL102)&gt;=Configuration!$C$44,AM102&lt;&gt;""),TRUE(),FALSE()),FALSE()))</f>
        <v>0</v>
      </c>
      <c r="BY102" s="50" t="b">
        <f aca="false">IF(Configuration!$C$12="No","",IFERROR(IF(AJ102&lt;&gt;"",TRUE(),FALSE()),FALSE()))</f>
        <v>0</v>
      </c>
      <c r="BZ102" s="50" t="b">
        <f aca="false">IF(Configuration!$C$13="No","",IFERROR(IF(AI102&lt;&gt;"",TRUE(),FALSE()),FALSE()))</f>
        <v>0</v>
      </c>
      <c r="CA102" s="50" t="b">
        <f aca="false">IF(Configuration!$C$14="No","",IFERROR(IF(AK102&lt;&gt;"",TRUE(),FALSE()),FALSE()))</f>
        <v>0</v>
      </c>
      <c r="CB102" s="50" t="b">
        <f aca="false">IF(Configuration!$C$15="No","",IFERROR(IF(AND(OR(ISNUMBER(SEARCH("process",AG102)),ISNUMBER(SEARCH("fab",AG102)),ISNUMBER(SEARCH("manufac",AG102))),AO102="Method"),TRUE(),FALSE()),FALSE()))</f>
        <v>0</v>
      </c>
      <c r="CC102" s="50" t="b">
        <f aca="false">IF(Configuration!$C$16="No","",IFERROR(IF(AND(OR(ISNUMBER(SEARCH("material",AG102)),ISNUMBER(SEARCH("chem",AG102)),ISNUMBER(SEARCH("battery",AG102)),ISNUMBER(SEARCH("electrolyte",AG102)),ISNUMBER(SEARCH("polymer",AG102))),OR(AO102="Apparatus",AO102="Method")),TRUE(),FALSE()),FALSE()))</f>
        <v>0</v>
      </c>
      <c r="CD102" s="50" t="b">
        <f aca="false">IF(Configuration!$C$17="No","",IFERROR(IF(AND(OR(AI102="App",AI102="Middleware",AI102="Cloud"),OR(AO102="Method",AO102="CRM")),TRUE(),FALSE()),FALSE()))</f>
        <v>0</v>
      </c>
      <c r="CE102" s="50" t="b">
        <f aca="false">IF(Configuration!$C$18="No","",IFERROR(IF(N(AN102)&gt;=Configuration!$C$45,TRUE(),FALSE()),FALSE()))</f>
        <v>0</v>
      </c>
      <c r="CF102" s="50" t="b">
        <f aca="false">IF(Configuration!$C$19="No","",IFERROR(IF(BE102&lt;&gt;"",TRUE(),FALSE()),FALSE()))</f>
        <v>0</v>
      </c>
      <c r="CG102" s="50" t="b">
        <f aca="false">IF(Configuration!$C$20="No","",IFERROR(IF(AO102&lt;&gt;"",TRUE(),FALSE()),FALSE()))</f>
        <v>0</v>
      </c>
      <c r="CH102" s="50" t="b">
        <f aca="false">IF(Configuration!$C$21="No","",IFERROR(IF(OR(N(AS102)&gt;=Configuration!$C$46,N(AT102)&gt;=Configuration!$C$47),TRUE(),FALSE()),FALSE()))</f>
        <v>0</v>
      </c>
      <c r="CI102" s="50" t="b">
        <f aca="false">IF(Configuration!$C$22="No","",IFERROR(IF(BB102="Yes",TRUE(),FALSE()),FALSE()))</f>
        <v>0</v>
      </c>
      <c r="CJ102" s="50" t="b">
        <f aca="false">IF(Configuration!$C$23="No","",IFERROR(IF(N(AV102)&gt;=Configuration!$C$48,TRUE(),FALSE()),FALSE()))</f>
        <v>0</v>
      </c>
      <c r="CK102" s="50" t="b">
        <f aca="false">IF(Configuration!$C$24="No","",IFERROR(IF(N(AY102)&gt;0,TRUE(),FALSE()),FALSE()))</f>
        <v>0</v>
      </c>
      <c r="CL102" s="50" t="b">
        <f aca="false">IF(Configuration!$C$25="No","",IFERROR(IF(OR(N(AP102)=3,N(AP102)&lt;=1),TRUE(),FALSE()),FALSE()))</f>
        <v>1</v>
      </c>
      <c r="CM102" s="50" t="b">
        <f aca="false">IF(Configuration!$C$26="No","",IFERROR(IF(N(BF102)&gt;=Configuration!$C$49,TRUE(),FALSE()),FALSE()))</f>
        <v>0</v>
      </c>
      <c r="CN102" s="50" t="b">
        <f aca="false">IF(Configuration!$C$27="No","",IFERROR(IF(BD102&lt;&gt;"",TRUE(),FALSE()),FALSE()))</f>
        <v>0</v>
      </c>
      <c r="CO102" s="50" t="b">
        <f aca="false">IF(Configuration!$C$28="No","",IFERROR(IF(N(AU102)&gt;=Configuration!$C$50,TRUE(),FALSE()),FALSE()))</f>
        <v>0</v>
      </c>
      <c r="CP102" s="50" t="b">
        <f aca="false">IF(Configuration!$C$29="No","",IFERROR(IF(AND(N(AR102)&gt;=Configuration!$C$51,AG102&lt;&gt;""),TRUE(),FALSE()),FALSE()))</f>
        <v>0</v>
      </c>
      <c r="CQ102" s="50" t="b">
        <f aca="false">IF(Configuration!$C$30="No","",IFERROR(IF(OR(AW102="Pending",AX102="Yes"),TRUE(),FALSE()),FALSE()))</f>
        <v>0</v>
      </c>
      <c r="CR102" s="50" t="b">
        <f aca="false">IF(Configuration!$C$31="No","",IFERROR(IF(AND(N(BG102)&gt;=Configuration!$C$52,N(AP102)&gt;=1),TRUE(),FALSE()),FALSE()))</f>
        <v>0</v>
      </c>
      <c r="CS102" s="50" t="b">
        <f aca="false">IF(Configuration!$C$32="No","",IFERROR(IF(AND(N(AR102)&gt;=1,OR(AG102&lt;&gt;"",AM102&lt;&gt;"")),TRUE(),FALSE()),FALSE()))</f>
        <v>0</v>
      </c>
      <c r="CT102" s="50" t="b">
        <f aca="false">IF(Configuration!$C$33="No","",IFERROR(IF(AG102&lt;&gt;"",TRUE(),FALSE()),FALSE()))</f>
        <v>0</v>
      </c>
      <c r="CU102" s="50" t="b">
        <f aca="false">IF(Configuration!$C$34="No","",IFERROR(IF(AX102="Yes",TRUE(),FALSE()),FALSE()))</f>
        <v>0</v>
      </c>
      <c r="CV102" s="50" t="b">
        <f aca="false">IF(Configuration!$C$35="No","",IFERROR(IF(OR(BO102="Partial",BO102="Full"),TRUE(),FALSE()),FALSE()))</f>
        <v>0</v>
      </c>
      <c r="CW102" s="50" t="b">
        <f aca="false">IF(Configuration!$C$36="No","",IFERROR(IF(BM102="Survived",TRUE(),FALSE()),FALSE()))</f>
        <v>0</v>
      </c>
      <c r="CX102" s="50" t="b">
        <f aca="false">IF(Configuration!$C$37="No","",IFERROR(IF(AND(BN102="Clean",BP102="None"),TRUE(),FALSE()),FALSE()))</f>
        <v>0</v>
      </c>
      <c r="CY102" s="50" t="b">
        <f aca="false">IF(Configuration!$C$38="No","",IFERROR(IF(N(BK102)&gt;=Configuration!$C$53,TRUE(),FALSE()),FALSE()))</f>
        <v>0</v>
      </c>
      <c r="CZ102" s="50" t="b">
        <f aca="false">IF(Configuration!$C$39="No","",IFERROR(IF(AND(N(BS102)&gt;=2,N(BF102)&gt;=2),TRUE(),FALSE()),FALSE()))</f>
        <v>0</v>
      </c>
      <c r="DA102" s="50" t="b">
        <f aca="false">IF(Configuration!$C$40="No","",IFERROR(IF(OR(N(BG102)&lt;=Configuration!$C$56,N(AY102)&lt;Configuration!$C$57,N(BH102)&lt;=Configuration!$C$58),TRUE(),FALSE()),FALSE()))</f>
        <v>1</v>
      </c>
      <c r="DB102" s="50" t="b">
        <f aca="false">IF(Configuration!$C$41="No","",IFERROR(IF(AND(N(AY102)&gt;=Configuration!$C$54,N(AY102)&lt;=Configuration!$C$55),TRUE(),FALSE()),FALSE()))</f>
        <v>0</v>
      </c>
      <c r="DC102" s="50" t="b">
        <f aca="false">IF(Configuration!$C$42="No","",IFERROR(IF(AND(AG102&lt;&gt;"",AJ102&lt;&gt;""),TRUE(),FALSE()),FALSE()))</f>
        <v>0</v>
      </c>
      <c r="DD102" s="51" t="n">
        <f aca="false">COUNTIF(BW102:DC102,TRUE())</f>
        <v>2</v>
      </c>
    </row>
    <row r="103" customFormat="false" ht="15" hidden="false" customHeight="true" outlineLevel="0" collapsed="false">
      <c r="A103" s="18" t="n">
        <v>64</v>
      </c>
      <c r="B103" s="44"/>
      <c r="C103" s="44"/>
      <c r="D103" s="44"/>
      <c r="E103" s="44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6" t="str">
        <f aca="false">IFERROR(IF(F103&lt;&gt;"",F103,""),"")</f>
        <v/>
      </c>
      <c r="AF103" s="46" t="str">
        <f aca="false">IFERROR(IF(G103&lt;&gt;"",G103,""),"")</f>
        <v/>
      </c>
      <c r="AG103" s="46" t="str">
        <f aca="false">IFERROR(IF(AA103&lt;&gt;"",AA103,IF(R103&lt;&gt;"",R103,"")),"")</f>
        <v/>
      </c>
      <c r="AH103" s="46" t="str">
        <f aca="false">IFERROR(IF(AB103&lt;&gt;"",AB103,IF(S103&lt;&gt;"",S103,"")),"")</f>
        <v/>
      </c>
      <c r="AI103" s="47"/>
      <c r="AJ103" s="47"/>
      <c r="AK103" s="47"/>
      <c r="AL103" s="47"/>
      <c r="AM103" s="47"/>
      <c r="AN103" s="47"/>
      <c r="AO103" s="47"/>
      <c r="AP103" s="47"/>
      <c r="AQ103" s="46" t="str">
        <f aca="false">IFERROR(IF(Y103&lt;&gt;"",VALUE(Y103),""),"")</f>
        <v/>
      </c>
      <c r="AR103" s="47"/>
      <c r="AS103" s="47"/>
      <c r="AT103" s="47"/>
      <c r="AU103" s="47"/>
      <c r="AV103" s="46" t="str">
        <f aca="false">IFERROR(IF(T103&lt;&gt;"",VALUE(T103),""),"")</f>
        <v/>
      </c>
      <c r="AW103" s="46" t="str">
        <f aca="false">IFERROR(IF(N103="","",IF(OR(ISNUMBER(SEARCH("grant",N103)),ISNUMBER(SEARCH("B",AC103))),"Granted",IF(OR(ISNUMBER(SEARCH("pend",N103)),ISNUMBER(SEARCH("A",AC103))),"Pending",IF(ISNUMBER(SEARCH("expir",N103)),"Expired",N103)))),"")</f>
        <v/>
      </c>
      <c r="AX103" s="47"/>
      <c r="AY103" s="46" t="str">
        <f aca="true">IFERROR(IF(M103&lt;&gt;"",ROUND(VALUE(M103),1),IF(L103&lt;&gt;"",ROUND(MAX(0,(DATEVALUE(TEXT(L103,"YYYY-MM-DD"))-TODAY())/365.25),1),"")),"")</f>
        <v/>
      </c>
      <c r="AZ103" s="46" t="str">
        <f aca="false">IFERROR(IF(O103&lt;&gt;"",O103,""),"")</f>
        <v/>
      </c>
      <c r="BA103" s="46" t="str">
        <f aca="false">IFERROR(IF(U103&lt;&gt;"",SUBSTITUTE(SUBSTITUTE(U103,"; ",", "),";",","),""),"")</f>
        <v/>
      </c>
      <c r="BB103" s="47"/>
      <c r="BC103" s="47"/>
      <c r="BD103" s="47"/>
      <c r="BE103" s="47"/>
      <c r="BF103" s="47"/>
      <c r="BG103" s="47"/>
      <c r="BH103" s="47"/>
      <c r="BI103" s="47"/>
      <c r="BJ103" s="47"/>
      <c r="BK103" s="46" t="str">
        <f aca="false">IFERROR(IF(W103&lt;&gt;"",VALUE(W103),""),"")</f>
        <v/>
      </c>
      <c r="BL103" s="46" t="str">
        <f aca="false">IFERROR(IF(X103&lt;&gt;"",VALUE(X103),""),"")</f>
        <v/>
      </c>
      <c r="BM103" s="46" t="str">
        <f aca="false">IFERROR(IF(AD103="","None",IF(ISNUMBER(SEARCH("surv",AD103)),"Survived",IF(ISNUMBER(SEARCH("pend",AD103)),"Pending",IF(ISNUMBER(SEARCH("yes",AD103)),"Pending","None")))),"None")</f>
        <v>None</v>
      </c>
      <c r="BN103" s="47"/>
      <c r="BO103" s="47"/>
      <c r="BP103" s="47"/>
      <c r="BQ103" s="47"/>
      <c r="BR103" s="47"/>
      <c r="BS103" s="47"/>
      <c r="BT103" s="47"/>
      <c r="BU103" s="48" t="n">
        <f aca="false">IFERROR(COUNTA(AE103:BT103)/42,0)</f>
        <v>0.30952380952381</v>
      </c>
      <c r="BV103" s="49"/>
      <c r="BW103" s="50" t="b">
        <f aca="false">IF(Configuration!$C$10="No","",IFERROR(IF(AG103&lt;&gt;"",TRUE(),FALSE()),FALSE()))</f>
        <v>0</v>
      </c>
      <c r="BX103" s="50" t="b">
        <f aca="false">IF(Configuration!$C$11="No","",IFERROR(IF(AND(N(AL103)&gt;=Configuration!$C$44,AM103&lt;&gt;""),TRUE(),FALSE()),FALSE()))</f>
        <v>0</v>
      </c>
      <c r="BY103" s="50" t="b">
        <f aca="false">IF(Configuration!$C$12="No","",IFERROR(IF(AJ103&lt;&gt;"",TRUE(),FALSE()),FALSE()))</f>
        <v>0</v>
      </c>
      <c r="BZ103" s="50" t="b">
        <f aca="false">IF(Configuration!$C$13="No","",IFERROR(IF(AI103&lt;&gt;"",TRUE(),FALSE()),FALSE()))</f>
        <v>0</v>
      </c>
      <c r="CA103" s="50" t="b">
        <f aca="false">IF(Configuration!$C$14="No","",IFERROR(IF(AK103&lt;&gt;"",TRUE(),FALSE()),FALSE()))</f>
        <v>0</v>
      </c>
      <c r="CB103" s="50" t="b">
        <f aca="false">IF(Configuration!$C$15="No","",IFERROR(IF(AND(OR(ISNUMBER(SEARCH("process",AG103)),ISNUMBER(SEARCH("fab",AG103)),ISNUMBER(SEARCH("manufac",AG103))),AO103="Method"),TRUE(),FALSE()),FALSE()))</f>
        <v>0</v>
      </c>
      <c r="CC103" s="50" t="b">
        <f aca="false">IF(Configuration!$C$16="No","",IFERROR(IF(AND(OR(ISNUMBER(SEARCH("material",AG103)),ISNUMBER(SEARCH("chem",AG103)),ISNUMBER(SEARCH("battery",AG103)),ISNUMBER(SEARCH("electrolyte",AG103)),ISNUMBER(SEARCH("polymer",AG103))),OR(AO103="Apparatus",AO103="Method")),TRUE(),FALSE()),FALSE()))</f>
        <v>0</v>
      </c>
      <c r="CD103" s="50" t="b">
        <f aca="false">IF(Configuration!$C$17="No","",IFERROR(IF(AND(OR(AI103="App",AI103="Middleware",AI103="Cloud"),OR(AO103="Method",AO103="CRM")),TRUE(),FALSE()),FALSE()))</f>
        <v>0</v>
      </c>
      <c r="CE103" s="50" t="b">
        <f aca="false">IF(Configuration!$C$18="No","",IFERROR(IF(N(AN103)&gt;=Configuration!$C$45,TRUE(),FALSE()),FALSE()))</f>
        <v>0</v>
      </c>
      <c r="CF103" s="50" t="b">
        <f aca="false">IF(Configuration!$C$19="No","",IFERROR(IF(BE103&lt;&gt;"",TRUE(),FALSE()),FALSE()))</f>
        <v>0</v>
      </c>
      <c r="CG103" s="50" t="b">
        <f aca="false">IF(Configuration!$C$20="No","",IFERROR(IF(AO103&lt;&gt;"",TRUE(),FALSE()),FALSE()))</f>
        <v>0</v>
      </c>
      <c r="CH103" s="50" t="b">
        <f aca="false">IF(Configuration!$C$21="No","",IFERROR(IF(OR(N(AS103)&gt;=Configuration!$C$46,N(AT103)&gt;=Configuration!$C$47),TRUE(),FALSE()),FALSE()))</f>
        <v>0</v>
      </c>
      <c r="CI103" s="50" t="b">
        <f aca="false">IF(Configuration!$C$22="No","",IFERROR(IF(BB103="Yes",TRUE(),FALSE()),FALSE()))</f>
        <v>0</v>
      </c>
      <c r="CJ103" s="50" t="b">
        <f aca="false">IF(Configuration!$C$23="No","",IFERROR(IF(N(AV103)&gt;=Configuration!$C$48,TRUE(),FALSE()),FALSE()))</f>
        <v>0</v>
      </c>
      <c r="CK103" s="50" t="b">
        <f aca="false">IF(Configuration!$C$24="No","",IFERROR(IF(N(AY103)&gt;0,TRUE(),FALSE()),FALSE()))</f>
        <v>0</v>
      </c>
      <c r="CL103" s="50" t="b">
        <f aca="false">IF(Configuration!$C$25="No","",IFERROR(IF(OR(N(AP103)=3,N(AP103)&lt;=1),TRUE(),FALSE()),FALSE()))</f>
        <v>1</v>
      </c>
      <c r="CM103" s="50" t="b">
        <f aca="false">IF(Configuration!$C$26="No","",IFERROR(IF(N(BF103)&gt;=Configuration!$C$49,TRUE(),FALSE()),FALSE()))</f>
        <v>0</v>
      </c>
      <c r="CN103" s="50" t="b">
        <f aca="false">IF(Configuration!$C$27="No","",IFERROR(IF(BD103&lt;&gt;"",TRUE(),FALSE()),FALSE()))</f>
        <v>0</v>
      </c>
      <c r="CO103" s="50" t="b">
        <f aca="false">IF(Configuration!$C$28="No","",IFERROR(IF(N(AU103)&gt;=Configuration!$C$50,TRUE(),FALSE()),FALSE()))</f>
        <v>0</v>
      </c>
      <c r="CP103" s="50" t="b">
        <f aca="false">IF(Configuration!$C$29="No","",IFERROR(IF(AND(N(AR103)&gt;=Configuration!$C$51,AG103&lt;&gt;""),TRUE(),FALSE()),FALSE()))</f>
        <v>0</v>
      </c>
      <c r="CQ103" s="50" t="b">
        <f aca="false">IF(Configuration!$C$30="No","",IFERROR(IF(OR(AW103="Pending",AX103="Yes"),TRUE(),FALSE()),FALSE()))</f>
        <v>0</v>
      </c>
      <c r="CR103" s="50" t="b">
        <f aca="false">IF(Configuration!$C$31="No","",IFERROR(IF(AND(N(BG103)&gt;=Configuration!$C$52,N(AP103)&gt;=1),TRUE(),FALSE()),FALSE()))</f>
        <v>0</v>
      </c>
      <c r="CS103" s="50" t="b">
        <f aca="false">IF(Configuration!$C$32="No","",IFERROR(IF(AND(N(AR103)&gt;=1,OR(AG103&lt;&gt;"",AM103&lt;&gt;"")),TRUE(),FALSE()),FALSE()))</f>
        <v>0</v>
      </c>
      <c r="CT103" s="50" t="b">
        <f aca="false">IF(Configuration!$C$33="No","",IFERROR(IF(AG103&lt;&gt;"",TRUE(),FALSE()),FALSE()))</f>
        <v>0</v>
      </c>
      <c r="CU103" s="50" t="b">
        <f aca="false">IF(Configuration!$C$34="No","",IFERROR(IF(AX103="Yes",TRUE(),FALSE()),FALSE()))</f>
        <v>0</v>
      </c>
      <c r="CV103" s="50" t="b">
        <f aca="false">IF(Configuration!$C$35="No","",IFERROR(IF(OR(BO103="Partial",BO103="Full"),TRUE(),FALSE()),FALSE()))</f>
        <v>0</v>
      </c>
      <c r="CW103" s="50" t="b">
        <f aca="false">IF(Configuration!$C$36="No","",IFERROR(IF(BM103="Survived",TRUE(),FALSE()),FALSE()))</f>
        <v>0</v>
      </c>
      <c r="CX103" s="50" t="b">
        <f aca="false">IF(Configuration!$C$37="No","",IFERROR(IF(AND(BN103="Clean",BP103="None"),TRUE(),FALSE()),FALSE()))</f>
        <v>0</v>
      </c>
      <c r="CY103" s="50" t="b">
        <f aca="false">IF(Configuration!$C$38="No","",IFERROR(IF(N(BK103)&gt;=Configuration!$C$53,TRUE(),FALSE()),FALSE()))</f>
        <v>0</v>
      </c>
      <c r="CZ103" s="50" t="b">
        <f aca="false">IF(Configuration!$C$39="No","",IFERROR(IF(AND(N(BS103)&gt;=2,N(BF103)&gt;=2),TRUE(),FALSE()),FALSE()))</f>
        <v>0</v>
      </c>
      <c r="DA103" s="50" t="b">
        <f aca="false">IF(Configuration!$C$40="No","",IFERROR(IF(OR(N(BG103)&lt;=Configuration!$C$56,N(AY103)&lt;Configuration!$C$57,N(BH103)&lt;=Configuration!$C$58),TRUE(),FALSE()),FALSE()))</f>
        <v>1</v>
      </c>
      <c r="DB103" s="50" t="b">
        <f aca="false">IF(Configuration!$C$41="No","",IFERROR(IF(AND(N(AY103)&gt;=Configuration!$C$54,N(AY103)&lt;=Configuration!$C$55),TRUE(),FALSE()),FALSE()))</f>
        <v>0</v>
      </c>
      <c r="DC103" s="50" t="b">
        <f aca="false">IF(Configuration!$C$42="No","",IFERROR(IF(AND(AG103&lt;&gt;"",AJ103&lt;&gt;""),TRUE(),FALSE()),FALSE()))</f>
        <v>0</v>
      </c>
      <c r="DD103" s="51" t="n">
        <f aca="false">COUNTIF(BW103:DC103,TRUE())</f>
        <v>2</v>
      </c>
    </row>
    <row r="104" customFormat="false" ht="15" hidden="false" customHeight="true" outlineLevel="0" collapsed="false">
      <c r="A104" s="18" t="n">
        <v>65</v>
      </c>
      <c r="B104" s="44"/>
      <c r="C104" s="44"/>
      <c r="D104" s="44"/>
      <c r="E104" s="44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6" t="str">
        <f aca="false">IFERROR(IF(F104&lt;&gt;"",F104,""),"")</f>
        <v/>
      </c>
      <c r="AF104" s="46" t="str">
        <f aca="false">IFERROR(IF(G104&lt;&gt;"",G104,""),"")</f>
        <v/>
      </c>
      <c r="AG104" s="46" t="str">
        <f aca="false">IFERROR(IF(AA104&lt;&gt;"",AA104,IF(R104&lt;&gt;"",R104,"")),"")</f>
        <v/>
      </c>
      <c r="AH104" s="46" t="str">
        <f aca="false">IFERROR(IF(AB104&lt;&gt;"",AB104,IF(S104&lt;&gt;"",S104,"")),"")</f>
        <v/>
      </c>
      <c r="AI104" s="47"/>
      <c r="AJ104" s="47"/>
      <c r="AK104" s="47"/>
      <c r="AL104" s="47"/>
      <c r="AM104" s="47"/>
      <c r="AN104" s="47"/>
      <c r="AO104" s="47"/>
      <c r="AP104" s="47"/>
      <c r="AQ104" s="46" t="str">
        <f aca="false">IFERROR(IF(Y104&lt;&gt;"",VALUE(Y104),""),"")</f>
        <v/>
      </c>
      <c r="AR104" s="47"/>
      <c r="AS104" s="47"/>
      <c r="AT104" s="47"/>
      <c r="AU104" s="47"/>
      <c r="AV104" s="46" t="str">
        <f aca="false">IFERROR(IF(T104&lt;&gt;"",VALUE(T104),""),"")</f>
        <v/>
      </c>
      <c r="AW104" s="46" t="str">
        <f aca="false">IFERROR(IF(N104="","",IF(OR(ISNUMBER(SEARCH("grant",N104)),ISNUMBER(SEARCH("B",AC104))),"Granted",IF(OR(ISNUMBER(SEARCH("pend",N104)),ISNUMBER(SEARCH("A",AC104))),"Pending",IF(ISNUMBER(SEARCH("expir",N104)),"Expired",N104)))),"")</f>
        <v/>
      </c>
      <c r="AX104" s="47"/>
      <c r="AY104" s="46" t="str">
        <f aca="true">IFERROR(IF(M104&lt;&gt;"",ROUND(VALUE(M104),1),IF(L104&lt;&gt;"",ROUND(MAX(0,(DATEVALUE(TEXT(L104,"YYYY-MM-DD"))-TODAY())/365.25),1),"")),"")</f>
        <v/>
      </c>
      <c r="AZ104" s="46" t="str">
        <f aca="false">IFERROR(IF(O104&lt;&gt;"",O104,""),"")</f>
        <v/>
      </c>
      <c r="BA104" s="46" t="str">
        <f aca="false">IFERROR(IF(U104&lt;&gt;"",SUBSTITUTE(SUBSTITUTE(U104,"; ",", "),";",","),""),"")</f>
        <v/>
      </c>
      <c r="BB104" s="47"/>
      <c r="BC104" s="47"/>
      <c r="BD104" s="47"/>
      <c r="BE104" s="47"/>
      <c r="BF104" s="47"/>
      <c r="BG104" s="47"/>
      <c r="BH104" s="47"/>
      <c r="BI104" s="47"/>
      <c r="BJ104" s="47"/>
      <c r="BK104" s="46" t="str">
        <f aca="false">IFERROR(IF(W104&lt;&gt;"",VALUE(W104),""),"")</f>
        <v/>
      </c>
      <c r="BL104" s="46" t="str">
        <f aca="false">IFERROR(IF(X104&lt;&gt;"",VALUE(X104),""),"")</f>
        <v/>
      </c>
      <c r="BM104" s="46" t="str">
        <f aca="false">IFERROR(IF(AD104="","None",IF(ISNUMBER(SEARCH("surv",AD104)),"Survived",IF(ISNUMBER(SEARCH("pend",AD104)),"Pending",IF(ISNUMBER(SEARCH("yes",AD104)),"Pending","None")))),"None")</f>
        <v>None</v>
      </c>
      <c r="BN104" s="47"/>
      <c r="BO104" s="47"/>
      <c r="BP104" s="47"/>
      <c r="BQ104" s="47"/>
      <c r="BR104" s="47"/>
      <c r="BS104" s="47"/>
      <c r="BT104" s="47"/>
      <c r="BU104" s="48" t="n">
        <f aca="false">IFERROR(COUNTA(AE104:BT104)/42,0)</f>
        <v>0.30952380952381</v>
      </c>
      <c r="BV104" s="49"/>
      <c r="BW104" s="50" t="b">
        <f aca="false">IF(Configuration!$C$10="No","",IFERROR(IF(AG104&lt;&gt;"",TRUE(),FALSE()),FALSE()))</f>
        <v>0</v>
      </c>
      <c r="BX104" s="50" t="b">
        <f aca="false">IF(Configuration!$C$11="No","",IFERROR(IF(AND(N(AL104)&gt;=Configuration!$C$44,AM104&lt;&gt;""),TRUE(),FALSE()),FALSE()))</f>
        <v>0</v>
      </c>
      <c r="BY104" s="50" t="b">
        <f aca="false">IF(Configuration!$C$12="No","",IFERROR(IF(AJ104&lt;&gt;"",TRUE(),FALSE()),FALSE()))</f>
        <v>0</v>
      </c>
      <c r="BZ104" s="50" t="b">
        <f aca="false">IF(Configuration!$C$13="No","",IFERROR(IF(AI104&lt;&gt;"",TRUE(),FALSE()),FALSE()))</f>
        <v>0</v>
      </c>
      <c r="CA104" s="50" t="b">
        <f aca="false">IF(Configuration!$C$14="No","",IFERROR(IF(AK104&lt;&gt;"",TRUE(),FALSE()),FALSE()))</f>
        <v>0</v>
      </c>
      <c r="CB104" s="50" t="b">
        <f aca="false">IF(Configuration!$C$15="No","",IFERROR(IF(AND(OR(ISNUMBER(SEARCH("process",AG104)),ISNUMBER(SEARCH("fab",AG104)),ISNUMBER(SEARCH("manufac",AG104))),AO104="Method"),TRUE(),FALSE()),FALSE()))</f>
        <v>0</v>
      </c>
      <c r="CC104" s="50" t="b">
        <f aca="false">IF(Configuration!$C$16="No","",IFERROR(IF(AND(OR(ISNUMBER(SEARCH("material",AG104)),ISNUMBER(SEARCH("chem",AG104)),ISNUMBER(SEARCH("battery",AG104)),ISNUMBER(SEARCH("electrolyte",AG104)),ISNUMBER(SEARCH("polymer",AG104))),OR(AO104="Apparatus",AO104="Method")),TRUE(),FALSE()),FALSE()))</f>
        <v>0</v>
      </c>
      <c r="CD104" s="50" t="b">
        <f aca="false">IF(Configuration!$C$17="No","",IFERROR(IF(AND(OR(AI104="App",AI104="Middleware",AI104="Cloud"),OR(AO104="Method",AO104="CRM")),TRUE(),FALSE()),FALSE()))</f>
        <v>0</v>
      </c>
      <c r="CE104" s="50" t="b">
        <f aca="false">IF(Configuration!$C$18="No","",IFERROR(IF(N(AN104)&gt;=Configuration!$C$45,TRUE(),FALSE()),FALSE()))</f>
        <v>0</v>
      </c>
      <c r="CF104" s="50" t="b">
        <f aca="false">IF(Configuration!$C$19="No","",IFERROR(IF(BE104&lt;&gt;"",TRUE(),FALSE()),FALSE()))</f>
        <v>0</v>
      </c>
      <c r="CG104" s="50" t="b">
        <f aca="false">IF(Configuration!$C$20="No","",IFERROR(IF(AO104&lt;&gt;"",TRUE(),FALSE()),FALSE()))</f>
        <v>0</v>
      </c>
      <c r="CH104" s="50" t="b">
        <f aca="false">IF(Configuration!$C$21="No","",IFERROR(IF(OR(N(AS104)&gt;=Configuration!$C$46,N(AT104)&gt;=Configuration!$C$47),TRUE(),FALSE()),FALSE()))</f>
        <v>0</v>
      </c>
      <c r="CI104" s="50" t="b">
        <f aca="false">IF(Configuration!$C$22="No","",IFERROR(IF(BB104="Yes",TRUE(),FALSE()),FALSE()))</f>
        <v>0</v>
      </c>
      <c r="CJ104" s="50" t="b">
        <f aca="false">IF(Configuration!$C$23="No","",IFERROR(IF(N(AV104)&gt;=Configuration!$C$48,TRUE(),FALSE()),FALSE()))</f>
        <v>0</v>
      </c>
      <c r="CK104" s="50" t="b">
        <f aca="false">IF(Configuration!$C$24="No","",IFERROR(IF(N(AY104)&gt;0,TRUE(),FALSE()),FALSE()))</f>
        <v>0</v>
      </c>
      <c r="CL104" s="50" t="b">
        <f aca="false">IF(Configuration!$C$25="No","",IFERROR(IF(OR(N(AP104)=3,N(AP104)&lt;=1),TRUE(),FALSE()),FALSE()))</f>
        <v>1</v>
      </c>
      <c r="CM104" s="50" t="b">
        <f aca="false">IF(Configuration!$C$26="No","",IFERROR(IF(N(BF104)&gt;=Configuration!$C$49,TRUE(),FALSE()),FALSE()))</f>
        <v>0</v>
      </c>
      <c r="CN104" s="50" t="b">
        <f aca="false">IF(Configuration!$C$27="No","",IFERROR(IF(BD104&lt;&gt;"",TRUE(),FALSE()),FALSE()))</f>
        <v>0</v>
      </c>
      <c r="CO104" s="50" t="b">
        <f aca="false">IF(Configuration!$C$28="No","",IFERROR(IF(N(AU104)&gt;=Configuration!$C$50,TRUE(),FALSE()),FALSE()))</f>
        <v>0</v>
      </c>
      <c r="CP104" s="50" t="b">
        <f aca="false">IF(Configuration!$C$29="No","",IFERROR(IF(AND(N(AR104)&gt;=Configuration!$C$51,AG104&lt;&gt;""),TRUE(),FALSE()),FALSE()))</f>
        <v>0</v>
      </c>
      <c r="CQ104" s="50" t="b">
        <f aca="false">IF(Configuration!$C$30="No","",IFERROR(IF(OR(AW104="Pending",AX104="Yes"),TRUE(),FALSE()),FALSE()))</f>
        <v>0</v>
      </c>
      <c r="CR104" s="50" t="b">
        <f aca="false">IF(Configuration!$C$31="No","",IFERROR(IF(AND(N(BG104)&gt;=Configuration!$C$52,N(AP104)&gt;=1),TRUE(),FALSE()),FALSE()))</f>
        <v>0</v>
      </c>
      <c r="CS104" s="50" t="b">
        <f aca="false">IF(Configuration!$C$32="No","",IFERROR(IF(AND(N(AR104)&gt;=1,OR(AG104&lt;&gt;"",AM104&lt;&gt;"")),TRUE(),FALSE()),FALSE()))</f>
        <v>0</v>
      </c>
      <c r="CT104" s="50" t="b">
        <f aca="false">IF(Configuration!$C$33="No","",IFERROR(IF(AG104&lt;&gt;"",TRUE(),FALSE()),FALSE()))</f>
        <v>0</v>
      </c>
      <c r="CU104" s="50" t="b">
        <f aca="false">IF(Configuration!$C$34="No","",IFERROR(IF(AX104="Yes",TRUE(),FALSE()),FALSE()))</f>
        <v>0</v>
      </c>
      <c r="CV104" s="50" t="b">
        <f aca="false">IF(Configuration!$C$35="No","",IFERROR(IF(OR(BO104="Partial",BO104="Full"),TRUE(),FALSE()),FALSE()))</f>
        <v>0</v>
      </c>
      <c r="CW104" s="50" t="b">
        <f aca="false">IF(Configuration!$C$36="No","",IFERROR(IF(BM104="Survived",TRUE(),FALSE()),FALSE()))</f>
        <v>0</v>
      </c>
      <c r="CX104" s="50" t="b">
        <f aca="false">IF(Configuration!$C$37="No","",IFERROR(IF(AND(BN104="Clean",BP104="None"),TRUE(),FALSE()),FALSE()))</f>
        <v>0</v>
      </c>
      <c r="CY104" s="50" t="b">
        <f aca="false">IF(Configuration!$C$38="No","",IFERROR(IF(N(BK104)&gt;=Configuration!$C$53,TRUE(),FALSE()),FALSE()))</f>
        <v>0</v>
      </c>
      <c r="CZ104" s="50" t="b">
        <f aca="false">IF(Configuration!$C$39="No","",IFERROR(IF(AND(N(BS104)&gt;=2,N(BF104)&gt;=2),TRUE(),FALSE()),FALSE()))</f>
        <v>0</v>
      </c>
      <c r="DA104" s="50" t="b">
        <f aca="false">IF(Configuration!$C$40="No","",IFERROR(IF(OR(N(BG104)&lt;=Configuration!$C$56,N(AY104)&lt;Configuration!$C$57,N(BH104)&lt;=Configuration!$C$58),TRUE(),FALSE()),FALSE()))</f>
        <v>1</v>
      </c>
      <c r="DB104" s="50" t="b">
        <f aca="false">IF(Configuration!$C$41="No","",IFERROR(IF(AND(N(AY104)&gt;=Configuration!$C$54,N(AY104)&lt;=Configuration!$C$55),TRUE(),FALSE()),FALSE()))</f>
        <v>0</v>
      </c>
      <c r="DC104" s="50" t="b">
        <f aca="false">IF(Configuration!$C$42="No","",IFERROR(IF(AND(AG104&lt;&gt;"",AJ104&lt;&gt;""),TRUE(),FALSE()),FALSE()))</f>
        <v>0</v>
      </c>
      <c r="DD104" s="51" t="n">
        <f aca="false">COUNTIF(BW104:DC104,TRUE())</f>
        <v>2</v>
      </c>
    </row>
    <row r="105" customFormat="false" ht="15" hidden="false" customHeight="true" outlineLevel="0" collapsed="false">
      <c r="A105" s="18" t="n">
        <v>66</v>
      </c>
      <c r="B105" s="44"/>
      <c r="C105" s="44"/>
      <c r="D105" s="44"/>
      <c r="E105" s="44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6" t="str">
        <f aca="false">IFERROR(IF(F105&lt;&gt;"",F105,""),"")</f>
        <v/>
      </c>
      <c r="AF105" s="46" t="str">
        <f aca="false">IFERROR(IF(G105&lt;&gt;"",G105,""),"")</f>
        <v/>
      </c>
      <c r="AG105" s="46" t="str">
        <f aca="false">IFERROR(IF(AA105&lt;&gt;"",AA105,IF(R105&lt;&gt;"",R105,"")),"")</f>
        <v/>
      </c>
      <c r="AH105" s="46" t="str">
        <f aca="false">IFERROR(IF(AB105&lt;&gt;"",AB105,IF(S105&lt;&gt;"",S105,"")),"")</f>
        <v/>
      </c>
      <c r="AI105" s="47"/>
      <c r="AJ105" s="47"/>
      <c r="AK105" s="47"/>
      <c r="AL105" s="47"/>
      <c r="AM105" s="47"/>
      <c r="AN105" s="47"/>
      <c r="AO105" s="47"/>
      <c r="AP105" s="47"/>
      <c r="AQ105" s="46" t="str">
        <f aca="false">IFERROR(IF(Y105&lt;&gt;"",VALUE(Y105),""),"")</f>
        <v/>
      </c>
      <c r="AR105" s="47"/>
      <c r="AS105" s="47"/>
      <c r="AT105" s="47"/>
      <c r="AU105" s="47"/>
      <c r="AV105" s="46" t="str">
        <f aca="false">IFERROR(IF(T105&lt;&gt;"",VALUE(T105),""),"")</f>
        <v/>
      </c>
      <c r="AW105" s="46" t="str">
        <f aca="false">IFERROR(IF(N105="","",IF(OR(ISNUMBER(SEARCH("grant",N105)),ISNUMBER(SEARCH("B",AC105))),"Granted",IF(OR(ISNUMBER(SEARCH("pend",N105)),ISNUMBER(SEARCH("A",AC105))),"Pending",IF(ISNUMBER(SEARCH("expir",N105)),"Expired",N105)))),"")</f>
        <v/>
      </c>
      <c r="AX105" s="47"/>
      <c r="AY105" s="46" t="str">
        <f aca="true">IFERROR(IF(M105&lt;&gt;"",ROUND(VALUE(M105),1),IF(L105&lt;&gt;"",ROUND(MAX(0,(DATEVALUE(TEXT(L105,"YYYY-MM-DD"))-TODAY())/365.25),1),"")),"")</f>
        <v/>
      </c>
      <c r="AZ105" s="46" t="str">
        <f aca="false">IFERROR(IF(O105&lt;&gt;"",O105,""),"")</f>
        <v/>
      </c>
      <c r="BA105" s="46" t="str">
        <f aca="false">IFERROR(IF(U105&lt;&gt;"",SUBSTITUTE(SUBSTITUTE(U105,"; ",", "),";",","),""),"")</f>
        <v/>
      </c>
      <c r="BB105" s="47"/>
      <c r="BC105" s="47"/>
      <c r="BD105" s="47"/>
      <c r="BE105" s="47"/>
      <c r="BF105" s="47"/>
      <c r="BG105" s="47"/>
      <c r="BH105" s="47"/>
      <c r="BI105" s="47"/>
      <c r="BJ105" s="47"/>
      <c r="BK105" s="46" t="str">
        <f aca="false">IFERROR(IF(W105&lt;&gt;"",VALUE(W105),""),"")</f>
        <v/>
      </c>
      <c r="BL105" s="46" t="str">
        <f aca="false">IFERROR(IF(X105&lt;&gt;"",VALUE(X105),""),"")</f>
        <v/>
      </c>
      <c r="BM105" s="46" t="str">
        <f aca="false">IFERROR(IF(AD105="","None",IF(ISNUMBER(SEARCH("surv",AD105)),"Survived",IF(ISNUMBER(SEARCH("pend",AD105)),"Pending",IF(ISNUMBER(SEARCH("yes",AD105)),"Pending","None")))),"None")</f>
        <v>None</v>
      </c>
      <c r="BN105" s="47"/>
      <c r="BO105" s="47"/>
      <c r="BP105" s="47"/>
      <c r="BQ105" s="47"/>
      <c r="BR105" s="47"/>
      <c r="BS105" s="47"/>
      <c r="BT105" s="47"/>
      <c r="BU105" s="48" t="n">
        <f aca="false">IFERROR(COUNTA(AE105:BT105)/42,0)</f>
        <v>0.30952380952381</v>
      </c>
      <c r="BV105" s="49"/>
      <c r="BW105" s="50" t="b">
        <f aca="false">IF(Configuration!$C$10="No","",IFERROR(IF(AG105&lt;&gt;"",TRUE(),FALSE()),FALSE()))</f>
        <v>0</v>
      </c>
      <c r="BX105" s="50" t="b">
        <f aca="false">IF(Configuration!$C$11="No","",IFERROR(IF(AND(N(AL105)&gt;=Configuration!$C$44,AM105&lt;&gt;""),TRUE(),FALSE()),FALSE()))</f>
        <v>0</v>
      </c>
      <c r="BY105" s="50" t="b">
        <f aca="false">IF(Configuration!$C$12="No","",IFERROR(IF(AJ105&lt;&gt;"",TRUE(),FALSE()),FALSE()))</f>
        <v>0</v>
      </c>
      <c r="BZ105" s="50" t="b">
        <f aca="false">IF(Configuration!$C$13="No","",IFERROR(IF(AI105&lt;&gt;"",TRUE(),FALSE()),FALSE()))</f>
        <v>0</v>
      </c>
      <c r="CA105" s="50" t="b">
        <f aca="false">IF(Configuration!$C$14="No","",IFERROR(IF(AK105&lt;&gt;"",TRUE(),FALSE()),FALSE()))</f>
        <v>0</v>
      </c>
      <c r="CB105" s="50" t="b">
        <f aca="false">IF(Configuration!$C$15="No","",IFERROR(IF(AND(OR(ISNUMBER(SEARCH("process",AG105)),ISNUMBER(SEARCH("fab",AG105)),ISNUMBER(SEARCH("manufac",AG105))),AO105="Method"),TRUE(),FALSE()),FALSE()))</f>
        <v>0</v>
      </c>
      <c r="CC105" s="50" t="b">
        <f aca="false">IF(Configuration!$C$16="No","",IFERROR(IF(AND(OR(ISNUMBER(SEARCH("material",AG105)),ISNUMBER(SEARCH("chem",AG105)),ISNUMBER(SEARCH("battery",AG105)),ISNUMBER(SEARCH("electrolyte",AG105)),ISNUMBER(SEARCH("polymer",AG105))),OR(AO105="Apparatus",AO105="Method")),TRUE(),FALSE()),FALSE()))</f>
        <v>0</v>
      </c>
      <c r="CD105" s="50" t="b">
        <f aca="false">IF(Configuration!$C$17="No","",IFERROR(IF(AND(OR(AI105="App",AI105="Middleware",AI105="Cloud"),OR(AO105="Method",AO105="CRM")),TRUE(),FALSE()),FALSE()))</f>
        <v>0</v>
      </c>
      <c r="CE105" s="50" t="b">
        <f aca="false">IF(Configuration!$C$18="No","",IFERROR(IF(N(AN105)&gt;=Configuration!$C$45,TRUE(),FALSE()),FALSE()))</f>
        <v>0</v>
      </c>
      <c r="CF105" s="50" t="b">
        <f aca="false">IF(Configuration!$C$19="No","",IFERROR(IF(BE105&lt;&gt;"",TRUE(),FALSE()),FALSE()))</f>
        <v>0</v>
      </c>
      <c r="CG105" s="50" t="b">
        <f aca="false">IF(Configuration!$C$20="No","",IFERROR(IF(AO105&lt;&gt;"",TRUE(),FALSE()),FALSE()))</f>
        <v>0</v>
      </c>
      <c r="CH105" s="50" t="b">
        <f aca="false">IF(Configuration!$C$21="No","",IFERROR(IF(OR(N(AS105)&gt;=Configuration!$C$46,N(AT105)&gt;=Configuration!$C$47),TRUE(),FALSE()),FALSE()))</f>
        <v>0</v>
      </c>
      <c r="CI105" s="50" t="b">
        <f aca="false">IF(Configuration!$C$22="No","",IFERROR(IF(BB105="Yes",TRUE(),FALSE()),FALSE()))</f>
        <v>0</v>
      </c>
      <c r="CJ105" s="50" t="b">
        <f aca="false">IF(Configuration!$C$23="No","",IFERROR(IF(N(AV105)&gt;=Configuration!$C$48,TRUE(),FALSE()),FALSE()))</f>
        <v>0</v>
      </c>
      <c r="CK105" s="50" t="b">
        <f aca="false">IF(Configuration!$C$24="No","",IFERROR(IF(N(AY105)&gt;0,TRUE(),FALSE()),FALSE()))</f>
        <v>0</v>
      </c>
      <c r="CL105" s="50" t="b">
        <f aca="false">IF(Configuration!$C$25="No","",IFERROR(IF(OR(N(AP105)=3,N(AP105)&lt;=1),TRUE(),FALSE()),FALSE()))</f>
        <v>1</v>
      </c>
      <c r="CM105" s="50" t="b">
        <f aca="false">IF(Configuration!$C$26="No","",IFERROR(IF(N(BF105)&gt;=Configuration!$C$49,TRUE(),FALSE()),FALSE()))</f>
        <v>0</v>
      </c>
      <c r="CN105" s="50" t="b">
        <f aca="false">IF(Configuration!$C$27="No","",IFERROR(IF(BD105&lt;&gt;"",TRUE(),FALSE()),FALSE()))</f>
        <v>0</v>
      </c>
      <c r="CO105" s="50" t="b">
        <f aca="false">IF(Configuration!$C$28="No","",IFERROR(IF(N(AU105)&gt;=Configuration!$C$50,TRUE(),FALSE()),FALSE()))</f>
        <v>0</v>
      </c>
      <c r="CP105" s="50" t="b">
        <f aca="false">IF(Configuration!$C$29="No","",IFERROR(IF(AND(N(AR105)&gt;=Configuration!$C$51,AG105&lt;&gt;""),TRUE(),FALSE()),FALSE()))</f>
        <v>0</v>
      </c>
      <c r="CQ105" s="50" t="b">
        <f aca="false">IF(Configuration!$C$30="No","",IFERROR(IF(OR(AW105="Pending",AX105="Yes"),TRUE(),FALSE()),FALSE()))</f>
        <v>0</v>
      </c>
      <c r="CR105" s="50" t="b">
        <f aca="false">IF(Configuration!$C$31="No","",IFERROR(IF(AND(N(BG105)&gt;=Configuration!$C$52,N(AP105)&gt;=1),TRUE(),FALSE()),FALSE()))</f>
        <v>0</v>
      </c>
      <c r="CS105" s="50" t="b">
        <f aca="false">IF(Configuration!$C$32="No","",IFERROR(IF(AND(N(AR105)&gt;=1,OR(AG105&lt;&gt;"",AM105&lt;&gt;"")),TRUE(),FALSE()),FALSE()))</f>
        <v>0</v>
      </c>
      <c r="CT105" s="50" t="b">
        <f aca="false">IF(Configuration!$C$33="No","",IFERROR(IF(AG105&lt;&gt;"",TRUE(),FALSE()),FALSE()))</f>
        <v>0</v>
      </c>
      <c r="CU105" s="50" t="b">
        <f aca="false">IF(Configuration!$C$34="No","",IFERROR(IF(AX105="Yes",TRUE(),FALSE()),FALSE()))</f>
        <v>0</v>
      </c>
      <c r="CV105" s="50" t="b">
        <f aca="false">IF(Configuration!$C$35="No","",IFERROR(IF(OR(BO105="Partial",BO105="Full"),TRUE(),FALSE()),FALSE()))</f>
        <v>0</v>
      </c>
      <c r="CW105" s="50" t="b">
        <f aca="false">IF(Configuration!$C$36="No","",IFERROR(IF(BM105="Survived",TRUE(),FALSE()),FALSE()))</f>
        <v>0</v>
      </c>
      <c r="CX105" s="50" t="b">
        <f aca="false">IF(Configuration!$C$37="No","",IFERROR(IF(AND(BN105="Clean",BP105="None"),TRUE(),FALSE()),FALSE()))</f>
        <v>0</v>
      </c>
      <c r="CY105" s="50" t="b">
        <f aca="false">IF(Configuration!$C$38="No","",IFERROR(IF(N(BK105)&gt;=Configuration!$C$53,TRUE(),FALSE()),FALSE()))</f>
        <v>0</v>
      </c>
      <c r="CZ105" s="50" t="b">
        <f aca="false">IF(Configuration!$C$39="No","",IFERROR(IF(AND(N(BS105)&gt;=2,N(BF105)&gt;=2),TRUE(),FALSE()),FALSE()))</f>
        <v>0</v>
      </c>
      <c r="DA105" s="50" t="b">
        <f aca="false">IF(Configuration!$C$40="No","",IFERROR(IF(OR(N(BG105)&lt;=Configuration!$C$56,N(AY105)&lt;Configuration!$C$57,N(BH105)&lt;=Configuration!$C$58),TRUE(),FALSE()),FALSE()))</f>
        <v>1</v>
      </c>
      <c r="DB105" s="50" t="b">
        <f aca="false">IF(Configuration!$C$41="No","",IFERROR(IF(AND(N(AY105)&gt;=Configuration!$C$54,N(AY105)&lt;=Configuration!$C$55),TRUE(),FALSE()),FALSE()))</f>
        <v>0</v>
      </c>
      <c r="DC105" s="50" t="b">
        <f aca="false">IF(Configuration!$C$42="No","",IFERROR(IF(AND(AG105&lt;&gt;"",AJ105&lt;&gt;""),TRUE(),FALSE()),FALSE()))</f>
        <v>0</v>
      </c>
      <c r="DD105" s="51" t="n">
        <f aca="false">COUNTIF(BW105:DC105,TRUE())</f>
        <v>2</v>
      </c>
    </row>
    <row r="106" customFormat="false" ht="15" hidden="false" customHeight="true" outlineLevel="0" collapsed="false">
      <c r="A106" s="18" t="n">
        <v>67</v>
      </c>
      <c r="B106" s="44"/>
      <c r="C106" s="44"/>
      <c r="D106" s="44"/>
      <c r="E106" s="44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6" t="str">
        <f aca="false">IFERROR(IF(F106&lt;&gt;"",F106,""),"")</f>
        <v/>
      </c>
      <c r="AF106" s="46" t="str">
        <f aca="false">IFERROR(IF(G106&lt;&gt;"",G106,""),"")</f>
        <v/>
      </c>
      <c r="AG106" s="46" t="str">
        <f aca="false">IFERROR(IF(AA106&lt;&gt;"",AA106,IF(R106&lt;&gt;"",R106,"")),"")</f>
        <v/>
      </c>
      <c r="AH106" s="46" t="str">
        <f aca="false">IFERROR(IF(AB106&lt;&gt;"",AB106,IF(S106&lt;&gt;"",S106,"")),"")</f>
        <v/>
      </c>
      <c r="AI106" s="47"/>
      <c r="AJ106" s="47"/>
      <c r="AK106" s="47"/>
      <c r="AL106" s="47"/>
      <c r="AM106" s="47"/>
      <c r="AN106" s="47"/>
      <c r="AO106" s="47"/>
      <c r="AP106" s="47"/>
      <c r="AQ106" s="46" t="str">
        <f aca="false">IFERROR(IF(Y106&lt;&gt;"",VALUE(Y106),""),"")</f>
        <v/>
      </c>
      <c r="AR106" s="47"/>
      <c r="AS106" s="47"/>
      <c r="AT106" s="47"/>
      <c r="AU106" s="47"/>
      <c r="AV106" s="46" t="str">
        <f aca="false">IFERROR(IF(T106&lt;&gt;"",VALUE(T106),""),"")</f>
        <v/>
      </c>
      <c r="AW106" s="46" t="str">
        <f aca="false">IFERROR(IF(N106="","",IF(OR(ISNUMBER(SEARCH("grant",N106)),ISNUMBER(SEARCH("B",AC106))),"Granted",IF(OR(ISNUMBER(SEARCH("pend",N106)),ISNUMBER(SEARCH("A",AC106))),"Pending",IF(ISNUMBER(SEARCH("expir",N106)),"Expired",N106)))),"")</f>
        <v/>
      </c>
      <c r="AX106" s="47"/>
      <c r="AY106" s="46" t="str">
        <f aca="true">IFERROR(IF(M106&lt;&gt;"",ROUND(VALUE(M106),1),IF(L106&lt;&gt;"",ROUND(MAX(0,(DATEVALUE(TEXT(L106,"YYYY-MM-DD"))-TODAY())/365.25),1),"")),"")</f>
        <v/>
      </c>
      <c r="AZ106" s="46" t="str">
        <f aca="false">IFERROR(IF(O106&lt;&gt;"",O106,""),"")</f>
        <v/>
      </c>
      <c r="BA106" s="46" t="str">
        <f aca="false">IFERROR(IF(U106&lt;&gt;"",SUBSTITUTE(SUBSTITUTE(U106,"; ",", "),";",","),""),"")</f>
        <v/>
      </c>
      <c r="BB106" s="47"/>
      <c r="BC106" s="47"/>
      <c r="BD106" s="47"/>
      <c r="BE106" s="47"/>
      <c r="BF106" s="47"/>
      <c r="BG106" s="47"/>
      <c r="BH106" s="47"/>
      <c r="BI106" s="47"/>
      <c r="BJ106" s="47"/>
      <c r="BK106" s="46" t="str">
        <f aca="false">IFERROR(IF(W106&lt;&gt;"",VALUE(W106),""),"")</f>
        <v/>
      </c>
      <c r="BL106" s="46" t="str">
        <f aca="false">IFERROR(IF(X106&lt;&gt;"",VALUE(X106),""),"")</f>
        <v/>
      </c>
      <c r="BM106" s="46" t="str">
        <f aca="false">IFERROR(IF(AD106="","None",IF(ISNUMBER(SEARCH("surv",AD106)),"Survived",IF(ISNUMBER(SEARCH("pend",AD106)),"Pending",IF(ISNUMBER(SEARCH("yes",AD106)),"Pending","None")))),"None")</f>
        <v>None</v>
      </c>
      <c r="BN106" s="47"/>
      <c r="BO106" s="47"/>
      <c r="BP106" s="47"/>
      <c r="BQ106" s="47"/>
      <c r="BR106" s="47"/>
      <c r="BS106" s="47"/>
      <c r="BT106" s="47"/>
      <c r="BU106" s="48" t="n">
        <f aca="false">IFERROR(COUNTA(AE106:BT106)/42,0)</f>
        <v>0.30952380952381</v>
      </c>
      <c r="BV106" s="49"/>
      <c r="BW106" s="50" t="b">
        <f aca="false">IF(Configuration!$C$10="No","",IFERROR(IF(AG106&lt;&gt;"",TRUE(),FALSE()),FALSE()))</f>
        <v>0</v>
      </c>
      <c r="BX106" s="50" t="b">
        <f aca="false">IF(Configuration!$C$11="No","",IFERROR(IF(AND(N(AL106)&gt;=Configuration!$C$44,AM106&lt;&gt;""),TRUE(),FALSE()),FALSE()))</f>
        <v>0</v>
      </c>
      <c r="BY106" s="50" t="b">
        <f aca="false">IF(Configuration!$C$12="No","",IFERROR(IF(AJ106&lt;&gt;"",TRUE(),FALSE()),FALSE()))</f>
        <v>0</v>
      </c>
      <c r="BZ106" s="50" t="b">
        <f aca="false">IF(Configuration!$C$13="No","",IFERROR(IF(AI106&lt;&gt;"",TRUE(),FALSE()),FALSE()))</f>
        <v>0</v>
      </c>
      <c r="CA106" s="50" t="b">
        <f aca="false">IF(Configuration!$C$14="No","",IFERROR(IF(AK106&lt;&gt;"",TRUE(),FALSE()),FALSE()))</f>
        <v>0</v>
      </c>
      <c r="CB106" s="50" t="b">
        <f aca="false">IF(Configuration!$C$15="No","",IFERROR(IF(AND(OR(ISNUMBER(SEARCH("process",AG106)),ISNUMBER(SEARCH("fab",AG106)),ISNUMBER(SEARCH("manufac",AG106))),AO106="Method"),TRUE(),FALSE()),FALSE()))</f>
        <v>0</v>
      </c>
      <c r="CC106" s="50" t="b">
        <f aca="false">IF(Configuration!$C$16="No","",IFERROR(IF(AND(OR(ISNUMBER(SEARCH("material",AG106)),ISNUMBER(SEARCH("chem",AG106)),ISNUMBER(SEARCH("battery",AG106)),ISNUMBER(SEARCH("electrolyte",AG106)),ISNUMBER(SEARCH("polymer",AG106))),OR(AO106="Apparatus",AO106="Method")),TRUE(),FALSE()),FALSE()))</f>
        <v>0</v>
      </c>
      <c r="CD106" s="50" t="b">
        <f aca="false">IF(Configuration!$C$17="No","",IFERROR(IF(AND(OR(AI106="App",AI106="Middleware",AI106="Cloud"),OR(AO106="Method",AO106="CRM")),TRUE(),FALSE()),FALSE()))</f>
        <v>0</v>
      </c>
      <c r="CE106" s="50" t="b">
        <f aca="false">IF(Configuration!$C$18="No","",IFERROR(IF(N(AN106)&gt;=Configuration!$C$45,TRUE(),FALSE()),FALSE()))</f>
        <v>0</v>
      </c>
      <c r="CF106" s="50" t="b">
        <f aca="false">IF(Configuration!$C$19="No","",IFERROR(IF(BE106&lt;&gt;"",TRUE(),FALSE()),FALSE()))</f>
        <v>0</v>
      </c>
      <c r="CG106" s="50" t="b">
        <f aca="false">IF(Configuration!$C$20="No","",IFERROR(IF(AO106&lt;&gt;"",TRUE(),FALSE()),FALSE()))</f>
        <v>0</v>
      </c>
      <c r="CH106" s="50" t="b">
        <f aca="false">IF(Configuration!$C$21="No","",IFERROR(IF(OR(N(AS106)&gt;=Configuration!$C$46,N(AT106)&gt;=Configuration!$C$47),TRUE(),FALSE()),FALSE()))</f>
        <v>0</v>
      </c>
      <c r="CI106" s="50" t="b">
        <f aca="false">IF(Configuration!$C$22="No","",IFERROR(IF(BB106="Yes",TRUE(),FALSE()),FALSE()))</f>
        <v>0</v>
      </c>
      <c r="CJ106" s="50" t="b">
        <f aca="false">IF(Configuration!$C$23="No","",IFERROR(IF(N(AV106)&gt;=Configuration!$C$48,TRUE(),FALSE()),FALSE()))</f>
        <v>0</v>
      </c>
      <c r="CK106" s="50" t="b">
        <f aca="false">IF(Configuration!$C$24="No","",IFERROR(IF(N(AY106)&gt;0,TRUE(),FALSE()),FALSE()))</f>
        <v>0</v>
      </c>
      <c r="CL106" s="50" t="b">
        <f aca="false">IF(Configuration!$C$25="No","",IFERROR(IF(OR(N(AP106)=3,N(AP106)&lt;=1),TRUE(),FALSE()),FALSE()))</f>
        <v>1</v>
      </c>
      <c r="CM106" s="50" t="b">
        <f aca="false">IF(Configuration!$C$26="No","",IFERROR(IF(N(BF106)&gt;=Configuration!$C$49,TRUE(),FALSE()),FALSE()))</f>
        <v>0</v>
      </c>
      <c r="CN106" s="50" t="b">
        <f aca="false">IF(Configuration!$C$27="No","",IFERROR(IF(BD106&lt;&gt;"",TRUE(),FALSE()),FALSE()))</f>
        <v>0</v>
      </c>
      <c r="CO106" s="50" t="b">
        <f aca="false">IF(Configuration!$C$28="No","",IFERROR(IF(N(AU106)&gt;=Configuration!$C$50,TRUE(),FALSE()),FALSE()))</f>
        <v>0</v>
      </c>
      <c r="CP106" s="50" t="b">
        <f aca="false">IF(Configuration!$C$29="No","",IFERROR(IF(AND(N(AR106)&gt;=Configuration!$C$51,AG106&lt;&gt;""),TRUE(),FALSE()),FALSE()))</f>
        <v>0</v>
      </c>
      <c r="CQ106" s="50" t="b">
        <f aca="false">IF(Configuration!$C$30="No","",IFERROR(IF(OR(AW106="Pending",AX106="Yes"),TRUE(),FALSE()),FALSE()))</f>
        <v>0</v>
      </c>
      <c r="CR106" s="50" t="b">
        <f aca="false">IF(Configuration!$C$31="No","",IFERROR(IF(AND(N(BG106)&gt;=Configuration!$C$52,N(AP106)&gt;=1),TRUE(),FALSE()),FALSE()))</f>
        <v>0</v>
      </c>
      <c r="CS106" s="50" t="b">
        <f aca="false">IF(Configuration!$C$32="No","",IFERROR(IF(AND(N(AR106)&gt;=1,OR(AG106&lt;&gt;"",AM106&lt;&gt;"")),TRUE(),FALSE()),FALSE()))</f>
        <v>0</v>
      </c>
      <c r="CT106" s="50" t="b">
        <f aca="false">IF(Configuration!$C$33="No","",IFERROR(IF(AG106&lt;&gt;"",TRUE(),FALSE()),FALSE()))</f>
        <v>0</v>
      </c>
      <c r="CU106" s="50" t="b">
        <f aca="false">IF(Configuration!$C$34="No","",IFERROR(IF(AX106="Yes",TRUE(),FALSE()),FALSE()))</f>
        <v>0</v>
      </c>
      <c r="CV106" s="50" t="b">
        <f aca="false">IF(Configuration!$C$35="No","",IFERROR(IF(OR(BO106="Partial",BO106="Full"),TRUE(),FALSE()),FALSE()))</f>
        <v>0</v>
      </c>
      <c r="CW106" s="50" t="b">
        <f aca="false">IF(Configuration!$C$36="No","",IFERROR(IF(BM106="Survived",TRUE(),FALSE()),FALSE()))</f>
        <v>0</v>
      </c>
      <c r="CX106" s="50" t="b">
        <f aca="false">IF(Configuration!$C$37="No","",IFERROR(IF(AND(BN106="Clean",BP106="None"),TRUE(),FALSE()),FALSE()))</f>
        <v>0</v>
      </c>
      <c r="CY106" s="50" t="b">
        <f aca="false">IF(Configuration!$C$38="No","",IFERROR(IF(N(BK106)&gt;=Configuration!$C$53,TRUE(),FALSE()),FALSE()))</f>
        <v>0</v>
      </c>
      <c r="CZ106" s="50" t="b">
        <f aca="false">IF(Configuration!$C$39="No","",IFERROR(IF(AND(N(BS106)&gt;=2,N(BF106)&gt;=2),TRUE(),FALSE()),FALSE()))</f>
        <v>0</v>
      </c>
      <c r="DA106" s="50" t="b">
        <f aca="false">IF(Configuration!$C$40="No","",IFERROR(IF(OR(N(BG106)&lt;=Configuration!$C$56,N(AY106)&lt;Configuration!$C$57,N(BH106)&lt;=Configuration!$C$58),TRUE(),FALSE()),FALSE()))</f>
        <v>1</v>
      </c>
      <c r="DB106" s="50" t="b">
        <f aca="false">IF(Configuration!$C$41="No","",IFERROR(IF(AND(N(AY106)&gt;=Configuration!$C$54,N(AY106)&lt;=Configuration!$C$55),TRUE(),FALSE()),FALSE()))</f>
        <v>0</v>
      </c>
      <c r="DC106" s="50" t="b">
        <f aca="false">IF(Configuration!$C$42="No","",IFERROR(IF(AND(AG106&lt;&gt;"",AJ106&lt;&gt;""),TRUE(),FALSE()),FALSE()))</f>
        <v>0</v>
      </c>
      <c r="DD106" s="51" t="n">
        <f aca="false">COUNTIF(BW106:DC106,TRUE())</f>
        <v>2</v>
      </c>
    </row>
    <row r="107" customFormat="false" ht="15" hidden="false" customHeight="true" outlineLevel="0" collapsed="false">
      <c r="A107" s="18" t="n">
        <v>68</v>
      </c>
      <c r="B107" s="44"/>
      <c r="C107" s="44"/>
      <c r="D107" s="44"/>
      <c r="E107" s="44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6" t="str">
        <f aca="false">IFERROR(IF(F107&lt;&gt;"",F107,""),"")</f>
        <v/>
      </c>
      <c r="AF107" s="46" t="str">
        <f aca="false">IFERROR(IF(G107&lt;&gt;"",G107,""),"")</f>
        <v/>
      </c>
      <c r="AG107" s="46" t="str">
        <f aca="false">IFERROR(IF(AA107&lt;&gt;"",AA107,IF(R107&lt;&gt;"",R107,"")),"")</f>
        <v/>
      </c>
      <c r="AH107" s="46" t="str">
        <f aca="false">IFERROR(IF(AB107&lt;&gt;"",AB107,IF(S107&lt;&gt;"",S107,"")),"")</f>
        <v/>
      </c>
      <c r="AI107" s="47"/>
      <c r="AJ107" s="47"/>
      <c r="AK107" s="47"/>
      <c r="AL107" s="47"/>
      <c r="AM107" s="47"/>
      <c r="AN107" s="47"/>
      <c r="AO107" s="47"/>
      <c r="AP107" s="47"/>
      <c r="AQ107" s="46" t="str">
        <f aca="false">IFERROR(IF(Y107&lt;&gt;"",VALUE(Y107),""),"")</f>
        <v/>
      </c>
      <c r="AR107" s="47"/>
      <c r="AS107" s="47"/>
      <c r="AT107" s="47"/>
      <c r="AU107" s="47"/>
      <c r="AV107" s="46" t="str">
        <f aca="false">IFERROR(IF(T107&lt;&gt;"",VALUE(T107),""),"")</f>
        <v/>
      </c>
      <c r="AW107" s="46" t="str">
        <f aca="false">IFERROR(IF(N107="","",IF(OR(ISNUMBER(SEARCH("grant",N107)),ISNUMBER(SEARCH("B",AC107))),"Granted",IF(OR(ISNUMBER(SEARCH("pend",N107)),ISNUMBER(SEARCH("A",AC107))),"Pending",IF(ISNUMBER(SEARCH("expir",N107)),"Expired",N107)))),"")</f>
        <v/>
      </c>
      <c r="AX107" s="47"/>
      <c r="AY107" s="46" t="str">
        <f aca="true">IFERROR(IF(M107&lt;&gt;"",ROUND(VALUE(M107),1),IF(L107&lt;&gt;"",ROUND(MAX(0,(DATEVALUE(TEXT(L107,"YYYY-MM-DD"))-TODAY())/365.25),1),"")),"")</f>
        <v/>
      </c>
      <c r="AZ107" s="46" t="str">
        <f aca="false">IFERROR(IF(O107&lt;&gt;"",O107,""),"")</f>
        <v/>
      </c>
      <c r="BA107" s="46" t="str">
        <f aca="false">IFERROR(IF(U107&lt;&gt;"",SUBSTITUTE(SUBSTITUTE(U107,"; ",", "),";",","),""),"")</f>
        <v/>
      </c>
      <c r="BB107" s="47"/>
      <c r="BC107" s="47"/>
      <c r="BD107" s="47"/>
      <c r="BE107" s="47"/>
      <c r="BF107" s="47"/>
      <c r="BG107" s="47"/>
      <c r="BH107" s="47"/>
      <c r="BI107" s="47"/>
      <c r="BJ107" s="47"/>
      <c r="BK107" s="46" t="str">
        <f aca="false">IFERROR(IF(W107&lt;&gt;"",VALUE(W107),""),"")</f>
        <v/>
      </c>
      <c r="BL107" s="46" t="str">
        <f aca="false">IFERROR(IF(X107&lt;&gt;"",VALUE(X107),""),"")</f>
        <v/>
      </c>
      <c r="BM107" s="46" t="str">
        <f aca="false">IFERROR(IF(AD107="","None",IF(ISNUMBER(SEARCH("surv",AD107)),"Survived",IF(ISNUMBER(SEARCH("pend",AD107)),"Pending",IF(ISNUMBER(SEARCH("yes",AD107)),"Pending","None")))),"None")</f>
        <v>None</v>
      </c>
      <c r="BN107" s="47"/>
      <c r="BO107" s="47"/>
      <c r="BP107" s="47"/>
      <c r="BQ107" s="47"/>
      <c r="BR107" s="47"/>
      <c r="BS107" s="47"/>
      <c r="BT107" s="47"/>
      <c r="BU107" s="48" t="n">
        <f aca="false">IFERROR(COUNTA(AE107:BT107)/42,0)</f>
        <v>0.30952380952381</v>
      </c>
      <c r="BV107" s="49"/>
      <c r="BW107" s="50" t="b">
        <f aca="false">IF(Configuration!$C$10="No","",IFERROR(IF(AG107&lt;&gt;"",TRUE(),FALSE()),FALSE()))</f>
        <v>0</v>
      </c>
      <c r="BX107" s="50" t="b">
        <f aca="false">IF(Configuration!$C$11="No","",IFERROR(IF(AND(N(AL107)&gt;=Configuration!$C$44,AM107&lt;&gt;""),TRUE(),FALSE()),FALSE()))</f>
        <v>0</v>
      </c>
      <c r="BY107" s="50" t="b">
        <f aca="false">IF(Configuration!$C$12="No","",IFERROR(IF(AJ107&lt;&gt;"",TRUE(),FALSE()),FALSE()))</f>
        <v>0</v>
      </c>
      <c r="BZ107" s="50" t="b">
        <f aca="false">IF(Configuration!$C$13="No","",IFERROR(IF(AI107&lt;&gt;"",TRUE(),FALSE()),FALSE()))</f>
        <v>0</v>
      </c>
      <c r="CA107" s="50" t="b">
        <f aca="false">IF(Configuration!$C$14="No","",IFERROR(IF(AK107&lt;&gt;"",TRUE(),FALSE()),FALSE()))</f>
        <v>0</v>
      </c>
      <c r="CB107" s="50" t="b">
        <f aca="false">IF(Configuration!$C$15="No","",IFERROR(IF(AND(OR(ISNUMBER(SEARCH("process",AG107)),ISNUMBER(SEARCH("fab",AG107)),ISNUMBER(SEARCH("manufac",AG107))),AO107="Method"),TRUE(),FALSE()),FALSE()))</f>
        <v>0</v>
      </c>
      <c r="CC107" s="50" t="b">
        <f aca="false">IF(Configuration!$C$16="No","",IFERROR(IF(AND(OR(ISNUMBER(SEARCH("material",AG107)),ISNUMBER(SEARCH("chem",AG107)),ISNUMBER(SEARCH("battery",AG107)),ISNUMBER(SEARCH("electrolyte",AG107)),ISNUMBER(SEARCH("polymer",AG107))),OR(AO107="Apparatus",AO107="Method")),TRUE(),FALSE()),FALSE()))</f>
        <v>0</v>
      </c>
      <c r="CD107" s="50" t="b">
        <f aca="false">IF(Configuration!$C$17="No","",IFERROR(IF(AND(OR(AI107="App",AI107="Middleware",AI107="Cloud"),OR(AO107="Method",AO107="CRM")),TRUE(),FALSE()),FALSE()))</f>
        <v>0</v>
      </c>
      <c r="CE107" s="50" t="b">
        <f aca="false">IF(Configuration!$C$18="No","",IFERROR(IF(N(AN107)&gt;=Configuration!$C$45,TRUE(),FALSE()),FALSE()))</f>
        <v>0</v>
      </c>
      <c r="CF107" s="50" t="b">
        <f aca="false">IF(Configuration!$C$19="No","",IFERROR(IF(BE107&lt;&gt;"",TRUE(),FALSE()),FALSE()))</f>
        <v>0</v>
      </c>
      <c r="CG107" s="50" t="b">
        <f aca="false">IF(Configuration!$C$20="No","",IFERROR(IF(AO107&lt;&gt;"",TRUE(),FALSE()),FALSE()))</f>
        <v>0</v>
      </c>
      <c r="CH107" s="50" t="b">
        <f aca="false">IF(Configuration!$C$21="No","",IFERROR(IF(OR(N(AS107)&gt;=Configuration!$C$46,N(AT107)&gt;=Configuration!$C$47),TRUE(),FALSE()),FALSE()))</f>
        <v>0</v>
      </c>
      <c r="CI107" s="50" t="b">
        <f aca="false">IF(Configuration!$C$22="No","",IFERROR(IF(BB107="Yes",TRUE(),FALSE()),FALSE()))</f>
        <v>0</v>
      </c>
      <c r="CJ107" s="50" t="b">
        <f aca="false">IF(Configuration!$C$23="No","",IFERROR(IF(N(AV107)&gt;=Configuration!$C$48,TRUE(),FALSE()),FALSE()))</f>
        <v>0</v>
      </c>
      <c r="CK107" s="50" t="b">
        <f aca="false">IF(Configuration!$C$24="No","",IFERROR(IF(N(AY107)&gt;0,TRUE(),FALSE()),FALSE()))</f>
        <v>0</v>
      </c>
      <c r="CL107" s="50" t="b">
        <f aca="false">IF(Configuration!$C$25="No","",IFERROR(IF(OR(N(AP107)=3,N(AP107)&lt;=1),TRUE(),FALSE()),FALSE()))</f>
        <v>1</v>
      </c>
      <c r="CM107" s="50" t="b">
        <f aca="false">IF(Configuration!$C$26="No","",IFERROR(IF(N(BF107)&gt;=Configuration!$C$49,TRUE(),FALSE()),FALSE()))</f>
        <v>0</v>
      </c>
      <c r="CN107" s="50" t="b">
        <f aca="false">IF(Configuration!$C$27="No","",IFERROR(IF(BD107&lt;&gt;"",TRUE(),FALSE()),FALSE()))</f>
        <v>0</v>
      </c>
      <c r="CO107" s="50" t="b">
        <f aca="false">IF(Configuration!$C$28="No","",IFERROR(IF(N(AU107)&gt;=Configuration!$C$50,TRUE(),FALSE()),FALSE()))</f>
        <v>0</v>
      </c>
      <c r="CP107" s="50" t="b">
        <f aca="false">IF(Configuration!$C$29="No","",IFERROR(IF(AND(N(AR107)&gt;=Configuration!$C$51,AG107&lt;&gt;""),TRUE(),FALSE()),FALSE()))</f>
        <v>0</v>
      </c>
      <c r="CQ107" s="50" t="b">
        <f aca="false">IF(Configuration!$C$30="No","",IFERROR(IF(OR(AW107="Pending",AX107="Yes"),TRUE(),FALSE()),FALSE()))</f>
        <v>0</v>
      </c>
      <c r="CR107" s="50" t="b">
        <f aca="false">IF(Configuration!$C$31="No","",IFERROR(IF(AND(N(BG107)&gt;=Configuration!$C$52,N(AP107)&gt;=1),TRUE(),FALSE()),FALSE()))</f>
        <v>0</v>
      </c>
      <c r="CS107" s="50" t="b">
        <f aca="false">IF(Configuration!$C$32="No","",IFERROR(IF(AND(N(AR107)&gt;=1,OR(AG107&lt;&gt;"",AM107&lt;&gt;"")),TRUE(),FALSE()),FALSE()))</f>
        <v>0</v>
      </c>
      <c r="CT107" s="50" t="b">
        <f aca="false">IF(Configuration!$C$33="No","",IFERROR(IF(AG107&lt;&gt;"",TRUE(),FALSE()),FALSE()))</f>
        <v>0</v>
      </c>
      <c r="CU107" s="50" t="b">
        <f aca="false">IF(Configuration!$C$34="No","",IFERROR(IF(AX107="Yes",TRUE(),FALSE()),FALSE()))</f>
        <v>0</v>
      </c>
      <c r="CV107" s="50" t="b">
        <f aca="false">IF(Configuration!$C$35="No","",IFERROR(IF(OR(BO107="Partial",BO107="Full"),TRUE(),FALSE()),FALSE()))</f>
        <v>0</v>
      </c>
      <c r="CW107" s="50" t="b">
        <f aca="false">IF(Configuration!$C$36="No","",IFERROR(IF(BM107="Survived",TRUE(),FALSE()),FALSE()))</f>
        <v>0</v>
      </c>
      <c r="CX107" s="50" t="b">
        <f aca="false">IF(Configuration!$C$37="No","",IFERROR(IF(AND(BN107="Clean",BP107="None"),TRUE(),FALSE()),FALSE()))</f>
        <v>0</v>
      </c>
      <c r="CY107" s="50" t="b">
        <f aca="false">IF(Configuration!$C$38="No","",IFERROR(IF(N(BK107)&gt;=Configuration!$C$53,TRUE(),FALSE()),FALSE()))</f>
        <v>0</v>
      </c>
      <c r="CZ107" s="50" t="b">
        <f aca="false">IF(Configuration!$C$39="No","",IFERROR(IF(AND(N(BS107)&gt;=2,N(BF107)&gt;=2),TRUE(),FALSE()),FALSE()))</f>
        <v>0</v>
      </c>
      <c r="DA107" s="50" t="b">
        <f aca="false">IF(Configuration!$C$40="No","",IFERROR(IF(OR(N(BG107)&lt;=Configuration!$C$56,N(AY107)&lt;Configuration!$C$57,N(BH107)&lt;=Configuration!$C$58),TRUE(),FALSE()),FALSE()))</f>
        <v>1</v>
      </c>
      <c r="DB107" s="50" t="b">
        <f aca="false">IF(Configuration!$C$41="No","",IFERROR(IF(AND(N(AY107)&gt;=Configuration!$C$54,N(AY107)&lt;=Configuration!$C$55),TRUE(),FALSE()),FALSE()))</f>
        <v>0</v>
      </c>
      <c r="DC107" s="50" t="b">
        <f aca="false">IF(Configuration!$C$42="No","",IFERROR(IF(AND(AG107&lt;&gt;"",AJ107&lt;&gt;""),TRUE(),FALSE()),FALSE()))</f>
        <v>0</v>
      </c>
      <c r="DD107" s="51" t="n">
        <f aca="false">COUNTIF(BW107:DC107,TRUE())</f>
        <v>2</v>
      </c>
    </row>
    <row r="108" customFormat="false" ht="15" hidden="false" customHeight="true" outlineLevel="0" collapsed="false">
      <c r="A108" s="18" t="n">
        <v>69</v>
      </c>
      <c r="B108" s="44"/>
      <c r="C108" s="44"/>
      <c r="D108" s="44"/>
      <c r="E108" s="44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6" t="str">
        <f aca="false">IFERROR(IF(F108&lt;&gt;"",F108,""),"")</f>
        <v/>
      </c>
      <c r="AF108" s="46" t="str">
        <f aca="false">IFERROR(IF(G108&lt;&gt;"",G108,""),"")</f>
        <v/>
      </c>
      <c r="AG108" s="46" t="str">
        <f aca="false">IFERROR(IF(AA108&lt;&gt;"",AA108,IF(R108&lt;&gt;"",R108,"")),"")</f>
        <v/>
      </c>
      <c r="AH108" s="46" t="str">
        <f aca="false">IFERROR(IF(AB108&lt;&gt;"",AB108,IF(S108&lt;&gt;"",S108,"")),"")</f>
        <v/>
      </c>
      <c r="AI108" s="47"/>
      <c r="AJ108" s="47"/>
      <c r="AK108" s="47"/>
      <c r="AL108" s="47"/>
      <c r="AM108" s="47"/>
      <c r="AN108" s="47"/>
      <c r="AO108" s="47"/>
      <c r="AP108" s="47"/>
      <c r="AQ108" s="46" t="str">
        <f aca="false">IFERROR(IF(Y108&lt;&gt;"",VALUE(Y108),""),"")</f>
        <v/>
      </c>
      <c r="AR108" s="47"/>
      <c r="AS108" s="47"/>
      <c r="AT108" s="47"/>
      <c r="AU108" s="47"/>
      <c r="AV108" s="46" t="str">
        <f aca="false">IFERROR(IF(T108&lt;&gt;"",VALUE(T108),""),"")</f>
        <v/>
      </c>
      <c r="AW108" s="46" t="str">
        <f aca="false">IFERROR(IF(N108="","",IF(OR(ISNUMBER(SEARCH("grant",N108)),ISNUMBER(SEARCH("B",AC108))),"Granted",IF(OR(ISNUMBER(SEARCH("pend",N108)),ISNUMBER(SEARCH("A",AC108))),"Pending",IF(ISNUMBER(SEARCH("expir",N108)),"Expired",N108)))),"")</f>
        <v/>
      </c>
      <c r="AX108" s="47"/>
      <c r="AY108" s="46" t="str">
        <f aca="true">IFERROR(IF(M108&lt;&gt;"",ROUND(VALUE(M108),1),IF(L108&lt;&gt;"",ROUND(MAX(0,(DATEVALUE(TEXT(L108,"YYYY-MM-DD"))-TODAY())/365.25),1),"")),"")</f>
        <v/>
      </c>
      <c r="AZ108" s="46" t="str">
        <f aca="false">IFERROR(IF(O108&lt;&gt;"",O108,""),"")</f>
        <v/>
      </c>
      <c r="BA108" s="46" t="str">
        <f aca="false">IFERROR(IF(U108&lt;&gt;"",SUBSTITUTE(SUBSTITUTE(U108,"; ",", "),";",","),""),"")</f>
        <v/>
      </c>
      <c r="BB108" s="47"/>
      <c r="BC108" s="47"/>
      <c r="BD108" s="47"/>
      <c r="BE108" s="47"/>
      <c r="BF108" s="47"/>
      <c r="BG108" s="47"/>
      <c r="BH108" s="47"/>
      <c r="BI108" s="47"/>
      <c r="BJ108" s="47"/>
      <c r="BK108" s="46" t="str">
        <f aca="false">IFERROR(IF(W108&lt;&gt;"",VALUE(W108),""),"")</f>
        <v/>
      </c>
      <c r="BL108" s="46" t="str">
        <f aca="false">IFERROR(IF(X108&lt;&gt;"",VALUE(X108),""),"")</f>
        <v/>
      </c>
      <c r="BM108" s="46" t="str">
        <f aca="false">IFERROR(IF(AD108="","None",IF(ISNUMBER(SEARCH("surv",AD108)),"Survived",IF(ISNUMBER(SEARCH("pend",AD108)),"Pending",IF(ISNUMBER(SEARCH("yes",AD108)),"Pending","None")))),"None")</f>
        <v>None</v>
      </c>
      <c r="BN108" s="47"/>
      <c r="BO108" s="47"/>
      <c r="BP108" s="47"/>
      <c r="BQ108" s="47"/>
      <c r="BR108" s="47"/>
      <c r="BS108" s="47"/>
      <c r="BT108" s="47"/>
      <c r="BU108" s="48" t="n">
        <f aca="false">IFERROR(COUNTA(AE108:BT108)/42,0)</f>
        <v>0.30952380952381</v>
      </c>
      <c r="BV108" s="49"/>
      <c r="BW108" s="50" t="b">
        <f aca="false">IF(Configuration!$C$10="No","",IFERROR(IF(AG108&lt;&gt;"",TRUE(),FALSE()),FALSE()))</f>
        <v>0</v>
      </c>
      <c r="BX108" s="50" t="b">
        <f aca="false">IF(Configuration!$C$11="No","",IFERROR(IF(AND(N(AL108)&gt;=Configuration!$C$44,AM108&lt;&gt;""),TRUE(),FALSE()),FALSE()))</f>
        <v>0</v>
      </c>
      <c r="BY108" s="50" t="b">
        <f aca="false">IF(Configuration!$C$12="No","",IFERROR(IF(AJ108&lt;&gt;"",TRUE(),FALSE()),FALSE()))</f>
        <v>0</v>
      </c>
      <c r="BZ108" s="50" t="b">
        <f aca="false">IF(Configuration!$C$13="No","",IFERROR(IF(AI108&lt;&gt;"",TRUE(),FALSE()),FALSE()))</f>
        <v>0</v>
      </c>
      <c r="CA108" s="50" t="b">
        <f aca="false">IF(Configuration!$C$14="No","",IFERROR(IF(AK108&lt;&gt;"",TRUE(),FALSE()),FALSE()))</f>
        <v>0</v>
      </c>
      <c r="CB108" s="50" t="b">
        <f aca="false">IF(Configuration!$C$15="No","",IFERROR(IF(AND(OR(ISNUMBER(SEARCH("process",AG108)),ISNUMBER(SEARCH("fab",AG108)),ISNUMBER(SEARCH("manufac",AG108))),AO108="Method"),TRUE(),FALSE()),FALSE()))</f>
        <v>0</v>
      </c>
      <c r="CC108" s="50" t="b">
        <f aca="false">IF(Configuration!$C$16="No","",IFERROR(IF(AND(OR(ISNUMBER(SEARCH("material",AG108)),ISNUMBER(SEARCH("chem",AG108)),ISNUMBER(SEARCH("battery",AG108)),ISNUMBER(SEARCH("electrolyte",AG108)),ISNUMBER(SEARCH("polymer",AG108))),OR(AO108="Apparatus",AO108="Method")),TRUE(),FALSE()),FALSE()))</f>
        <v>0</v>
      </c>
      <c r="CD108" s="50" t="b">
        <f aca="false">IF(Configuration!$C$17="No","",IFERROR(IF(AND(OR(AI108="App",AI108="Middleware",AI108="Cloud"),OR(AO108="Method",AO108="CRM")),TRUE(),FALSE()),FALSE()))</f>
        <v>0</v>
      </c>
      <c r="CE108" s="50" t="b">
        <f aca="false">IF(Configuration!$C$18="No","",IFERROR(IF(N(AN108)&gt;=Configuration!$C$45,TRUE(),FALSE()),FALSE()))</f>
        <v>0</v>
      </c>
      <c r="CF108" s="50" t="b">
        <f aca="false">IF(Configuration!$C$19="No","",IFERROR(IF(BE108&lt;&gt;"",TRUE(),FALSE()),FALSE()))</f>
        <v>0</v>
      </c>
      <c r="CG108" s="50" t="b">
        <f aca="false">IF(Configuration!$C$20="No","",IFERROR(IF(AO108&lt;&gt;"",TRUE(),FALSE()),FALSE()))</f>
        <v>0</v>
      </c>
      <c r="CH108" s="50" t="b">
        <f aca="false">IF(Configuration!$C$21="No","",IFERROR(IF(OR(N(AS108)&gt;=Configuration!$C$46,N(AT108)&gt;=Configuration!$C$47),TRUE(),FALSE()),FALSE()))</f>
        <v>0</v>
      </c>
      <c r="CI108" s="50" t="b">
        <f aca="false">IF(Configuration!$C$22="No","",IFERROR(IF(BB108="Yes",TRUE(),FALSE()),FALSE()))</f>
        <v>0</v>
      </c>
      <c r="CJ108" s="50" t="b">
        <f aca="false">IF(Configuration!$C$23="No","",IFERROR(IF(N(AV108)&gt;=Configuration!$C$48,TRUE(),FALSE()),FALSE()))</f>
        <v>0</v>
      </c>
      <c r="CK108" s="50" t="b">
        <f aca="false">IF(Configuration!$C$24="No","",IFERROR(IF(N(AY108)&gt;0,TRUE(),FALSE()),FALSE()))</f>
        <v>0</v>
      </c>
      <c r="CL108" s="50" t="b">
        <f aca="false">IF(Configuration!$C$25="No","",IFERROR(IF(OR(N(AP108)=3,N(AP108)&lt;=1),TRUE(),FALSE()),FALSE()))</f>
        <v>1</v>
      </c>
      <c r="CM108" s="50" t="b">
        <f aca="false">IF(Configuration!$C$26="No","",IFERROR(IF(N(BF108)&gt;=Configuration!$C$49,TRUE(),FALSE()),FALSE()))</f>
        <v>0</v>
      </c>
      <c r="CN108" s="50" t="b">
        <f aca="false">IF(Configuration!$C$27="No","",IFERROR(IF(BD108&lt;&gt;"",TRUE(),FALSE()),FALSE()))</f>
        <v>0</v>
      </c>
      <c r="CO108" s="50" t="b">
        <f aca="false">IF(Configuration!$C$28="No","",IFERROR(IF(N(AU108)&gt;=Configuration!$C$50,TRUE(),FALSE()),FALSE()))</f>
        <v>0</v>
      </c>
      <c r="CP108" s="50" t="b">
        <f aca="false">IF(Configuration!$C$29="No","",IFERROR(IF(AND(N(AR108)&gt;=Configuration!$C$51,AG108&lt;&gt;""),TRUE(),FALSE()),FALSE()))</f>
        <v>0</v>
      </c>
      <c r="CQ108" s="50" t="b">
        <f aca="false">IF(Configuration!$C$30="No","",IFERROR(IF(OR(AW108="Pending",AX108="Yes"),TRUE(),FALSE()),FALSE()))</f>
        <v>0</v>
      </c>
      <c r="CR108" s="50" t="b">
        <f aca="false">IF(Configuration!$C$31="No","",IFERROR(IF(AND(N(BG108)&gt;=Configuration!$C$52,N(AP108)&gt;=1),TRUE(),FALSE()),FALSE()))</f>
        <v>0</v>
      </c>
      <c r="CS108" s="50" t="b">
        <f aca="false">IF(Configuration!$C$32="No","",IFERROR(IF(AND(N(AR108)&gt;=1,OR(AG108&lt;&gt;"",AM108&lt;&gt;"")),TRUE(),FALSE()),FALSE()))</f>
        <v>0</v>
      </c>
      <c r="CT108" s="50" t="b">
        <f aca="false">IF(Configuration!$C$33="No","",IFERROR(IF(AG108&lt;&gt;"",TRUE(),FALSE()),FALSE()))</f>
        <v>0</v>
      </c>
      <c r="CU108" s="50" t="b">
        <f aca="false">IF(Configuration!$C$34="No","",IFERROR(IF(AX108="Yes",TRUE(),FALSE()),FALSE()))</f>
        <v>0</v>
      </c>
      <c r="CV108" s="50" t="b">
        <f aca="false">IF(Configuration!$C$35="No","",IFERROR(IF(OR(BO108="Partial",BO108="Full"),TRUE(),FALSE()),FALSE()))</f>
        <v>0</v>
      </c>
      <c r="CW108" s="50" t="b">
        <f aca="false">IF(Configuration!$C$36="No","",IFERROR(IF(BM108="Survived",TRUE(),FALSE()),FALSE()))</f>
        <v>0</v>
      </c>
      <c r="CX108" s="50" t="b">
        <f aca="false">IF(Configuration!$C$37="No","",IFERROR(IF(AND(BN108="Clean",BP108="None"),TRUE(),FALSE()),FALSE()))</f>
        <v>0</v>
      </c>
      <c r="CY108" s="50" t="b">
        <f aca="false">IF(Configuration!$C$38="No","",IFERROR(IF(N(BK108)&gt;=Configuration!$C$53,TRUE(),FALSE()),FALSE()))</f>
        <v>0</v>
      </c>
      <c r="CZ108" s="50" t="b">
        <f aca="false">IF(Configuration!$C$39="No","",IFERROR(IF(AND(N(BS108)&gt;=2,N(BF108)&gt;=2),TRUE(),FALSE()),FALSE()))</f>
        <v>0</v>
      </c>
      <c r="DA108" s="50" t="b">
        <f aca="false">IF(Configuration!$C$40="No","",IFERROR(IF(OR(N(BG108)&lt;=Configuration!$C$56,N(AY108)&lt;Configuration!$C$57,N(BH108)&lt;=Configuration!$C$58),TRUE(),FALSE()),FALSE()))</f>
        <v>1</v>
      </c>
      <c r="DB108" s="50" t="b">
        <f aca="false">IF(Configuration!$C$41="No","",IFERROR(IF(AND(N(AY108)&gt;=Configuration!$C$54,N(AY108)&lt;=Configuration!$C$55),TRUE(),FALSE()),FALSE()))</f>
        <v>0</v>
      </c>
      <c r="DC108" s="50" t="b">
        <f aca="false">IF(Configuration!$C$42="No","",IFERROR(IF(AND(AG108&lt;&gt;"",AJ108&lt;&gt;""),TRUE(),FALSE()),FALSE()))</f>
        <v>0</v>
      </c>
      <c r="DD108" s="51" t="n">
        <f aca="false">COUNTIF(BW108:DC108,TRUE())</f>
        <v>2</v>
      </c>
    </row>
    <row r="109" customFormat="false" ht="15" hidden="false" customHeight="true" outlineLevel="0" collapsed="false">
      <c r="A109" s="18" t="n">
        <v>70</v>
      </c>
      <c r="B109" s="44"/>
      <c r="C109" s="44"/>
      <c r="D109" s="44"/>
      <c r="E109" s="44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6" t="str">
        <f aca="false">IFERROR(IF(F109&lt;&gt;"",F109,""),"")</f>
        <v/>
      </c>
      <c r="AF109" s="46" t="str">
        <f aca="false">IFERROR(IF(G109&lt;&gt;"",G109,""),"")</f>
        <v/>
      </c>
      <c r="AG109" s="46" t="str">
        <f aca="false">IFERROR(IF(AA109&lt;&gt;"",AA109,IF(R109&lt;&gt;"",R109,"")),"")</f>
        <v/>
      </c>
      <c r="AH109" s="46" t="str">
        <f aca="false">IFERROR(IF(AB109&lt;&gt;"",AB109,IF(S109&lt;&gt;"",S109,"")),"")</f>
        <v/>
      </c>
      <c r="AI109" s="47"/>
      <c r="AJ109" s="47"/>
      <c r="AK109" s="47"/>
      <c r="AL109" s="47"/>
      <c r="AM109" s="47"/>
      <c r="AN109" s="47"/>
      <c r="AO109" s="47"/>
      <c r="AP109" s="47"/>
      <c r="AQ109" s="46" t="str">
        <f aca="false">IFERROR(IF(Y109&lt;&gt;"",VALUE(Y109),""),"")</f>
        <v/>
      </c>
      <c r="AR109" s="47"/>
      <c r="AS109" s="47"/>
      <c r="AT109" s="47"/>
      <c r="AU109" s="47"/>
      <c r="AV109" s="46" t="str">
        <f aca="false">IFERROR(IF(T109&lt;&gt;"",VALUE(T109),""),"")</f>
        <v/>
      </c>
      <c r="AW109" s="46" t="str">
        <f aca="false">IFERROR(IF(N109="","",IF(OR(ISNUMBER(SEARCH("grant",N109)),ISNUMBER(SEARCH("B",AC109))),"Granted",IF(OR(ISNUMBER(SEARCH("pend",N109)),ISNUMBER(SEARCH("A",AC109))),"Pending",IF(ISNUMBER(SEARCH("expir",N109)),"Expired",N109)))),"")</f>
        <v/>
      </c>
      <c r="AX109" s="47"/>
      <c r="AY109" s="46" t="str">
        <f aca="true">IFERROR(IF(M109&lt;&gt;"",ROUND(VALUE(M109),1),IF(L109&lt;&gt;"",ROUND(MAX(0,(DATEVALUE(TEXT(L109,"YYYY-MM-DD"))-TODAY())/365.25),1),"")),"")</f>
        <v/>
      </c>
      <c r="AZ109" s="46" t="str">
        <f aca="false">IFERROR(IF(O109&lt;&gt;"",O109,""),"")</f>
        <v/>
      </c>
      <c r="BA109" s="46" t="str">
        <f aca="false">IFERROR(IF(U109&lt;&gt;"",SUBSTITUTE(SUBSTITUTE(U109,"; ",", "),";",","),""),"")</f>
        <v/>
      </c>
      <c r="BB109" s="47"/>
      <c r="BC109" s="47"/>
      <c r="BD109" s="47"/>
      <c r="BE109" s="47"/>
      <c r="BF109" s="47"/>
      <c r="BG109" s="47"/>
      <c r="BH109" s="47"/>
      <c r="BI109" s="47"/>
      <c r="BJ109" s="47"/>
      <c r="BK109" s="46" t="str">
        <f aca="false">IFERROR(IF(W109&lt;&gt;"",VALUE(W109),""),"")</f>
        <v/>
      </c>
      <c r="BL109" s="46" t="str">
        <f aca="false">IFERROR(IF(X109&lt;&gt;"",VALUE(X109),""),"")</f>
        <v/>
      </c>
      <c r="BM109" s="46" t="str">
        <f aca="false">IFERROR(IF(AD109="","None",IF(ISNUMBER(SEARCH("surv",AD109)),"Survived",IF(ISNUMBER(SEARCH("pend",AD109)),"Pending",IF(ISNUMBER(SEARCH("yes",AD109)),"Pending","None")))),"None")</f>
        <v>None</v>
      </c>
      <c r="BN109" s="47"/>
      <c r="BO109" s="47"/>
      <c r="BP109" s="47"/>
      <c r="BQ109" s="47"/>
      <c r="BR109" s="47"/>
      <c r="BS109" s="47"/>
      <c r="BT109" s="47"/>
      <c r="BU109" s="48" t="n">
        <f aca="false">IFERROR(COUNTA(AE109:BT109)/42,0)</f>
        <v>0.30952380952381</v>
      </c>
      <c r="BV109" s="49"/>
      <c r="BW109" s="50" t="b">
        <f aca="false">IF(Configuration!$C$10="No","",IFERROR(IF(AG109&lt;&gt;"",TRUE(),FALSE()),FALSE()))</f>
        <v>0</v>
      </c>
      <c r="BX109" s="50" t="b">
        <f aca="false">IF(Configuration!$C$11="No","",IFERROR(IF(AND(N(AL109)&gt;=Configuration!$C$44,AM109&lt;&gt;""),TRUE(),FALSE()),FALSE()))</f>
        <v>0</v>
      </c>
      <c r="BY109" s="50" t="b">
        <f aca="false">IF(Configuration!$C$12="No","",IFERROR(IF(AJ109&lt;&gt;"",TRUE(),FALSE()),FALSE()))</f>
        <v>0</v>
      </c>
      <c r="BZ109" s="50" t="b">
        <f aca="false">IF(Configuration!$C$13="No","",IFERROR(IF(AI109&lt;&gt;"",TRUE(),FALSE()),FALSE()))</f>
        <v>0</v>
      </c>
      <c r="CA109" s="50" t="b">
        <f aca="false">IF(Configuration!$C$14="No","",IFERROR(IF(AK109&lt;&gt;"",TRUE(),FALSE()),FALSE()))</f>
        <v>0</v>
      </c>
      <c r="CB109" s="50" t="b">
        <f aca="false">IF(Configuration!$C$15="No","",IFERROR(IF(AND(OR(ISNUMBER(SEARCH("process",AG109)),ISNUMBER(SEARCH("fab",AG109)),ISNUMBER(SEARCH("manufac",AG109))),AO109="Method"),TRUE(),FALSE()),FALSE()))</f>
        <v>0</v>
      </c>
      <c r="CC109" s="50" t="b">
        <f aca="false">IF(Configuration!$C$16="No","",IFERROR(IF(AND(OR(ISNUMBER(SEARCH("material",AG109)),ISNUMBER(SEARCH("chem",AG109)),ISNUMBER(SEARCH("battery",AG109)),ISNUMBER(SEARCH("electrolyte",AG109)),ISNUMBER(SEARCH("polymer",AG109))),OR(AO109="Apparatus",AO109="Method")),TRUE(),FALSE()),FALSE()))</f>
        <v>0</v>
      </c>
      <c r="CD109" s="50" t="b">
        <f aca="false">IF(Configuration!$C$17="No","",IFERROR(IF(AND(OR(AI109="App",AI109="Middleware",AI109="Cloud"),OR(AO109="Method",AO109="CRM")),TRUE(),FALSE()),FALSE()))</f>
        <v>0</v>
      </c>
      <c r="CE109" s="50" t="b">
        <f aca="false">IF(Configuration!$C$18="No","",IFERROR(IF(N(AN109)&gt;=Configuration!$C$45,TRUE(),FALSE()),FALSE()))</f>
        <v>0</v>
      </c>
      <c r="CF109" s="50" t="b">
        <f aca="false">IF(Configuration!$C$19="No","",IFERROR(IF(BE109&lt;&gt;"",TRUE(),FALSE()),FALSE()))</f>
        <v>0</v>
      </c>
      <c r="CG109" s="50" t="b">
        <f aca="false">IF(Configuration!$C$20="No","",IFERROR(IF(AO109&lt;&gt;"",TRUE(),FALSE()),FALSE()))</f>
        <v>0</v>
      </c>
      <c r="CH109" s="50" t="b">
        <f aca="false">IF(Configuration!$C$21="No","",IFERROR(IF(OR(N(AS109)&gt;=Configuration!$C$46,N(AT109)&gt;=Configuration!$C$47),TRUE(),FALSE()),FALSE()))</f>
        <v>0</v>
      </c>
      <c r="CI109" s="50" t="b">
        <f aca="false">IF(Configuration!$C$22="No","",IFERROR(IF(BB109="Yes",TRUE(),FALSE()),FALSE()))</f>
        <v>0</v>
      </c>
      <c r="CJ109" s="50" t="b">
        <f aca="false">IF(Configuration!$C$23="No","",IFERROR(IF(N(AV109)&gt;=Configuration!$C$48,TRUE(),FALSE()),FALSE()))</f>
        <v>0</v>
      </c>
      <c r="CK109" s="50" t="b">
        <f aca="false">IF(Configuration!$C$24="No","",IFERROR(IF(N(AY109)&gt;0,TRUE(),FALSE()),FALSE()))</f>
        <v>0</v>
      </c>
      <c r="CL109" s="50" t="b">
        <f aca="false">IF(Configuration!$C$25="No","",IFERROR(IF(OR(N(AP109)=3,N(AP109)&lt;=1),TRUE(),FALSE()),FALSE()))</f>
        <v>1</v>
      </c>
      <c r="CM109" s="50" t="b">
        <f aca="false">IF(Configuration!$C$26="No","",IFERROR(IF(N(BF109)&gt;=Configuration!$C$49,TRUE(),FALSE()),FALSE()))</f>
        <v>0</v>
      </c>
      <c r="CN109" s="50" t="b">
        <f aca="false">IF(Configuration!$C$27="No","",IFERROR(IF(BD109&lt;&gt;"",TRUE(),FALSE()),FALSE()))</f>
        <v>0</v>
      </c>
      <c r="CO109" s="50" t="b">
        <f aca="false">IF(Configuration!$C$28="No","",IFERROR(IF(N(AU109)&gt;=Configuration!$C$50,TRUE(),FALSE()),FALSE()))</f>
        <v>0</v>
      </c>
      <c r="CP109" s="50" t="b">
        <f aca="false">IF(Configuration!$C$29="No","",IFERROR(IF(AND(N(AR109)&gt;=Configuration!$C$51,AG109&lt;&gt;""),TRUE(),FALSE()),FALSE()))</f>
        <v>0</v>
      </c>
      <c r="CQ109" s="50" t="b">
        <f aca="false">IF(Configuration!$C$30="No","",IFERROR(IF(OR(AW109="Pending",AX109="Yes"),TRUE(),FALSE()),FALSE()))</f>
        <v>0</v>
      </c>
      <c r="CR109" s="50" t="b">
        <f aca="false">IF(Configuration!$C$31="No","",IFERROR(IF(AND(N(BG109)&gt;=Configuration!$C$52,N(AP109)&gt;=1),TRUE(),FALSE()),FALSE()))</f>
        <v>0</v>
      </c>
      <c r="CS109" s="50" t="b">
        <f aca="false">IF(Configuration!$C$32="No","",IFERROR(IF(AND(N(AR109)&gt;=1,OR(AG109&lt;&gt;"",AM109&lt;&gt;"")),TRUE(),FALSE()),FALSE()))</f>
        <v>0</v>
      </c>
      <c r="CT109" s="50" t="b">
        <f aca="false">IF(Configuration!$C$33="No","",IFERROR(IF(AG109&lt;&gt;"",TRUE(),FALSE()),FALSE()))</f>
        <v>0</v>
      </c>
      <c r="CU109" s="50" t="b">
        <f aca="false">IF(Configuration!$C$34="No","",IFERROR(IF(AX109="Yes",TRUE(),FALSE()),FALSE()))</f>
        <v>0</v>
      </c>
      <c r="CV109" s="50" t="b">
        <f aca="false">IF(Configuration!$C$35="No","",IFERROR(IF(OR(BO109="Partial",BO109="Full"),TRUE(),FALSE()),FALSE()))</f>
        <v>0</v>
      </c>
      <c r="CW109" s="50" t="b">
        <f aca="false">IF(Configuration!$C$36="No","",IFERROR(IF(BM109="Survived",TRUE(),FALSE()),FALSE()))</f>
        <v>0</v>
      </c>
      <c r="CX109" s="50" t="b">
        <f aca="false">IF(Configuration!$C$37="No","",IFERROR(IF(AND(BN109="Clean",BP109="None"),TRUE(),FALSE()),FALSE()))</f>
        <v>0</v>
      </c>
      <c r="CY109" s="50" t="b">
        <f aca="false">IF(Configuration!$C$38="No","",IFERROR(IF(N(BK109)&gt;=Configuration!$C$53,TRUE(),FALSE()),FALSE()))</f>
        <v>0</v>
      </c>
      <c r="CZ109" s="50" t="b">
        <f aca="false">IF(Configuration!$C$39="No","",IFERROR(IF(AND(N(BS109)&gt;=2,N(BF109)&gt;=2),TRUE(),FALSE()),FALSE()))</f>
        <v>0</v>
      </c>
      <c r="DA109" s="50" t="b">
        <f aca="false">IF(Configuration!$C$40="No","",IFERROR(IF(OR(N(BG109)&lt;=Configuration!$C$56,N(AY109)&lt;Configuration!$C$57,N(BH109)&lt;=Configuration!$C$58),TRUE(),FALSE()),FALSE()))</f>
        <v>1</v>
      </c>
      <c r="DB109" s="50" t="b">
        <f aca="false">IF(Configuration!$C$41="No","",IFERROR(IF(AND(N(AY109)&gt;=Configuration!$C$54,N(AY109)&lt;=Configuration!$C$55),TRUE(),FALSE()),FALSE()))</f>
        <v>0</v>
      </c>
      <c r="DC109" s="50" t="b">
        <f aca="false">IF(Configuration!$C$42="No","",IFERROR(IF(AND(AG109&lt;&gt;"",AJ109&lt;&gt;""),TRUE(),FALSE()),FALSE()))</f>
        <v>0</v>
      </c>
      <c r="DD109" s="51" t="n">
        <f aca="false">COUNTIF(BW109:DC109,TRUE())</f>
        <v>2</v>
      </c>
    </row>
    <row r="110" customFormat="false" ht="15" hidden="false" customHeight="true" outlineLevel="0" collapsed="false">
      <c r="A110" s="18" t="n">
        <v>71</v>
      </c>
      <c r="B110" s="44"/>
      <c r="C110" s="44"/>
      <c r="D110" s="44"/>
      <c r="E110" s="44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6" t="str">
        <f aca="false">IFERROR(IF(F110&lt;&gt;"",F110,""),"")</f>
        <v/>
      </c>
      <c r="AF110" s="46" t="str">
        <f aca="false">IFERROR(IF(G110&lt;&gt;"",G110,""),"")</f>
        <v/>
      </c>
      <c r="AG110" s="46" t="str">
        <f aca="false">IFERROR(IF(AA110&lt;&gt;"",AA110,IF(R110&lt;&gt;"",R110,"")),"")</f>
        <v/>
      </c>
      <c r="AH110" s="46" t="str">
        <f aca="false">IFERROR(IF(AB110&lt;&gt;"",AB110,IF(S110&lt;&gt;"",S110,"")),"")</f>
        <v/>
      </c>
      <c r="AI110" s="47"/>
      <c r="AJ110" s="47"/>
      <c r="AK110" s="47"/>
      <c r="AL110" s="47"/>
      <c r="AM110" s="47"/>
      <c r="AN110" s="47"/>
      <c r="AO110" s="47"/>
      <c r="AP110" s="47"/>
      <c r="AQ110" s="46" t="str">
        <f aca="false">IFERROR(IF(Y110&lt;&gt;"",VALUE(Y110),""),"")</f>
        <v/>
      </c>
      <c r="AR110" s="47"/>
      <c r="AS110" s="47"/>
      <c r="AT110" s="47"/>
      <c r="AU110" s="47"/>
      <c r="AV110" s="46" t="str">
        <f aca="false">IFERROR(IF(T110&lt;&gt;"",VALUE(T110),""),"")</f>
        <v/>
      </c>
      <c r="AW110" s="46" t="str">
        <f aca="false">IFERROR(IF(N110="","",IF(OR(ISNUMBER(SEARCH("grant",N110)),ISNUMBER(SEARCH("B",AC110))),"Granted",IF(OR(ISNUMBER(SEARCH("pend",N110)),ISNUMBER(SEARCH("A",AC110))),"Pending",IF(ISNUMBER(SEARCH("expir",N110)),"Expired",N110)))),"")</f>
        <v/>
      </c>
      <c r="AX110" s="47"/>
      <c r="AY110" s="46" t="str">
        <f aca="true">IFERROR(IF(M110&lt;&gt;"",ROUND(VALUE(M110),1),IF(L110&lt;&gt;"",ROUND(MAX(0,(DATEVALUE(TEXT(L110,"YYYY-MM-DD"))-TODAY())/365.25),1),"")),"")</f>
        <v/>
      </c>
      <c r="AZ110" s="46" t="str">
        <f aca="false">IFERROR(IF(O110&lt;&gt;"",O110,""),"")</f>
        <v/>
      </c>
      <c r="BA110" s="46" t="str">
        <f aca="false">IFERROR(IF(U110&lt;&gt;"",SUBSTITUTE(SUBSTITUTE(U110,"; ",", "),";",","),""),"")</f>
        <v/>
      </c>
      <c r="BB110" s="47"/>
      <c r="BC110" s="47"/>
      <c r="BD110" s="47"/>
      <c r="BE110" s="47"/>
      <c r="BF110" s="47"/>
      <c r="BG110" s="47"/>
      <c r="BH110" s="47"/>
      <c r="BI110" s="47"/>
      <c r="BJ110" s="47"/>
      <c r="BK110" s="46" t="str">
        <f aca="false">IFERROR(IF(W110&lt;&gt;"",VALUE(W110),""),"")</f>
        <v/>
      </c>
      <c r="BL110" s="46" t="str">
        <f aca="false">IFERROR(IF(X110&lt;&gt;"",VALUE(X110),""),"")</f>
        <v/>
      </c>
      <c r="BM110" s="46" t="str">
        <f aca="false">IFERROR(IF(AD110="","None",IF(ISNUMBER(SEARCH("surv",AD110)),"Survived",IF(ISNUMBER(SEARCH("pend",AD110)),"Pending",IF(ISNUMBER(SEARCH("yes",AD110)),"Pending","None")))),"None")</f>
        <v>None</v>
      </c>
      <c r="BN110" s="47"/>
      <c r="BO110" s="47"/>
      <c r="BP110" s="47"/>
      <c r="BQ110" s="47"/>
      <c r="BR110" s="47"/>
      <c r="BS110" s="47"/>
      <c r="BT110" s="47"/>
      <c r="BU110" s="48" t="n">
        <f aca="false">IFERROR(COUNTA(AE110:BT110)/42,0)</f>
        <v>0.30952380952381</v>
      </c>
      <c r="BV110" s="49"/>
      <c r="BW110" s="50" t="b">
        <f aca="false">IF(Configuration!$C$10="No","",IFERROR(IF(AG110&lt;&gt;"",TRUE(),FALSE()),FALSE()))</f>
        <v>0</v>
      </c>
      <c r="BX110" s="50" t="b">
        <f aca="false">IF(Configuration!$C$11="No","",IFERROR(IF(AND(N(AL110)&gt;=Configuration!$C$44,AM110&lt;&gt;""),TRUE(),FALSE()),FALSE()))</f>
        <v>0</v>
      </c>
      <c r="BY110" s="50" t="b">
        <f aca="false">IF(Configuration!$C$12="No","",IFERROR(IF(AJ110&lt;&gt;"",TRUE(),FALSE()),FALSE()))</f>
        <v>0</v>
      </c>
      <c r="BZ110" s="50" t="b">
        <f aca="false">IF(Configuration!$C$13="No","",IFERROR(IF(AI110&lt;&gt;"",TRUE(),FALSE()),FALSE()))</f>
        <v>0</v>
      </c>
      <c r="CA110" s="50" t="b">
        <f aca="false">IF(Configuration!$C$14="No","",IFERROR(IF(AK110&lt;&gt;"",TRUE(),FALSE()),FALSE()))</f>
        <v>0</v>
      </c>
      <c r="CB110" s="50" t="b">
        <f aca="false">IF(Configuration!$C$15="No","",IFERROR(IF(AND(OR(ISNUMBER(SEARCH("process",AG110)),ISNUMBER(SEARCH("fab",AG110)),ISNUMBER(SEARCH("manufac",AG110))),AO110="Method"),TRUE(),FALSE()),FALSE()))</f>
        <v>0</v>
      </c>
      <c r="CC110" s="50" t="b">
        <f aca="false">IF(Configuration!$C$16="No","",IFERROR(IF(AND(OR(ISNUMBER(SEARCH("material",AG110)),ISNUMBER(SEARCH("chem",AG110)),ISNUMBER(SEARCH("battery",AG110)),ISNUMBER(SEARCH("electrolyte",AG110)),ISNUMBER(SEARCH("polymer",AG110))),OR(AO110="Apparatus",AO110="Method")),TRUE(),FALSE()),FALSE()))</f>
        <v>0</v>
      </c>
      <c r="CD110" s="50" t="b">
        <f aca="false">IF(Configuration!$C$17="No","",IFERROR(IF(AND(OR(AI110="App",AI110="Middleware",AI110="Cloud"),OR(AO110="Method",AO110="CRM")),TRUE(),FALSE()),FALSE()))</f>
        <v>0</v>
      </c>
      <c r="CE110" s="50" t="b">
        <f aca="false">IF(Configuration!$C$18="No","",IFERROR(IF(N(AN110)&gt;=Configuration!$C$45,TRUE(),FALSE()),FALSE()))</f>
        <v>0</v>
      </c>
      <c r="CF110" s="50" t="b">
        <f aca="false">IF(Configuration!$C$19="No","",IFERROR(IF(BE110&lt;&gt;"",TRUE(),FALSE()),FALSE()))</f>
        <v>0</v>
      </c>
      <c r="CG110" s="50" t="b">
        <f aca="false">IF(Configuration!$C$20="No","",IFERROR(IF(AO110&lt;&gt;"",TRUE(),FALSE()),FALSE()))</f>
        <v>0</v>
      </c>
      <c r="CH110" s="50" t="b">
        <f aca="false">IF(Configuration!$C$21="No","",IFERROR(IF(OR(N(AS110)&gt;=Configuration!$C$46,N(AT110)&gt;=Configuration!$C$47),TRUE(),FALSE()),FALSE()))</f>
        <v>0</v>
      </c>
      <c r="CI110" s="50" t="b">
        <f aca="false">IF(Configuration!$C$22="No","",IFERROR(IF(BB110="Yes",TRUE(),FALSE()),FALSE()))</f>
        <v>0</v>
      </c>
      <c r="CJ110" s="50" t="b">
        <f aca="false">IF(Configuration!$C$23="No","",IFERROR(IF(N(AV110)&gt;=Configuration!$C$48,TRUE(),FALSE()),FALSE()))</f>
        <v>0</v>
      </c>
      <c r="CK110" s="50" t="b">
        <f aca="false">IF(Configuration!$C$24="No","",IFERROR(IF(N(AY110)&gt;0,TRUE(),FALSE()),FALSE()))</f>
        <v>0</v>
      </c>
      <c r="CL110" s="50" t="b">
        <f aca="false">IF(Configuration!$C$25="No","",IFERROR(IF(OR(N(AP110)=3,N(AP110)&lt;=1),TRUE(),FALSE()),FALSE()))</f>
        <v>1</v>
      </c>
      <c r="CM110" s="50" t="b">
        <f aca="false">IF(Configuration!$C$26="No","",IFERROR(IF(N(BF110)&gt;=Configuration!$C$49,TRUE(),FALSE()),FALSE()))</f>
        <v>0</v>
      </c>
      <c r="CN110" s="50" t="b">
        <f aca="false">IF(Configuration!$C$27="No","",IFERROR(IF(BD110&lt;&gt;"",TRUE(),FALSE()),FALSE()))</f>
        <v>0</v>
      </c>
      <c r="CO110" s="50" t="b">
        <f aca="false">IF(Configuration!$C$28="No","",IFERROR(IF(N(AU110)&gt;=Configuration!$C$50,TRUE(),FALSE()),FALSE()))</f>
        <v>0</v>
      </c>
      <c r="CP110" s="50" t="b">
        <f aca="false">IF(Configuration!$C$29="No","",IFERROR(IF(AND(N(AR110)&gt;=Configuration!$C$51,AG110&lt;&gt;""),TRUE(),FALSE()),FALSE()))</f>
        <v>0</v>
      </c>
      <c r="CQ110" s="50" t="b">
        <f aca="false">IF(Configuration!$C$30="No","",IFERROR(IF(OR(AW110="Pending",AX110="Yes"),TRUE(),FALSE()),FALSE()))</f>
        <v>0</v>
      </c>
      <c r="CR110" s="50" t="b">
        <f aca="false">IF(Configuration!$C$31="No","",IFERROR(IF(AND(N(BG110)&gt;=Configuration!$C$52,N(AP110)&gt;=1),TRUE(),FALSE()),FALSE()))</f>
        <v>0</v>
      </c>
      <c r="CS110" s="50" t="b">
        <f aca="false">IF(Configuration!$C$32="No","",IFERROR(IF(AND(N(AR110)&gt;=1,OR(AG110&lt;&gt;"",AM110&lt;&gt;"")),TRUE(),FALSE()),FALSE()))</f>
        <v>0</v>
      </c>
      <c r="CT110" s="50" t="b">
        <f aca="false">IF(Configuration!$C$33="No","",IFERROR(IF(AG110&lt;&gt;"",TRUE(),FALSE()),FALSE()))</f>
        <v>0</v>
      </c>
      <c r="CU110" s="50" t="b">
        <f aca="false">IF(Configuration!$C$34="No","",IFERROR(IF(AX110="Yes",TRUE(),FALSE()),FALSE()))</f>
        <v>0</v>
      </c>
      <c r="CV110" s="50" t="b">
        <f aca="false">IF(Configuration!$C$35="No","",IFERROR(IF(OR(BO110="Partial",BO110="Full"),TRUE(),FALSE()),FALSE()))</f>
        <v>0</v>
      </c>
      <c r="CW110" s="50" t="b">
        <f aca="false">IF(Configuration!$C$36="No","",IFERROR(IF(BM110="Survived",TRUE(),FALSE()),FALSE()))</f>
        <v>0</v>
      </c>
      <c r="CX110" s="50" t="b">
        <f aca="false">IF(Configuration!$C$37="No","",IFERROR(IF(AND(BN110="Clean",BP110="None"),TRUE(),FALSE()),FALSE()))</f>
        <v>0</v>
      </c>
      <c r="CY110" s="50" t="b">
        <f aca="false">IF(Configuration!$C$38="No","",IFERROR(IF(N(BK110)&gt;=Configuration!$C$53,TRUE(),FALSE()),FALSE()))</f>
        <v>0</v>
      </c>
      <c r="CZ110" s="50" t="b">
        <f aca="false">IF(Configuration!$C$39="No","",IFERROR(IF(AND(N(BS110)&gt;=2,N(BF110)&gt;=2),TRUE(),FALSE()),FALSE()))</f>
        <v>0</v>
      </c>
      <c r="DA110" s="50" t="b">
        <f aca="false">IF(Configuration!$C$40="No","",IFERROR(IF(OR(N(BG110)&lt;=Configuration!$C$56,N(AY110)&lt;Configuration!$C$57,N(BH110)&lt;=Configuration!$C$58),TRUE(),FALSE()),FALSE()))</f>
        <v>1</v>
      </c>
      <c r="DB110" s="50" t="b">
        <f aca="false">IF(Configuration!$C$41="No","",IFERROR(IF(AND(N(AY110)&gt;=Configuration!$C$54,N(AY110)&lt;=Configuration!$C$55),TRUE(),FALSE()),FALSE()))</f>
        <v>0</v>
      </c>
      <c r="DC110" s="50" t="b">
        <f aca="false">IF(Configuration!$C$42="No","",IFERROR(IF(AND(AG110&lt;&gt;"",AJ110&lt;&gt;""),TRUE(),FALSE()),FALSE()))</f>
        <v>0</v>
      </c>
      <c r="DD110" s="51" t="n">
        <f aca="false">COUNTIF(BW110:DC110,TRUE())</f>
        <v>2</v>
      </c>
    </row>
    <row r="111" customFormat="false" ht="15" hidden="false" customHeight="true" outlineLevel="0" collapsed="false">
      <c r="A111" s="18" t="n">
        <v>72</v>
      </c>
      <c r="B111" s="44"/>
      <c r="C111" s="44"/>
      <c r="D111" s="44"/>
      <c r="E111" s="44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6" t="str">
        <f aca="false">IFERROR(IF(F111&lt;&gt;"",F111,""),"")</f>
        <v/>
      </c>
      <c r="AF111" s="46" t="str">
        <f aca="false">IFERROR(IF(G111&lt;&gt;"",G111,""),"")</f>
        <v/>
      </c>
      <c r="AG111" s="46" t="str">
        <f aca="false">IFERROR(IF(AA111&lt;&gt;"",AA111,IF(R111&lt;&gt;"",R111,"")),"")</f>
        <v/>
      </c>
      <c r="AH111" s="46" t="str">
        <f aca="false">IFERROR(IF(AB111&lt;&gt;"",AB111,IF(S111&lt;&gt;"",S111,"")),"")</f>
        <v/>
      </c>
      <c r="AI111" s="47"/>
      <c r="AJ111" s="47"/>
      <c r="AK111" s="47"/>
      <c r="AL111" s="47"/>
      <c r="AM111" s="47"/>
      <c r="AN111" s="47"/>
      <c r="AO111" s="47"/>
      <c r="AP111" s="47"/>
      <c r="AQ111" s="46" t="str">
        <f aca="false">IFERROR(IF(Y111&lt;&gt;"",VALUE(Y111),""),"")</f>
        <v/>
      </c>
      <c r="AR111" s="47"/>
      <c r="AS111" s="47"/>
      <c r="AT111" s="47"/>
      <c r="AU111" s="47"/>
      <c r="AV111" s="46" t="str">
        <f aca="false">IFERROR(IF(T111&lt;&gt;"",VALUE(T111),""),"")</f>
        <v/>
      </c>
      <c r="AW111" s="46" t="str">
        <f aca="false">IFERROR(IF(N111="","",IF(OR(ISNUMBER(SEARCH("grant",N111)),ISNUMBER(SEARCH("B",AC111))),"Granted",IF(OR(ISNUMBER(SEARCH("pend",N111)),ISNUMBER(SEARCH("A",AC111))),"Pending",IF(ISNUMBER(SEARCH("expir",N111)),"Expired",N111)))),"")</f>
        <v/>
      </c>
      <c r="AX111" s="47"/>
      <c r="AY111" s="46" t="str">
        <f aca="true">IFERROR(IF(M111&lt;&gt;"",ROUND(VALUE(M111),1),IF(L111&lt;&gt;"",ROUND(MAX(0,(DATEVALUE(TEXT(L111,"YYYY-MM-DD"))-TODAY())/365.25),1),"")),"")</f>
        <v/>
      </c>
      <c r="AZ111" s="46" t="str">
        <f aca="false">IFERROR(IF(O111&lt;&gt;"",O111,""),"")</f>
        <v/>
      </c>
      <c r="BA111" s="46" t="str">
        <f aca="false">IFERROR(IF(U111&lt;&gt;"",SUBSTITUTE(SUBSTITUTE(U111,"; ",", "),";",","),""),"")</f>
        <v/>
      </c>
      <c r="BB111" s="47"/>
      <c r="BC111" s="47"/>
      <c r="BD111" s="47"/>
      <c r="BE111" s="47"/>
      <c r="BF111" s="47"/>
      <c r="BG111" s="47"/>
      <c r="BH111" s="47"/>
      <c r="BI111" s="47"/>
      <c r="BJ111" s="47"/>
      <c r="BK111" s="46" t="str">
        <f aca="false">IFERROR(IF(W111&lt;&gt;"",VALUE(W111),""),"")</f>
        <v/>
      </c>
      <c r="BL111" s="46" t="str">
        <f aca="false">IFERROR(IF(X111&lt;&gt;"",VALUE(X111),""),"")</f>
        <v/>
      </c>
      <c r="BM111" s="46" t="str">
        <f aca="false">IFERROR(IF(AD111="","None",IF(ISNUMBER(SEARCH("surv",AD111)),"Survived",IF(ISNUMBER(SEARCH("pend",AD111)),"Pending",IF(ISNUMBER(SEARCH("yes",AD111)),"Pending","None")))),"None")</f>
        <v>None</v>
      </c>
      <c r="BN111" s="47"/>
      <c r="BO111" s="47"/>
      <c r="BP111" s="47"/>
      <c r="BQ111" s="47"/>
      <c r="BR111" s="47"/>
      <c r="BS111" s="47"/>
      <c r="BT111" s="47"/>
      <c r="BU111" s="48" t="n">
        <f aca="false">IFERROR(COUNTA(AE111:BT111)/42,0)</f>
        <v>0.30952380952381</v>
      </c>
      <c r="BV111" s="49"/>
      <c r="BW111" s="50" t="b">
        <f aca="false">IF(Configuration!$C$10="No","",IFERROR(IF(AG111&lt;&gt;"",TRUE(),FALSE()),FALSE()))</f>
        <v>0</v>
      </c>
      <c r="BX111" s="50" t="b">
        <f aca="false">IF(Configuration!$C$11="No","",IFERROR(IF(AND(N(AL111)&gt;=Configuration!$C$44,AM111&lt;&gt;""),TRUE(),FALSE()),FALSE()))</f>
        <v>0</v>
      </c>
      <c r="BY111" s="50" t="b">
        <f aca="false">IF(Configuration!$C$12="No","",IFERROR(IF(AJ111&lt;&gt;"",TRUE(),FALSE()),FALSE()))</f>
        <v>0</v>
      </c>
      <c r="BZ111" s="50" t="b">
        <f aca="false">IF(Configuration!$C$13="No","",IFERROR(IF(AI111&lt;&gt;"",TRUE(),FALSE()),FALSE()))</f>
        <v>0</v>
      </c>
      <c r="CA111" s="50" t="b">
        <f aca="false">IF(Configuration!$C$14="No","",IFERROR(IF(AK111&lt;&gt;"",TRUE(),FALSE()),FALSE()))</f>
        <v>0</v>
      </c>
      <c r="CB111" s="50" t="b">
        <f aca="false">IF(Configuration!$C$15="No","",IFERROR(IF(AND(OR(ISNUMBER(SEARCH("process",AG111)),ISNUMBER(SEARCH("fab",AG111)),ISNUMBER(SEARCH("manufac",AG111))),AO111="Method"),TRUE(),FALSE()),FALSE()))</f>
        <v>0</v>
      </c>
      <c r="CC111" s="50" t="b">
        <f aca="false">IF(Configuration!$C$16="No","",IFERROR(IF(AND(OR(ISNUMBER(SEARCH("material",AG111)),ISNUMBER(SEARCH("chem",AG111)),ISNUMBER(SEARCH("battery",AG111)),ISNUMBER(SEARCH("electrolyte",AG111)),ISNUMBER(SEARCH("polymer",AG111))),OR(AO111="Apparatus",AO111="Method")),TRUE(),FALSE()),FALSE()))</f>
        <v>0</v>
      </c>
      <c r="CD111" s="50" t="b">
        <f aca="false">IF(Configuration!$C$17="No","",IFERROR(IF(AND(OR(AI111="App",AI111="Middleware",AI111="Cloud"),OR(AO111="Method",AO111="CRM")),TRUE(),FALSE()),FALSE()))</f>
        <v>0</v>
      </c>
      <c r="CE111" s="50" t="b">
        <f aca="false">IF(Configuration!$C$18="No","",IFERROR(IF(N(AN111)&gt;=Configuration!$C$45,TRUE(),FALSE()),FALSE()))</f>
        <v>0</v>
      </c>
      <c r="CF111" s="50" t="b">
        <f aca="false">IF(Configuration!$C$19="No","",IFERROR(IF(BE111&lt;&gt;"",TRUE(),FALSE()),FALSE()))</f>
        <v>0</v>
      </c>
      <c r="CG111" s="50" t="b">
        <f aca="false">IF(Configuration!$C$20="No","",IFERROR(IF(AO111&lt;&gt;"",TRUE(),FALSE()),FALSE()))</f>
        <v>0</v>
      </c>
      <c r="CH111" s="50" t="b">
        <f aca="false">IF(Configuration!$C$21="No","",IFERROR(IF(OR(N(AS111)&gt;=Configuration!$C$46,N(AT111)&gt;=Configuration!$C$47),TRUE(),FALSE()),FALSE()))</f>
        <v>0</v>
      </c>
      <c r="CI111" s="50" t="b">
        <f aca="false">IF(Configuration!$C$22="No","",IFERROR(IF(BB111="Yes",TRUE(),FALSE()),FALSE()))</f>
        <v>0</v>
      </c>
      <c r="CJ111" s="50" t="b">
        <f aca="false">IF(Configuration!$C$23="No","",IFERROR(IF(N(AV111)&gt;=Configuration!$C$48,TRUE(),FALSE()),FALSE()))</f>
        <v>0</v>
      </c>
      <c r="CK111" s="50" t="b">
        <f aca="false">IF(Configuration!$C$24="No","",IFERROR(IF(N(AY111)&gt;0,TRUE(),FALSE()),FALSE()))</f>
        <v>0</v>
      </c>
      <c r="CL111" s="50" t="b">
        <f aca="false">IF(Configuration!$C$25="No","",IFERROR(IF(OR(N(AP111)=3,N(AP111)&lt;=1),TRUE(),FALSE()),FALSE()))</f>
        <v>1</v>
      </c>
      <c r="CM111" s="50" t="b">
        <f aca="false">IF(Configuration!$C$26="No","",IFERROR(IF(N(BF111)&gt;=Configuration!$C$49,TRUE(),FALSE()),FALSE()))</f>
        <v>0</v>
      </c>
      <c r="CN111" s="50" t="b">
        <f aca="false">IF(Configuration!$C$27="No","",IFERROR(IF(BD111&lt;&gt;"",TRUE(),FALSE()),FALSE()))</f>
        <v>0</v>
      </c>
      <c r="CO111" s="50" t="b">
        <f aca="false">IF(Configuration!$C$28="No","",IFERROR(IF(N(AU111)&gt;=Configuration!$C$50,TRUE(),FALSE()),FALSE()))</f>
        <v>0</v>
      </c>
      <c r="CP111" s="50" t="b">
        <f aca="false">IF(Configuration!$C$29="No","",IFERROR(IF(AND(N(AR111)&gt;=Configuration!$C$51,AG111&lt;&gt;""),TRUE(),FALSE()),FALSE()))</f>
        <v>0</v>
      </c>
      <c r="CQ111" s="50" t="b">
        <f aca="false">IF(Configuration!$C$30="No","",IFERROR(IF(OR(AW111="Pending",AX111="Yes"),TRUE(),FALSE()),FALSE()))</f>
        <v>0</v>
      </c>
      <c r="CR111" s="50" t="b">
        <f aca="false">IF(Configuration!$C$31="No","",IFERROR(IF(AND(N(BG111)&gt;=Configuration!$C$52,N(AP111)&gt;=1),TRUE(),FALSE()),FALSE()))</f>
        <v>0</v>
      </c>
      <c r="CS111" s="50" t="b">
        <f aca="false">IF(Configuration!$C$32="No","",IFERROR(IF(AND(N(AR111)&gt;=1,OR(AG111&lt;&gt;"",AM111&lt;&gt;"")),TRUE(),FALSE()),FALSE()))</f>
        <v>0</v>
      </c>
      <c r="CT111" s="50" t="b">
        <f aca="false">IF(Configuration!$C$33="No","",IFERROR(IF(AG111&lt;&gt;"",TRUE(),FALSE()),FALSE()))</f>
        <v>0</v>
      </c>
      <c r="CU111" s="50" t="b">
        <f aca="false">IF(Configuration!$C$34="No","",IFERROR(IF(AX111="Yes",TRUE(),FALSE()),FALSE()))</f>
        <v>0</v>
      </c>
      <c r="CV111" s="50" t="b">
        <f aca="false">IF(Configuration!$C$35="No","",IFERROR(IF(OR(BO111="Partial",BO111="Full"),TRUE(),FALSE()),FALSE()))</f>
        <v>0</v>
      </c>
      <c r="CW111" s="50" t="b">
        <f aca="false">IF(Configuration!$C$36="No","",IFERROR(IF(BM111="Survived",TRUE(),FALSE()),FALSE()))</f>
        <v>0</v>
      </c>
      <c r="CX111" s="50" t="b">
        <f aca="false">IF(Configuration!$C$37="No","",IFERROR(IF(AND(BN111="Clean",BP111="None"),TRUE(),FALSE()),FALSE()))</f>
        <v>0</v>
      </c>
      <c r="CY111" s="50" t="b">
        <f aca="false">IF(Configuration!$C$38="No","",IFERROR(IF(N(BK111)&gt;=Configuration!$C$53,TRUE(),FALSE()),FALSE()))</f>
        <v>0</v>
      </c>
      <c r="CZ111" s="50" t="b">
        <f aca="false">IF(Configuration!$C$39="No","",IFERROR(IF(AND(N(BS111)&gt;=2,N(BF111)&gt;=2),TRUE(),FALSE()),FALSE()))</f>
        <v>0</v>
      </c>
      <c r="DA111" s="50" t="b">
        <f aca="false">IF(Configuration!$C$40="No","",IFERROR(IF(OR(N(BG111)&lt;=Configuration!$C$56,N(AY111)&lt;Configuration!$C$57,N(BH111)&lt;=Configuration!$C$58),TRUE(),FALSE()),FALSE()))</f>
        <v>1</v>
      </c>
      <c r="DB111" s="50" t="b">
        <f aca="false">IF(Configuration!$C$41="No","",IFERROR(IF(AND(N(AY111)&gt;=Configuration!$C$54,N(AY111)&lt;=Configuration!$C$55),TRUE(),FALSE()),FALSE()))</f>
        <v>0</v>
      </c>
      <c r="DC111" s="50" t="b">
        <f aca="false">IF(Configuration!$C$42="No","",IFERROR(IF(AND(AG111&lt;&gt;"",AJ111&lt;&gt;""),TRUE(),FALSE()),FALSE()))</f>
        <v>0</v>
      </c>
      <c r="DD111" s="51" t="n">
        <f aca="false">COUNTIF(BW111:DC111,TRUE())</f>
        <v>2</v>
      </c>
    </row>
    <row r="112" customFormat="false" ht="15" hidden="false" customHeight="true" outlineLevel="0" collapsed="false">
      <c r="A112" s="18" t="n">
        <v>73</v>
      </c>
      <c r="B112" s="44"/>
      <c r="C112" s="44"/>
      <c r="D112" s="44"/>
      <c r="E112" s="44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6" t="str">
        <f aca="false">IFERROR(IF(F112&lt;&gt;"",F112,""),"")</f>
        <v/>
      </c>
      <c r="AF112" s="46" t="str">
        <f aca="false">IFERROR(IF(G112&lt;&gt;"",G112,""),"")</f>
        <v/>
      </c>
      <c r="AG112" s="46" t="str">
        <f aca="false">IFERROR(IF(AA112&lt;&gt;"",AA112,IF(R112&lt;&gt;"",R112,"")),"")</f>
        <v/>
      </c>
      <c r="AH112" s="46" t="str">
        <f aca="false">IFERROR(IF(AB112&lt;&gt;"",AB112,IF(S112&lt;&gt;"",S112,"")),"")</f>
        <v/>
      </c>
      <c r="AI112" s="47"/>
      <c r="AJ112" s="47"/>
      <c r="AK112" s="47"/>
      <c r="AL112" s="47"/>
      <c r="AM112" s="47"/>
      <c r="AN112" s="47"/>
      <c r="AO112" s="47"/>
      <c r="AP112" s="47"/>
      <c r="AQ112" s="46" t="str">
        <f aca="false">IFERROR(IF(Y112&lt;&gt;"",VALUE(Y112),""),"")</f>
        <v/>
      </c>
      <c r="AR112" s="47"/>
      <c r="AS112" s="47"/>
      <c r="AT112" s="47"/>
      <c r="AU112" s="47"/>
      <c r="AV112" s="46" t="str">
        <f aca="false">IFERROR(IF(T112&lt;&gt;"",VALUE(T112),""),"")</f>
        <v/>
      </c>
      <c r="AW112" s="46" t="str">
        <f aca="false">IFERROR(IF(N112="","",IF(OR(ISNUMBER(SEARCH("grant",N112)),ISNUMBER(SEARCH("B",AC112))),"Granted",IF(OR(ISNUMBER(SEARCH("pend",N112)),ISNUMBER(SEARCH("A",AC112))),"Pending",IF(ISNUMBER(SEARCH("expir",N112)),"Expired",N112)))),"")</f>
        <v/>
      </c>
      <c r="AX112" s="47"/>
      <c r="AY112" s="46" t="str">
        <f aca="true">IFERROR(IF(M112&lt;&gt;"",ROUND(VALUE(M112),1),IF(L112&lt;&gt;"",ROUND(MAX(0,(DATEVALUE(TEXT(L112,"YYYY-MM-DD"))-TODAY())/365.25),1),"")),"")</f>
        <v/>
      </c>
      <c r="AZ112" s="46" t="str">
        <f aca="false">IFERROR(IF(O112&lt;&gt;"",O112,""),"")</f>
        <v/>
      </c>
      <c r="BA112" s="46" t="str">
        <f aca="false">IFERROR(IF(U112&lt;&gt;"",SUBSTITUTE(SUBSTITUTE(U112,"; ",", "),";",","),""),"")</f>
        <v/>
      </c>
      <c r="BB112" s="47"/>
      <c r="BC112" s="47"/>
      <c r="BD112" s="47"/>
      <c r="BE112" s="47"/>
      <c r="BF112" s="47"/>
      <c r="BG112" s="47"/>
      <c r="BH112" s="47"/>
      <c r="BI112" s="47"/>
      <c r="BJ112" s="47"/>
      <c r="BK112" s="46" t="str">
        <f aca="false">IFERROR(IF(W112&lt;&gt;"",VALUE(W112),""),"")</f>
        <v/>
      </c>
      <c r="BL112" s="46" t="str">
        <f aca="false">IFERROR(IF(X112&lt;&gt;"",VALUE(X112),""),"")</f>
        <v/>
      </c>
      <c r="BM112" s="46" t="str">
        <f aca="false">IFERROR(IF(AD112="","None",IF(ISNUMBER(SEARCH("surv",AD112)),"Survived",IF(ISNUMBER(SEARCH("pend",AD112)),"Pending",IF(ISNUMBER(SEARCH("yes",AD112)),"Pending","None")))),"None")</f>
        <v>None</v>
      </c>
      <c r="BN112" s="47"/>
      <c r="BO112" s="47"/>
      <c r="BP112" s="47"/>
      <c r="BQ112" s="47"/>
      <c r="BR112" s="47"/>
      <c r="BS112" s="47"/>
      <c r="BT112" s="47"/>
      <c r="BU112" s="48" t="n">
        <f aca="false">IFERROR(COUNTA(AE112:BT112)/42,0)</f>
        <v>0.30952380952381</v>
      </c>
      <c r="BV112" s="49"/>
      <c r="BW112" s="50" t="b">
        <f aca="false">IF(Configuration!$C$10="No","",IFERROR(IF(AG112&lt;&gt;"",TRUE(),FALSE()),FALSE()))</f>
        <v>0</v>
      </c>
      <c r="BX112" s="50" t="b">
        <f aca="false">IF(Configuration!$C$11="No","",IFERROR(IF(AND(N(AL112)&gt;=Configuration!$C$44,AM112&lt;&gt;""),TRUE(),FALSE()),FALSE()))</f>
        <v>0</v>
      </c>
      <c r="BY112" s="50" t="b">
        <f aca="false">IF(Configuration!$C$12="No","",IFERROR(IF(AJ112&lt;&gt;"",TRUE(),FALSE()),FALSE()))</f>
        <v>0</v>
      </c>
      <c r="BZ112" s="50" t="b">
        <f aca="false">IF(Configuration!$C$13="No","",IFERROR(IF(AI112&lt;&gt;"",TRUE(),FALSE()),FALSE()))</f>
        <v>0</v>
      </c>
      <c r="CA112" s="50" t="b">
        <f aca="false">IF(Configuration!$C$14="No","",IFERROR(IF(AK112&lt;&gt;"",TRUE(),FALSE()),FALSE()))</f>
        <v>0</v>
      </c>
      <c r="CB112" s="50" t="b">
        <f aca="false">IF(Configuration!$C$15="No","",IFERROR(IF(AND(OR(ISNUMBER(SEARCH("process",AG112)),ISNUMBER(SEARCH("fab",AG112)),ISNUMBER(SEARCH("manufac",AG112))),AO112="Method"),TRUE(),FALSE()),FALSE()))</f>
        <v>0</v>
      </c>
      <c r="CC112" s="50" t="b">
        <f aca="false">IF(Configuration!$C$16="No","",IFERROR(IF(AND(OR(ISNUMBER(SEARCH("material",AG112)),ISNUMBER(SEARCH("chem",AG112)),ISNUMBER(SEARCH("battery",AG112)),ISNUMBER(SEARCH("electrolyte",AG112)),ISNUMBER(SEARCH("polymer",AG112))),OR(AO112="Apparatus",AO112="Method")),TRUE(),FALSE()),FALSE()))</f>
        <v>0</v>
      </c>
      <c r="CD112" s="50" t="b">
        <f aca="false">IF(Configuration!$C$17="No","",IFERROR(IF(AND(OR(AI112="App",AI112="Middleware",AI112="Cloud"),OR(AO112="Method",AO112="CRM")),TRUE(),FALSE()),FALSE()))</f>
        <v>0</v>
      </c>
      <c r="CE112" s="50" t="b">
        <f aca="false">IF(Configuration!$C$18="No","",IFERROR(IF(N(AN112)&gt;=Configuration!$C$45,TRUE(),FALSE()),FALSE()))</f>
        <v>0</v>
      </c>
      <c r="CF112" s="50" t="b">
        <f aca="false">IF(Configuration!$C$19="No","",IFERROR(IF(BE112&lt;&gt;"",TRUE(),FALSE()),FALSE()))</f>
        <v>0</v>
      </c>
      <c r="CG112" s="50" t="b">
        <f aca="false">IF(Configuration!$C$20="No","",IFERROR(IF(AO112&lt;&gt;"",TRUE(),FALSE()),FALSE()))</f>
        <v>0</v>
      </c>
      <c r="CH112" s="50" t="b">
        <f aca="false">IF(Configuration!$C$21="No","",IFERROR(IF(OR(N(AS112)&gt;=Configuration!$C$46,N(AT112)&gt;=Configuration!$C$47),TRUE(),FALSE()),FALSE()))</f>
        <v>0</v>
      </c>
      <c r="CI112" s="50" t="b">
        <f aca="false">IF(Configuration!$C$22="No","",IFERROR(IF(BB112="Yes",TRUE(),FALSE()),FALSE()))</f>
        <v>0</v>
      </c>
      <c r="CJ112" s="50" t="b">
        <f aca="false">IF(Configuration!$C$23="No","",IFERROR(IF(N(AV112)&gt;=Configuration!$C$48,TRUE(),FALSE()),FALSE()))</f>
        <v>0</v>
      </c>
      <c r="CK112" s="50" t="b">
        <f aca="false">IF(Configuration!$C$24="No","",IFERROR(IF(N(AY112)&gt;0,TRUE(),FALSE()),FALSE()))</f>
        <v>0</v>
      </c>
      <c r="CL112" s="50" t="b">
        <f aca="false">IF(Configuration!$C$25="No","",IFERROR(IF(OR(N(AP112)=3,N(AP112)&lt;=1),TRUE(),FALSE()),FALSE()))</f>
        <v>1</v>
      </c>
      <c r="CM112" s="50" t="b">
        <f aca="false">IF(Configuration!$C$26="No","",IFERROR(IF(N(BF112)&gt;=Configuration!$C$49,TRUE(),FALSE()),FALSE()))</f>
        <v>0</v>
      </c>
      <c r="CN112" s="50" t="b">
        <f aca="false">IF(Configuration!$C$27="No","",IFERROR(IF(BD112&lt;&gt;"",TRUE(),FALSE()),FALSE()))</f>
        <v>0</v>
      </c>
      <c r="CO112" s="50" t="b">
        <f aca="false">IF(Configuration!$C$28="No","",IFERROR(IF(N(AU112)&gt;=Configuration!$C$50,TRUE(),FALSE()),FALSE()))</f>
        <v>0</v>
      </c>
      <c r="CP112" s="50" t="b">
        <f aca="false">IF(Configuration!$C$29="No","",IFERROR(IF(AND(N(AR112)&gt;=Configuration!$C$51,AG112&lt;&gt;""),TRUE(),FALSE()),FALSE()))</f>
        <v>0</v>
      </c>
      <c r="CQ112" s="50" t="b">
        <f aca="false">IF(Configuration!$C$30="No","",IFERROR(IF(OR(AW112="Pending",AX112="Yes"),TRUE(),FALSE()),FALSE()))</f>
        <v>0</v>
      </c>
      <c r="CR112" s="50" t="b">
        <f aca="false">IF(Configuration!$C$31="No","",IFERROR(IF(AND(N(BG112)&gt;=Configuration!$C$52,N(AP112)&gt;=1),TRUE(),FALSE()),FALSE()))</f>
        <v>0</v>
      </c>
      <c r="CS112" s="50" t="b">
        <f aca="false">IF(Configuration!$C$32="No","",IFERROR(IF(AND(N(AR112)&gt;=1,OR(AG112&lt;&gt;"",AM112&lt;&gt;"")),TRUE(),FALSE()),FALSE()))</f>
        <v>0</v>
      </c>
      <c r="CT112" s="50" t="b">
        <f aca="false">IF(Configuration!$C$33="No","",IFERROR(IF(AG112&lt;&gt;"",TRUE(),FALSE()),FALSE()))</f>
        <v>0</v>
      </c>
      <c r="CU112" s="50" t="b">
        <f aca="false">IF(Configuration!$C$34="No","",IFERROR(IF(AX112="Yes",TRUE(),FALSE()),FALSE()))</f>
        <v>0</v>
      </c>
      <c r="CV112" s="50" t="b">
        <f aca="false">IF(Configuration!$C$35="No","",IFERROR(IF(OR(BO112="Partial",BO112="Full"),TRUE(),FALSE()),FALSE()))</f>
        <v>0</v>
      </c>
      <c r="CW112" s="50" t="b">
        <f aca="false">IF(Configuration!$C$36="No","",IFERROR(IF(BM112="Survived",TRUE(),FALSE()),FALSE()))</f>
        <v>0</v>
      </c>
      <c r="CX112" s="50" t="b">
        <f aca="false">IF(Configuration!$C$37="No","",IFERROR(IF(AND(BN112="Clean",BP112="None"),TRUE(),FALSE()),FALSE()))</f>
        <v>0</v>
      </c>
      <c r="CY112" s="50" t="b">
        <f aca="false">IF(Configuration!$C$38="No","",IFERROR(IF(N(BK112)&gt;=Configuration!$C$53,TRUE(),FALSE()),FALSE()))</f>
        <v>0</v>
      </c>
      <c r="CZ112" s="50" t="b">
        <f aca="false">IF(Configuration!$C$39="No","",IFERROR(IF(AND(N(BS112)&gt;=2,N(BF112)&gt;=2),TRUE(),FALSE()),FALSE()))</f>
        <v>0</v>
      </c>
      <c r="DA112" s="50" t="b">
        <f aca="false">IF(Configuration!$C$40="No","",IFERROR(IF(OR(N(BG112)&lt;=Configuration!$C$56,N(AY112)&lt;Configuration!$C$57,N(BH112)&lt;=Configuration!$C$58),TRUE(),FALSE()),FALSE()))</f>
        <v>1</v>
      </c>
      <c r="DB112" s="50" t="b">
        <f aca="false">IF(Configuration!$C$41="No","",IFERROR(IF(AND(N(AY112)&gt;=Configuration!$C$54,N(AY112)&lt;=Configuration!$C$55),TRUE(),FALSE()),FALSE()))</f>
        <v>0</v>
      </c>
      <c r="DC112" s="50" t="b">
        <f aca="false">IF(Configuration!$C$42="No","",IFERROR(IF(AND(AG112&lt;&gt;"",AJ112&lt;&gt;""),TRUE(),FALSE()),FALSE()))</f>
        <v>0</v>
      </c>
      <c r="DD112" s="51" t="n">
        <f aca="false">COUNTIF(BW112:DC112,TRUE())</f>
        <v>2</v>
      </c>
    </row>
    <row r="113" customFormat="false" ht="15" hidden="false" customHeight="true" outlineLevel="0" collapsed="false">
      <c r="A113" s="18" t="n">
        <v>74</v>
      </c>
      <c r="B113" s="44"/>
      <c r="C113" s="44"/>
      <c r="D113" s="44"/>
      <c r="E113" s="44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6" t="str">
        <f aca="false">IFERROR(IF(F113&lt;&gt;"",F113,""),"")</f>
        <v/>
      </c>
      <c r="AF113" s="46" t="str">
        <f aca="false">IFERROR(IF(G113&lt;&gt;"",G113,""),"")</f>
        <v/>
      </c>
      <c r="AG113" s="46" t="str">
        <f aca="false">IFERROR(IF(AA113&lt;&gt;"",AA113,IF(R113&lt;&gt;"",R113,"")),"")</f>
        <v/>
      </c>
      <c r="AH113" s="46" t="str">
        <f aca="false">IFERROR(IF(AB113&lt;&gt;"",AB113,IF(S113&lt;&gt;"",S113,"")),"")</f>
        <v/>
      </c>
      <c r="AI113" s="47"/>
      <c r="AJ113" s="47"/>
      <c r="AK113" s="47"/>
      <c r="AL113" s="47"/>
      <c r="AM113" s="47"/>
      <c r="AN113" s="47"/>
      <c r="AO113" s="47"/>
      <c r="AP113" s="47"/>
      <c r="AQ113" s="46" t="str">
        <f aca="false">IFERROR(IF(Y113&lt;&gt;"",VALUE(Y113),""),"")</f>
        <v/>
      </c>
      <c r="AR113" s="47"/>
      <c r="AS113" s="47"/>
      <c r="AT113" s="47"/>
      <c r="AU113" s="47"/>
      <c r="AV113" s="46" t="str">
        <f aca="false">IFERROR(IF(T113&lt;&gt;"",VALUE(T113),""),"")</f>
        <v/>
      </c>
      <c r="AW113" s="46" t="str">
        <f aca="false">IFERROR(IF(N113="","",IF(OR(ISNUMBER(SEARCH("grant",N113)),ISNUMBER(SEARCH("B",AC113))),"Granted",IF(OR(ISNUMBER(SEARCH("pend",N113)),ISNUMBER(SEARCH("A",AC113))),"Pending",IF(ISNUMBER(SEARCH("expir",N113)),"Expired",N113)))),"")</f>
        <v/>
      </c>
      <c r="AX113" s="47"/>
      <c r="AY113" s="46" t="str">
        <f aca="true">IFERROR(IF(M113&lt;&gt;"",ROUND(VALUE(M113),1),IF(L113&lt;&gt;"",ROUND(MAX(0,(DATEVALUE(TEXT(L113,"YYYY-MM-DD"))-TODAY())/365.25),1),"")),"")</f>
        <v/>
      </c>
      <c r="AZ113" s="46" t="str">
        <f aca="false">IFERROR(IF(O113&lt;&gt;"",O113,""),"")</f>
        <v/>
      </c>
      <c r="BA113" s="46" t="str">
        <f aca="false">IFERROR(IF(U113&lt;&gt;"",SUBSTITUTE(SUBSTITUTE(U113,"; ",", "),";",","),""),"")</f>
        <v/>
      </c>
      <c r="BB113" s="47"/>
      <c r="BC113" s="47"/>
      <c r="BD113" s="47"/>
      <c r="BE113" s="47"/>
      <c r="BF113" s="47"/>
      <c r="BG113" s="47"/>
      <c r="BH113" s="47"/>
      <c r="BI113" s="47"/>
      <c r="BJ113" s="47"/>
      <c r="BK113" s="46" t="str">
        <f aca="false">IFERROR(IF(W113&lt;&gt;"",VALUE(W113),""),"")</f>
        <v/>
      </c>
      <c r="BL113" s="46" t="str">
        <f aca="false">IFERROR(IF(X113&lt;&gt;"",VALUE(X113),""),"")</f>
        <v/>
      </c>
      <c r="BM113" s="46" t="str">
        <f aca="false">IFERROR(IF(AD113="","None",IF(ISNUMBER(SEARCH("surv",AD113)),"Survived",IF(ISNUMBER(SEARCH("pend",AD113)),"Pending",IF(ISNUMBER(SEARCH("yes",AD113)),"Pending","None")))),"None")</f>
        <v>None</v>
      </c>
      <c r="BN113" s="47"/>
      <c r="BO113" s="47"/>
      <c r="BP113" s="47"/>
      <c r="BQ113" s="47"/>
      <c r="BR113" s="47"/>
      <c r="BS113" s="47"/>
      <c r="BT113" s="47"/>
      <c r="BU113" s="48" t="n">
        <f aca="false">IFERROR(COUNTA(AE113:BT113)/42,0)</f>
        <v>0.30952380952381</v>
      </c>
      <c r="BV113" s="49"/>
      <c r="BW113" s="50" t="b">
        <f aca="false">IF(Configuration!$C$10="No","",IFERROR(IF(AG113&lt;&gt;"",TRUE(),FALSE()),FALSE()))</f>
        <v>0</v>
      </c>
      <c r="BX113" s="50" t="b">
        <f aca="false">IF(Configuration!$C$11="No","",IFERROR(IF(AND(N(AL113)&gt;=Configuration!$C$44,AM113&lt;&gt;""),TRUE(),FALSE()),FALSE()))</f>
        <v>0</v>
      </c>
      <c r="BY113" s="50" t="b">
        <f aca="false">IF(Configuration!$C$12="No","",IFERROR(IF(AJ113&lt;&gt;"",TRUE(),FALSE()),FALSE()))</f>
        <v>0</v>
      </c>
      <c r="BZ113" s="50" t="b">
        <f aca="false">IF(Configuration!$C$13="No","",IFERROR(IF(AI113&lt;&gt;"",TRUE(),FALSE()),FALSE()))</f>
        <v>0</v>
      </c>
      <c r="CA113" s="50" t="b">
        <f aca="false">IF(Configuration!$C$14="No","",IFERROR(IF(AK113&lt;&gt;"",TRUE(),FALSE()),FALSE()))</f>
        <v>0</v>
      </c>
      <c r="CB113" s="50" t="b">
        <f aca="false">IF(Configuration!$C$15="No","",IFERROR(IF(AND(OR(ISNUMBER(SEARCH("process",AG113)),ISNUMBER(SEARCH("fab",AG113)),ISNUMBER(SEARCH("manufac",AG113))),AO113="Method"),TRUE(),FALSE()),FALSE()))</f>
        <v>0</v>
      </c>
      <c r="CC113" s="50" t="b">
        <f aca="false">IF(Configuration!$C$16="No","",IFERROR(IF(AND(OR(ISNUMBER(SEARCH("material",AG113)),ISNUMBER(SEARCH("chem",AG113)),ISNUMBER(SEARCH("battery",AG113)),ISNUMBER(SEARCH("electrolyte",AG113)),ISNUMBER(SEARCH("polymer",AG113))),OR(AO113="Apparatus",AO113="Method")),TRUE(),FALSE()),FALSE()))</f>
        <v>0</v>
      </c>
      <c r="CD113" s="50" t="b">
        <f aca="false">IF(Configuration!$C$17="No","",IFERROR(IF(AND(OR(AI113="App",AI113="Middleware",AI113="Cloud"),OR(AO113="Method",AO113="CRM")),TRUE(),FALSE()),FALSE()))</f>
        <v>0</v>
      </c>
      <c r="CE113" s="50" t="b">
        <f aca="false">IF(Configuration!$C$18="No","",IFERROR(IF(N(AN113)&gt;=Configuration!$C$45,TRUE(),FALSE()),FALSE()))</f>
        <v>0</v>
      </c>
      <c r="CF113" s="50" t="b">
        <f aca="false">IF(Configuration!$C$19="No","",IFERROR(IF(BE113&lt;&gt;"",TRUE(),FALSE()),FALSE()))</f>
        <v>0</v>
      </c>
      <c r="CG113" s="50" t="b">
        <f aca="false">IF(Configuration!$C$20="No","",IFERROR(IF(AO113&lt;&gt;"",TRUE(),FALSE()),FALSE()))</f>
        <v>0</v>
      </c>
      <c r="CH113" s="50" t="b">
        <f aca="false">IF(Configuration!$C$21="No","",IFERROR(IF(OR(N(AS113)&gt;=Configuration!$C$46,N(AT113)&gt;=Configuration!$C$47),TRUE(),FALSE()),FALSE()))</f>
        <v>0</v>
      </c>
      <c r="CI113" s="50" t="b">
        <f aca="false">IF(Configuration!$C$22="No","",IFERROR(IF(BB113="Yes",TRUE(),FALSE()),FALSE()))</f>
        <v>0</v>
      </c>
      <c r="CJ113" s="50" t="b">
        <f aca="false">IF(Configuration!$C$23="No","",IFERROR(IF(N(AV113)&gt;=Configuration!$C$48,TRUE(),FALSE()),FALSE()))</f>
        <v>0</v>
      </c>
      <c r="CK113" s="50" t="b">
        <f aca="false">IF(Configuration!$C$24="No","",IFERROR(IF(N(AY113)&gt;0,TRUE(),FALSE()),FALSE()))</f>
        <v>0</v>
      </c>
      <c r="CL113" s="50" t="b">
        <f aca="false">IF(Configuration!$C$25="No","",IFERROR(IF(OR(N(AP113)=3,N(AP113)&lt;=1),TRUE(),FALSE()),FALSE()))</f>
        <v>1</v>
      </c>
      <c r="CM113" s="50" t="b">
        <f aca="false">IF(Configuration!$C$26="No","",IFERROR(IF(N(BF113)&gt;=Configuration!$C$49,TRUE(),FALSE()),FALSE()))</f>
        <v>0</v>
      </c>
      <c r="CN113" s="50" t="b">
        <f aca="false">IF(Configuration!$C$27="No","",IFERROR(IF(BD113&lt;&gt;"",TRUE(),FALSE()),FALSE()))</f>
        <v>0</v>
      </c>
      <c r="CO113" s="50" t="b">
        <f aca="false">IF(Configuration!$C$28="No","",IFERROR(IF(N(AU113)&gt;=Configuration!$C$50,TRUE(),FALSE()),FALSE()))</f>
        <v>0</v>
      </c>
      <c r="CP113" s="50" t="b">
        <f aca="false">IF(Configuration!$C$29="No","",IFERROR(IF(AND(N(AR113)&gt;=Configuration!$C$51,AG113&lt;&gt;""),TRUE(),FALSE()),FALSE()))</f>
        <v>0</v>
      </c>
      <c r="CQ113" s="50" t="b">
        <f aca="false">IF(Configuration!$C$30="No","",IFERROR(IF(OR(AW113="Pending",AX113="Yes"),TRUE(),FALSE()),FALSE()))</f>
        <v>0</v>
      </c>
      <c r="CR113" s="50" t="b">
        <f aca="false">IF(Configuration!$C$31="No","",IFERROR(IF(AND(N(BG113)&gt;=Configuration!$C$52,N(AP113)&gt;=1),TRUE(),FALSE()),FALSE()))</f>
        <v>0</v>
      </c>
      <c r="CS113" s="50" t="b">
        <f aca="false">IF(Configuration!$C$32="No","",IFERROR(IF(AND(N(AR113)&gt;=1,OR(AG113&lt;&gt;"",AM113&lt;&gt;"")),TRUE(),FALSE()),FALSE()))</f>
        <v>0</v>
      </c>
      <c r="CT113" s="50" t="b">
        <f aca="false">IF(Configuration!$C$33="No","",IFERROR(IF(AG113&lt;&gt;"",TRUE(),FALSE()),FALSE()))</f>
        <v>0</v>
      </c>
      <c r="CU113" s="50" t="b">
        <f aca="false">IF(Configuration!$C$34="No","",IFERROR(IF(AX113="Yes",TRUE(),FALSE()),FALSE()))</f>
        <v>0</v>
      </c>
      <c r="CV113" s="50" t="b">
        <f aca="false">IF(Configuration!$C$35="No","",IFERROR(IF(OR(BO113="Partial",BO113="Full"),TRUE(),FALSE()),FALSE()))</f>
        <v>0</v>
      </c>
      <c r="CW113" s="50" t="b">
        <f aca="false">IF(Configuration!$C$36="No","",IFERROR(IF(BM113="Survived",TRUE(),FALSE()),FALSE()))</f>
        <v>0</v>
      </c>
      <c r="CX113" s="50" t="b">
        <f aca="false">IF(Configuration!$C$37="No","",IFERROR(IF(AND(BN113="Clean",BP113="None"),TRUE(),FALSE()),FALSE()))</f>
        <v>0</v>
      </c>
      <c r="CY113" s="50" t="b">
        <f aca="false">IF(Configuration!$C$38="No","",IFERROR(IF(N(BK113)&gt;=Configuration!$C$53,TRUE(),FALSE()),FALSE()))</f>
        <v>0</v>
      </c>
      <c r="CZ113" s="50" t="b">
        <f aca="false">IF(Configuration!$C$39="No","",IFERROR(IF(AND(N(BS113)&gt;=2,N(BF113)&gt;=2),TRUE(),FALSE()),FALSE()))</f>
        <v>0</v>
      </c>
      <c r="DA113" s="50" t="b">
        <f aca="false">IF(Configuration!$C$40="No","",IFERROR(IF(OR(N(BG113)&lt;=Configuration!$C$56,N(AY113)&lt;Configuration!$C$57,N(BH113)&lt;=Configuration!$C$58),TRUE(),FALSE()),FALSE()))</f>
        <v>1</v>
      </c>
      <c r="DB113" s="50" t="b">
        <f aca="false">IF(Configuration!$C$41="No","",IFERROR(IF(AND(N(AY113)&gt;=Configuration!$C$54,N(AY113)&lt;=Configuration!$C$55),TRUE(),FALSE()),FALSE()))</f>
        <v>0</v>
      </c>
      <c r="DC113" s="50" t="b">
        <f aca="false">IF(Configuration!$C$42="No","",IFERROR(IF(AND(AG113&lt;&gt;"",AJ113&lt;&gt;""),TRUE(),FALSE()),FALSE()))</f>
        <v>0</v>
      </c>
      <c r="DD113" s="51" t="n">
        <f aca="false">COUNTIF(BW113:DC113,TRUE())</f>
        <v>2</v>
      </c>
    </row>
    <row r="114" customFormat="false" ht="15" hidden="false" customHeight="true" outlineLevel="0" collapsed="false">
      <c r="A114" s="18" t="n">
        <v>75</v>
      </c>
      <c r="B114" s="44"/>
      <c r="C114" s="44"/>
      <c r="D114" s="44"/>
      <c r="E114" s="44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6" t="str">
        <f aca="false">IFERROR(IF(F114&lt;&gt;"",F114,""),"")</f>
        <v/>
      </c>
      <c r="AF114" s="46" t="str">
        <f aca="false">IFERROR(IF(G114&lt;&gt;"",G114,""),"")</f>
        <v/>
      </c>
      <c r="AG114" s="46" t="str">
        <f aca="false">IFERROR(IF(AA114&lt;&gt;"",AA114,IF(R114&lt;&gt;"",R114,"")),"")</f>
        <v/>
      </c>
      <c r="AH114" s="46" t="str">
        <f aca="false">IFERROR(IF(AB114&lt;&gt;"",AB114,IF(S114&lt;&gt;"",S114,"")),"")</f>
        <v/>
      </c>
      <c r="AI114" s="47"/>
      <c r="AJ114" s="47"/>
      <c r="AK114" s="47"/>
      <c r="AL114" s="47"/>
      <c r="AM114" s="47"/>
      <c r="AN114" s="47"/>
      <c r="AO114" s="47"/>
      <c r="AP114" s="47"/>
      <c r="AQ114" s="46" t="str">
        <f aca="false">IFERROR(IF(Y114&lt;&gt;"",VALUE(Y114),""),"")</f>
        <v/>
      </c>
      <c r="AR114" s="47"/>
      <c r="AS114" s="47"/>
      <c r="AT114" s="47"/>
      <c r="AU114" s="47"/>
      <c r="AV114" s="46" t="str">
        <f aca="false">IFERROR(IF(T114&lt;&gt;"",VALUE(T114),""),"")</f>
        <v/>
      </c>
      <c r="AW114" s="46" t="str">
        <f aca="false">IFERROR(IF(N114="","",IF(OR(ISNUMBER(SEARCH("grant",N114)),ISNUMBER(SEARCH("B",AC114))),"Granted",IF(OR(ISNUMBER(SEARCH("pend",N114)),ISNUMBER(SEARCH("A",AC114))),"Pending",IF(ISNUMBER(SEARCH("expir",N114)),"Expired",N114)))),"")</f>
        <v/>
      </c>
      <c r="AX114" s="47"/>
      <c r="AY114" s="46" t="str">
        <f aca="true">IFERROR(IF(M114&lt;&gt;"",ROUND(VALUE(M114),1),IF(L114&lt;&gt;"",ROUND(MAX(0,(DATEVALUE(TEXT(L114,"YYYY-MM-DD"))-TODAY())/365.25),1),"")),"")</f>
        <v/>
      </c>
      <c r="AZ114" s="46" t="str">
        <f aca="false">IFERROR(IF(O114&lt;&gt;"",O114,""),"")</f>
        <v/>
      </c>
      <c r="BA114" s="46" t="str">
        <f aca="false">IFERROR(IF(U114&lt;&gt;"",SUBSTITUTE(SUBSTITUTE(U114,"; ",", "),";",","),""),"")</f>
        <v/>
      </c>
      <c r="BB114" s="47"/>
      <c r="BC114" s="47"/>
      <c r="BD114" s="47"/>
      <c r="BE114" s="47"/>
      <c r="BF114" s="47"/>
      <c r="BG114" s="47"/>
      <c r="BH114" s="47"/>
      <c r="BI114" s="47"/>
      <c r="BJ114" s="47"/>
      <c r="BK114" s="46" t="str">
        <f aca="false">IFERROR(IF(W114&lt;&gt;"",VALUE(W114),""),"")</f>
        <v/>
      </c>
      <c r="BL114" s="46" t="str">
        <f aca="false">IFERROR(IF(X114&lt;&gt;"",VALUE(X114),""),"")</f>
        <v/>
      </c>
      <c r="BM114" s="46" t="str">
        <f aca="false">IFERROR(IF(AD114="","None",IF(ISNUMBER(SEARCH("surv",AD114)),"Survived",IF(ISNUMBER(SEARCH("pend",AD114)),"Pending",IF(ISNUMBER(SEARCH("yes",AD114)),"Pending","None")))),"None")</f>
        <v>None</v>
      </c>
      <c r="BN114" s="47"/>
      <c r="BO114" s="47"/>
      <c r="BP114" s="47"/>
      <c r="BQ114" s="47"/>
      <c r="BR114" s="47"/>
      <c r="BS114" s="47"/>
      <c r="BT114" s="47"/>
      <c r="BU114" s="48" t="n">
        <f aca="false">IFERROR(COUNTA(AE114:BT114)/42,0)</f>
        <v>0.30952380952381</v>
      </c>
      <c r="BV114" s="49"/>
      <c r="BW114" s="50" t="b">
        <f aca="false">IF(Configuration!$C$10="No","",IFERROR(IF(AG114&lt;&gt;"",TRUE(),FALSE()),FALSE()))</f>
        <v>0</v>
      </c>
      <c r="BX114" s="50" t="b">
        <f aca="false">IF(Configuration!$C$11="No","",IFERROR(IF(AND(N(AL114)&gt;=Configuration!$C$44,AM114&lt;&gt;""),TRUE(),FALSE()),FALSE()))</f>
        <v>0</v>
      </c>
      <c r="BY114" s="50" t="b">
        <f aca="false">IF(Configuration!$C$12="No","",IFERROR(IF(AJ114&lt;&gt;"",TRUE(),FALSE()),FALSE()))</f>
        <v>0</v>
      </c>
      <c r="BZ114" s="50" t="b">
        <f aca="false">IF(Configuration!$C$13="No","",IFERROR(IF(AI114&lt;&gt;"",TRUE(),FALSE()),FALSE()))</f>
        <v>0</v>
      </c>
      <c r="CA114" s="50" t="b">
        <f aca="false">IF(Configuration!$C$14="No","",IFERROR(IF(AK114&lt;&gt;"",TRUE(),FALSE()),FALSE()))</f>
        <v>0</v>
      </c>
      <c r="CB114" s="50" t="b">
        <f aca="false">IF(Configuration!$C$15="No","",IFERROR(IF(AND(OR(ISNUMBER(SEARCH("process",AG114)),ISNUMBER(SEARCH("fab",AG114)),ISNUMBER(SEARCH("manufac",AG114))),AO114="Method"),TRUE(),FALSE()),FALSE()))</f>
        <v>0</v>
      </c>
      <c r="CC114" s="50" t="b">
        <f aca="false">IF(Configuration!$C$16="No","",IFERROR(IF(AND(OR(ISNUMBER(SEARCH("material",AG114)),ISNUMBER(SEARCH("chem",AG114)),ISNUMBER(SEARCH("battery",AG114)),ISNUMBER(SEARCH("electrolyte",AG114)),ISNUMBER(SEARCH("polymer",AG114))),OR(AO114="Apparatus",AO114="Method")),TRUE(),FALSE()),FALSE()))</f>
        <v>0</v>
      </c>
      <c r="CD114" s="50" t="b">
        <f aca="false">IF(Configuration!$C$17="No","",IFERROR(IF(AND(OR(AI114="App",AI114="Middleware",AI114="Cloud"),OR(AO114="Method",AO114="CRM")),TRUE(),FALSE()),FALSE()))</f>
        <v>0</v>
      </c>
      <c r="CE114" s="50" t="b">
        <f aca="false">IF(Configuration!$C$18="No","",IFERROR(IF(N(AN114)&gt;=Configuration!$C$45,TRUE(),FALSE()),FALSE()))</f>
        <v>0</v>
      </c>
      <c r="CF114" s="50" t="b">
        <f aca="false">IF(Configuration!$C$19="No","",IFERROR(IF(BE114&lt;&gt;"",TRUE(),FALSE()),FALSE()))</f>
        <v>0</v>
      </c>
      <c r="CG114" s="50" t="b">
        <f aca="false">IF(Configuration!$C$20="No","",IFERROR(IF(AO114&lt;&gt;"",TRUE(),FALSE()),FALSE()))</f>
        <v>0</v>
      </c>
      <c r="CH114" s="50" t="b">
        <f aca="false">IF(Configuration!$C$21="No","",IFERROR(IF(OR(N(AS114)&gt;=Configuration!$C$46,N(AT114)&gt;=Configuration!$C$47),TRUE(),FALSE()),FALSE()))</f>
        <v>0</v>
      </c>
      <c r="CI114" s="50" t="b">
        <f aca="false">IF(Configuration!$C$22="No","",IFERROR(IF(BB114="Yes",TRUE(),FALSE()),FALSE()))</f>
        <v>0</v>
      </c>
      <c r="CJ114" s="50" t="b">
        <f aca="false">IF(Configuration!$C$23="No","",IFERROR(IF(N(AV114)&gt;=Configuration!$C$48,TRUE(),FALSE()),FALSE()))</f>
        <v>0</v>
      </c>
      <c r="CK114" s="50" t="b">
        <f aca="false">IF(Configuration!$C$24="No","",IFERROR(IF(N(AY114)&gt;0,TRUE(),FALSE()),FALSE()))</f>
        <v>0</v>
      </c>
      <c r="CL114" s="50" t="b">
        <f aca="false">IF(Configuration!$C$25="No","",IFERROR(IF(OR(N(AP114)=3,N(AP114)&lt;=1),TRUE(),FALSE()),FALSE()))</f>
        <v>1</v>
      </c>
      <c r="CM114" s="50" t="b">
        <f aca="false">IF(Configuration!$C$26="No","",IFERROR(IF(N(BF114)&gt;=Configuration!$C$49,TRUE(),FALSE()),FALSE()))</f>
        <v>0</v>
      </c>
      <c r="CN114" s="50" t="b">
        <f aca="false">IF(Configuration!$C$27="No","",IFERROR(IF(BD114&lt;&gt;"",TRUE(),FALSE()),FALSE()))</f>
        <v>0</v>
      </c>
      <c r="CO114" s="50" t="b">
        <f aca="false">IF(Configuration!$C$28="No","",IFERROR(IF(N(AU114)&gt;=Configuration!$C$50,TRUE(),FALSE()),FALSE()))</f>
        <v>0</v>
      </c>
      <c r="CP114" s="50" t="b">
        <f aca="false">IF(Configuration!$C$29="No","",IFERROR(IF(AND(N(AR114)&gt;=Configuration!$C$51,AG114&lt;&gt;""),TRUE(),FALSE()),FALSE()))</f>
        <v>0</v>
      </c>
      <c r="CQ114" s="50" t="b">
        <f aca="false">IF(Configuration!$C$30="No","",IFERROR(IF(OR(AW114="Pending",AX114="Yes"),TRUE(),FALSE()),FALSE()))</f>
        <v>0</v>
      </c>
      <c r="CR114" s="50" t="b">
        <f aca="false">IF(Configuration!$C$31="No","",IFERROR(IF(AND(N(BG114)&gt;=Configuration!$C$52,N(AP114)&gt;=1),TRUE(),FALSE()),FALSE()))</f>
        <v>0</v>
      </c>
      <c r="CS114" s="50" t="b">
        <f aca="false">IF(Configuration!$C$32="No","",IFERROR(IF(AND(N(AR114)&gt;=1,OR(AG114&lt;&gt;"",AM114&lt;&gt;"")),TRUE(),FALSE()),FALSE()))</f>
        <v>0</v>
      </c>
      <c r="CT114" s="50" t="b">
        <f aca="false">IF(Configuration!$C$33="No","",IFERROR(IF(AG114&lt;&gt;"",TRUE(),FALSE()),FALSE()))</f>
        <v>0</v>
      </c>
      <c r="CU114" s="50" t="b">
        <f aca="false">IF(Configuration!$C$34="No","",IFERROR(IF(AX114="Yes",TRUE(),FALSE()),FALSE()))</f>
        <v>0</v>
      </c>
      <c r="CV114" s="50" t="b">
        <f aca="false">IF(Configuration!$C$35="No","",IFERROR(IF(OR(BO114="Partial",BO114="Full"),TRUE(),FALSE()),FALSE()))</f>
        <v>0</v>
      </c>
      <c r="CW114" s="50" t="b">
        <f aca="false">IF(Configuration!$C$36="No","",IFERROR(IF(BM114="Survived",TRUE(),FALSE()),FALSE()))</f>
        <v>0</v>
      </c>
      <c r="CX114" s="50" t="b">
        <f aca="false">IF(Configuration!$C$37="No","",IFERROR(IF(AND(BN114="Clean",BP114="None"),TRUE(),FALSE()),FALSE()))</f>
        <v>0</v>
      </c>
      <c r="CY114" s="50" t="b">
        <f aca="false">IF(Configuration!$C$38="No","",IFERROR(IF(N(BK114)&gt;=Configuration!$C$53,TRUE(),FALSE()),FALSE()))</f>
        <v>0</v>
      </c>
      <c r="CZ114" s="50" t="b">
        <f aca="false">IF(Configuration!$C$39="No","",IFERROR(IF(AND(N(BS114)&gt;=2,N(BF114)&gt;=2),TRUE(),FALSE()),FALSE()))</f>
        <v>0</v>
      </c>
      <c r="DA114" s="50" t="b">
        <f aca="false">IF(Configuration!$C$40="No","",IFERROR(IF(OR(N(BG114)&lt;=Configuration!$C$56,N(AY114)&lt;Configuration!$C$57,N(BH114)&lt;=Configuration!$C$58),TRUE(),FALSE()),FALSE()))</f>
        <v>1</v>
      </c>
      <c r="DB114" s="50" t="b">
        <f aca="false">IF(Configuration!$C$41="No","",IFERROR(IF(AND(N(AY114)&gt;=Configuration!$C$54,N(AY114)&lt;=Configuration!$C$55),TRUE(),FALSE()),FALSE()))</f>
        <v>0</v>
      </c>
      <c r="DC114" s="50" t="b">
        <f aca="false">IF(Configuration!$C$42="No","",IFERROR(IF(AND(AG114&lt;&gt;"",AJ114&lt;&gt;""),TRUE(),FALSE()),FALSE()))</f>
        <v>0</v>
      </c>
      <c r="DD114" s="51" t="n">
        <f aca="false">COUNTIF(BW114:DC114,TRUE())</f>
        <v>2</v>
      </c>
    </row>
    <row r="115" customFormat="false" ht="15" hidden="false" customHeight="true" outlineLevel="0" collapsed="false">
      <c r="A115" s="18" t="n">
        <v>76</v>
      </c>
      <c r="B115" s="44"/>
      <c r="C115" s="44"/>
      <c r="D115" s="44"/>
      <c r="E115" s="44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6" t="str">
        <f aca="false">IFERROR(IF(F115&lt;&gt;"",F115,""),"")</f>
        <v/>
      </c>
      <c r="AF115" s="46" t="str">
        <f aca="false">IFERROR(IF(G115&lt;&gt;"",G115,""),"")</f>
        <v/>
      </c>
      <c r="AG115" s="46" t="str">
        <f aca="false">IFERROR(IF(AA115&lt;&gt;"",AA115,IF(R115&lt;&gt;"",R115,"")),"")</f>
        <v/>
      </c>
      <c r="AH115" s="46" t="str">
        <f aca="false">IFERROR(IF(AB115&lt;&gt;"",AB115,IF(S115&lt;&gt;"",S115,"")),"")</f>
        <v/>
      </c>
      <c r="AI115" s="47"/>
      <c r="AJ115" s="47"/>
      <c r="AK115" s="47"/>
      <c r="AL115" s="47"/>
      <c r="AM115" s="47"/>
      <c r="AN115" s="47"/>
      <c r="AO115" s="47"/>
      <c r="AP115" s="47"/>
      <c r="AQ115" s="46" t="str">
        <f aca="false">IFERROR(IF(Y115&lt;&gt;"",VALUE(Y115),""),"")</f>
        <v/>
      </c>
      <c r="AR115" s="47"/>
      <c r="AS115" s="47"/>
      <c r="AT115" s="47"/>
      <c r="AU115" s="47"/>
      <c r="AV115" s="46" t="str">
        <f aca="false">IFERROR(IF(T115&lt;&gt;"",VALUE(T115),""),"")</f>
        <v/>
      </c>
      <c r="AW115" s="46" t="str">
        <f aca="false">IFERROR(IF(N115="","",IF(OR(ISNUMBER(SEARCH("grant",N115)),ISNUMBER(SEARCH("B",AC115))),"Granted",IF(OR(ISNUMBER(SEARCH("pend",N115)),ISNUMBER(SEARCH("A",AC115))),"Pending",IF(ISNUMBER(SEARCH("expir",N115)),"Expired",N115)))),"")</f>
        <v/>
      </c>
      <c r="AX115" s="47"/>
      <c r="AY115" s="46" t="str">
        <f aca="true">IFERROR(IF(M115&lt;&gt;"",ROUND(VALUE(M115),1),IF(L115&lt;&gt;"",ROUND(MAX(0,(DATEVALUE(TEXT(L115,"YYYY-MM-DD"))-TODAY())/365.25),1),"")),"")</f>
        <v/>
      </c>
      <c r="AZ115" s="46" t="str">
        <f aca="false">IFERROR(IF(O115&lt;&gt;"",O115,""),"")</f>
        <v/>
      </c>
      <c r="BA115" s="46" t="str">
        <f aca="false">IFERROR(IF(U115&lt;&gt;"",SUBSTITUTE(SUBSTITUTE(U115,"; ",", "),";",","),""),"")</f>
        <v/>
      </c>
      <c r="BB115" s="47"/>
      <c r="BC115" s="47"/>
      <c r="BD115" s="47"/>
      <c r="BE115" s="47"/>
      <c r="BF115" s="47"/>
      <c r="BG115" s="47"/>
      <c r="BH115" s="47"/>
      <c r="BI115" s="47"/>
      <c r="BJ115" s="47"/>
      <c r="BK115" s="46" t="str">
        <f aca="false">IFERROR(IF(W115&lt;&gt;"",VALUE(W115),""),"")</f>
        <v/>
      </c>
      <c r="BL115" s="46" t="str">
        <f aca="false">IFERROR(IF(X115&lt;&gt;"",VALUE(X115),""),"")</f>
        <v/>
      </c>
      <c r="BM115" s="46" t="str">
        <f aca="false">IFERROR(IF(AD115="","None",IF(ISNUMBER(SEARCH("surv",AD115)),"Survived",IF(ISNUMBER(SEARCH("pend",AD115)),"Pending",IF(ISNUMBER(SEARCH("yes",AD115)),"Pending","None")))),"None")</f>
        <v>None</v>
      </c>
      <c r="BN115" s="47"/>
      <c r="BO115" s="47"/>
      <c r="BP115" s="47"/>
      <c r="BQ115" s="47"/>
      <c r="BR115" s="47"/>
      <c r="BS115" s="47"/>
      <c r="BT115" s="47"/>
      <c r="BU115" s="48" t="n">
        <f aca="false">IFERROR(COUNTA(AE115:BT115)/42,0)</f>
        <v>0.30952380952381</v>
      </c>
      <c r="BV115" s="49"/>
      <c r="BW115" s="50" t="b">
        <f aca="false">IF(Configuration!$C$10="No","",IFERROR(IF(AG115&lt;&gt;"",TRUE(),FALSE()),FALSE()))</f>
        <v>0</v>
      </c>
      <c r="BX115" s="50" t="b">
        <f aca="false">IF(Configuration!$C$11="No","",IFERROR(IF(AND(N(AL115)&gt;=Configuration!$C$44,AM115&lt;&gt;""),TRUE(),FALSE()),FALSE()))</f>
        <v>0</v>
      </c>
      <c r="BY115" s="50" t="b">
        <f aca="false">IF(Configuration!$C$12="No","",IFERROR(IF(AJ115&lt;&gt;"",TRUE(),FALSE()),FALSE()))</f>
        <v>0</v>
      </c>
      <c r="BZ115" s="50" t="b">
        <f aca="false">IF(Configuration!$C$13="No","",IFERROR(IF(AI115&lt;&gt;"",TRUE(),FALSE()),FALSE()))</f>
        <v>0</v>
      </c>
      <c r="CA115" s="50" t="b">
        <f aca="false">IF(Configuration!$C$14="No","",IFERROR(IF(AK115&lt;&gt;"",TRUE(),FALSE()),FALSE()))</f>
        <v>0</v>
      </c>
      <c r="CB115" s="50" t="b">
        <f aca="false">IF(Configuration!$C$15="No","",IFERROR(IF(AND(OR(ISNUMBER(SEARCH("process",AG115)),ISNUMBER(SEARCH("fab",AG115)),ISNUMBER(SEARCH("manufac",AG115))),AO115="Method"),TRUE(),FALSE()),FALSE()))</f>
        <v>0</v>
      </c>
      <c r="CC115" s="50" t="b">
        <f aca="false">IF(Configuration!$C$16="No","",IFERROR(IF(AND(OR(ISNUMBER(SEARCH("material",AG115)),ISNUMBER(SEARCH("chem",AG115)),ISNUMBER(SEARCH("battery",AG115)),ISNUMBER(SEARCH("electrolyte",AG115)),ISNUMBER(SEARCH("polymer",AG115))),OR(AO115="Apparatus",AO115="Method")),TRUE(),FALSE()),FALSE()))</f>
        <v>0</v>
      </c>
      <c r="CD115" s="50" t="b">
        <f aca="false">IF(Configuration!$C$17="No","",IFERROR(IF(AND(OR(AI115="App",AI115="Middleware",AI115="Cloud"),OR(AO115="Method",AO115="CRM")),TRUE(),FALSE()),FALSE()))</f>
        <v>0</v>
      </c>
      <c r="CE115" s="50" t="b">
        <f aca="false">IF(Configuration!$C$18="No","",IFERROR(IF(N(AN115)&gt;=Configuration!$C$45,TRUE(),FALSE()),FALSE()))</f>
        <v>0</v>
      </c>
      <c r="CF115" s="50" t="b">
        <f aca="false">IF(Configuration!$C$19="No","",IFERROR(IF(BE115&lt;&gt;"",TRUE(),FALSE()),FALSE()))</f>
        <v>0</v>
      </c>
      <c r="CG115" s="50" t="b">
        <f aca="false">IF(Configuration!$C$20="No","",IFERROR(IF(AO115&lt;&gt;"",TRUE(),FALSE()),FALSE()))</f>
        <v>0</v>
      </c>
      <c r="CH115" s="50" t="b">
        <f aca="false">IF(Configuration!$C$21="No","",IFERROR(IF(OR(N(AS115)&gt;=Configuration!$C$46,N(AT115)&gt;=Configuration!$C$47),TRUE(),FALSE()),FALSE()))</f>
        <v>0</v>
      </c>
      <c r="CI115" s="50" t="b">
        <f aca="false">IF(Configuration!$C$22="No","",IFERROR(IF(BB115="Yes",TRUE(),FALSE()),FALSE()))</f>
        <v>0</v>
      </c>
      <c r="CJ115" s="50" t="b">
        <f aca="false">IF(Configuration!$C$23="No","",IFERROR(IF(N(AV115)&gt;=Configuration!$C$48,TRUE(),FALSE()),FALSE()))</f>
        <v>0</v>
      </c>
      <c r="CK115" s="50" t="b">
        <f aca="false">IF(Configuration!$C$24="No","",IFERROR(IF(N(AY115)&gt;0,TRUE(),FALSE()),FALSE()))</f>
        <v>0</v>
      </c>
      <c r="CL115" s="50" t="b">
        <f aca="false">IF(Configuration!$C$25="No","",IFERROR(IF(OR(N(AP115)=3,N(AP115)&lt;=1),TRUE(),FALSE()),FALSE()))</f>
        <v>1</v>
      </c>
      <c r="CM115" s="50" t="b">
        <f aca="false">IF(Configuration!$C$26="No","",IFERROR(IF(N(BF115)&gt;=Configuration!$C$49,TRUE(),FALSE()),FALSE()))</f>
        <v>0</v>
      </c>
      <c r="CN115" s="50" t="b">
        <f aca="false">IF(Configuration!$C$27="No","",IFERROR(IF(BD115&lt;&gt;"",TRUE(),FALSE()),FALSE()))</f>
        <v>0</v>
      </c>
      <c r="CO115" s="50" t="b">
        <f aca="false">IF(Configuration!$C$28="No","",IFERROR(IF(N(AU115)&gt;=Configuration!$C$50,TRUE(),FALSE()),FALSE()))</f>
        <v>0</v>
      </c>
      <c r="CP115" s="50" t="b">
        <f aca="false">IF(Configuration!$C$29="No","",IFERROR(IF(AND(N(AR115)&gt;=Configuration!$C$51,AG115&lt;&gt;""),TRUE(),FALSE()),FALSE()))</f>
        <v>0</v>
      </c>
      <c r="CQ115" s="50" t="b">
        <f aca="false">IF(Configuration!$C$30="No","",IFERROR(IF(OR(AW115="Pending",AX115="Yes"),TRUE(),FALSE()),FALSE()))</f>
        <v>0</v>
      </c>
      <c r="CR115" s="50" t="b">
        <f aca="false">IF(Configuration!$C$31="No","",IFERROR(IF(AND(N(BG115)&gt;=Configuration!$C$52,N(AP115)&gt;=1),TRUE(),FALSE()),FALSE()))</f>
        <v>0</v>
      </c>
      <c r="CS115" s="50" t="b">
        <f aca="false">IF(Configuration!$C$32="No","",IFERROR(IF(AND(N(AR115)&gt;=1,OR(AG115&lt;&gt;"",AM115&lt;&gt;"")),TRUE(),FALSE()),FALSE()))</f>
        <v>0</v>
      </c>
      <c r="CT115" s="50" t="b">
        <f aca="false">IF(Configuration!$C$33="No","",IFERROR(IF(AG115&lt;&gt;"",TRUE(),FALSE()),FALSE()))</f>
        <v>0</v>
      </c>
      <c r="CU115" s="50" t="b">
        <f aca="false">IF(Configuration!$C$34="No","",IFERROR(IF(AX115="Yes",TRUE(),FALSE()),FALSE()))</f>
        <v>0</v>
      </c>
      <c r="CV115" s="50" t="b">
        <f aca="false">IF(Configuration!$C$35="No","",IFERROR(IF(OR(BO115="Partial",BO115="Full"),TRUE(),FALSE()),FALSE()))</f>
        <v>0</v>
      </c>
      <c r="CW115" s="50" t="b">
        <f aca="false">IF(Configuration!$C$36="No","",IFERROR(IF(BM115="Survived",TRUE(),FALSE()),FALSE()))</f>
        <v>0</v>
      </c>
      <c r="CX115" s="50" t="b">
        <f aca="false">IF(Configuration!$C$37="No","",IFERROR(IF(AND(BN115="Clean",BP115="None"),TRUE(),FALSE()),FALSE()))</f>
        <v>0</v>
      </c>
      <c r="CY115" s="50" t="b">
        <f aca="false">IF(Configuration!$C$38="No","",IFERROR(IF(N(BK115)&gt;=Configuration!$C$53,TRUE(),FALSE()),FALSE()))</f>
        <v>0</v>
      </c>
      <c r="CZ115" s="50" t="b">
        <f aca="false">IF(Configuration!$C$39="No","",IFERROR(IF(AND(N(BS115)&gt;=2,N(BF115)&gt;=2),TRUE(),FALSE()),FALSE()))</f>
        <v>0</v>
      </c>
      <c r="DA115" s="50" t="b">
        <f aca="false">IF(Configuration!$C$40="No","",IFERROR(IF(OR(N(BG115)&lt;=Configuration!$C$56,N(AY115)&lt;Configuration!$C$57,N(BH115)&lt;=Configuration!$C$58),TRUE(),FALSE()),FALSE()))</f>
        <v>1</v>
      </c>
      <c r="DB115" s="50" t="b">
        <f aca="false">IF(Configuration!$C$41="No","",IFERROR(IF(AND(N(AY115)&gt;=Configuration!$C$54,N(AY115)&lt;=Configuration!$C$55),TRUE(),FALSE()),FALSE()))</f>
        <v>0</v>
      </c>
      <c r="DC115" s="50" t="b">
        <f aca="false">IF(Configuration!$C$42="No","",IFERROR(IF(AND(AG115&lt;&gt;"",AJ115&lt;&gt;""),TRUE(),FALSE()),FALSE()))</f>
        <v>0</v>
      </c>
      <c r="DD115" s="51" t="n">
        <f aca="false">COUNTIF(BW115:DC115,TRUE())</f>
        <v>2</v>
      </c>
    </row>
    <row r="116" customFormat="false" ht="15" hidden="false" customHeight="true" outlineLevel="0" collapsed="false">
      <c r="A116" s="18" t="n">
        <v>77</v>
      </c>
      <c r="B116" s="44"/>
      <c r="C116" s="44"/>
      <c r="D116" s="44"/>
      <c r="E116" s="44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6" t="str">
        <f aca="false">IFERROR(IF(F116&lt;&gt;"",F116,""),"")</f>
        <v/>
      </c>
      <c r="AF116" s="46" t="str">
        <f aca="false">IFERROR(IF(G116&lt;&gt;"",G116,""),"")</f>
        <v/>
      </c>
      <c r="AG116" s="46" t="str">
        <f aca="false">IFERROR(IF(AA116&lt;&gt;"",AA116,IF(R116&lt;&gt;"",R116,"")),"")</f>
        <v/>
      </c>
      <c r="AH116" s="46" t="str">
        <f aca="false">IFERROR(IF(AB116&lt;&gt;"",AB116,IF(S116&lt;&gt;"",S116,"")),"")</f>
        <v/>
      </c>
      <c r="AI116" s="47"/>
      <c r="AJ116" s="47"/>
      <c r="AK116" s="47"/>
      <c r="AL116" s="47"/>
      <c r="AM116" s="47"/>
      <c r="AN116" s="47"/>
      <c r="AO116" s="47"/>
      <c r="AP116" s="47"/>
      <c r="AQ116" s="46" t="str">
        <f aca="false">IFERROR(IF(Y116&lt;&gt;"",VALUE(Y116),""),"")</f>
        <v/>
      </c>
      <c r="AR116" s="47"/>
      <c r="AS116" s="47"/>
      <c r="AT116" s="47"/>
      <c r="AU116" s="47"/>
      <c r="AV116" s="46" t="str">
        <f aca="false">IFERROR(IF(T116&lt;&gt;"",VALUE(T116),""),"")</f>
        <v/>
      </c>
      <c r="AW116" s="46" t="str">
        <f aca="false">IFERROR(IF(N116="","",IF(OR(ISNUMBER(SEARCH("grant",N116)),ISNUMBER(SEARCH("B",AC116))),"Granted",IF(OR(ISNUMBER(SEARCH("pend",N116)),ISNUMBER(SEARCH("A",AC116))),"Pending",IF(ISNUMBER(SEARCH("expir",N116)),"Expired",N116)))),"")</f>
        <v/>
      </c>
      <c r="AX116" s="47"/>
      <c r="AY116" s="46" t="str">
        <f aca="true">IFERROR(IF(M116&lt;&gt;"",ROUND(VALUE(M116),1),IF(L116&lt;&gt;"",ROUND(MAX(0,(DATEVALUE(TEXT(L116,"YYYY-MM-DD"))-TODAY())/365.25),1),"")),"")</f>
        <v/>
      </c>
      <c r="AZ116" s="46" t="str">
        <f aca="false">IFERROR(IF(O116&lt;&gt;"",O116,""),"")</f>
        <v/>
      </c>
      <c r="BA116" s="46" t="str">
        <f aca="false">IFERROR(IF(U116&lt;&gt;"",SUBSTITUTE(SUBSTITUTE(U116,"; ",", "),";",","),""),"")</f>
        <v/>
      </c>
      <c r="BB116" s="47"/>
      <c r="BC116" s="47"/>
      <c r="BD116" s="47"/>
      <c r="BE116" s="47"/>
      <c r="BF116" s="47"/>
      <c r="BG116" s="47"/>
      <c r="BH116" s="47"/>
      <c r="BI116" s="47"/>
      <c r="BJ116" s="47"/>
      <c r="BK116" s="46" t="str">
        <f aca="false">IFERROR(IF(W116&lt;&gt;"",VALUE(W116),""),"")</f>
        <v/>
      </c>
      <c r="BL116" s="46" t="str">
        <f aca="false">IFERROR(IF(X116&lt;&gt;"",VALUE(X116),""),"")</f>
        <v/>
      </c>
      <c r="BM116" s="46" t="str">
        <f aca="false">IFERROR(IF(AD116="","None",IF(ISNUMBER(SEARCH("surv",AD116)),"Survived",IF(ISNUMBER(SEARCH("pend",AD116)),"Pending",IF(ISNUMBER(SEARCH("yes",AD116)),"Pending","None")))),"None")</f>
        <v>None</v>
      </c>
      <c r="BN116" s="47"/>
      <c r="BO116" s="47"/>
      <c r="BP116" s="47"/>
      <c r="BQ116" s="47"/>
      <c r="BR116" s="47"/>
      <c r="BS116" s="47"/>
      <c r="BT116" s="47"/>
      <c r="BU116" s="48" t="n">
        <f aca="false">IFERROR(COUNTA(AE116:BT116)/42,0)</f>
        <v>0.30952380952381</v>
      </c>
      <c r="BV116" s="49"/>
      <c r="BW116" s="50" t="b">
        <f aca="false">IF(Configuration!$C$10="No","",IFERROR(IF(AG116&lt;&gt;"",TRUE(),FALSE()),FALSE()))</f>
        <v>0</v>
      </c>
      <c r="BX116" s="50" t="b">
        <f aca="false">IF(Configuration!$C$11="No","",IFERROR(IF(AND(N(AL116)&gt;=Configuration!$C$44,AM116&lt;&gt;""),TRUE(),FALSE()),FALSE()))</f>
        <v>0</v>
      </c>
      <c r="BY116" s="50" t="b">
        <f aca="false">IF(Configuration!$C$12="No","",IFERROR(IF(AJ116&lt;&gt;"",TRUE(),FALSE()),FALSE()))</f>
        <v>0</v>
      </c>
      <c r="BZ116" s="50" t="b">
        <f aca="false">IF(Configuration!$C$13="No","",IFERROR(IF(AI116&lt;&gt;"",TRUE(),FALSE()),FALSE()))</f>
        <v>0</v>
      </c>
      <c r="CA116" s="50" t="b">
        <f aca="false">IF(Configuration!$C$14="No","",IFERROR(IF(AK116&lt;&gt;"",TRUE(),FALSE()),FALSE()))</f>
        <v>0</v>
      </c>
      <c r="CB116" s="50" t="b">
        <f aca="false">IF(Configuration!$C$15="No","",IFERROR(IF(AND(OR(ISNUMBER(SEARCH("process",AG116)),ISNUMBER(SEARCH("fab",AG116)),ISNUMBER(SEARCH("manufac",AG116))),AO116="Method"),TRUE(),FALSE()),FALSE()))</f>
        <v>0</v>
      </c>
      <c r="CC116" s="50" t="b">
        <f aca="false">IF(Configuration!$C$16="No","",IFERROR(IF(AND(OR(ISNUMBER(SEARCH("material",AG116)),ISNUMBER(SEARCH("chem",AG116)),ISNUMBER(SEARCH("battery",AG116)),ISNUMBER(SEARCH("electrolyte",AG116)),ISNUMBER(SEARCH("polymer",AG116))),OR(AO116="Apparatus",AO116="Method")),TRUE(),FALSE()),FALSE()))</f>
        <v>0</v>
      </c>
      <c r="CD116" s="50" t="b">
        <f aca="false">IF(Configuration!$C$17="No","",IFERROR(IF(AND(OR(AI116="App",AI116="Middleware",AI116="Cloud"),OR(AO116="Method",AO116="CRM")),TRUE(),FALSE()),FALSE()))</f>
        <v>0</v>
      </c>
      <c r="CE116" s="50" t="b">
        <f aca="false">IF(Configuration!$C$18="No","",IFERROR(IF(N(AN116)&gt;=Configuration!$C$45,TRUE(),FALSE()),FALSE()))</f>
        <v>0</v>
      </c>
      <c r="CF116" s="50" t="b">
        <f aca="false">IF(Configuration!$C$19="No","",IFERROR(IF(BE116&lt;&gt;"",TRUE(),FALSE()),FALSE()))</f>
        <v>0</v>
      </c>
      <c r="CG116" s="50" t="b">
        <f aca="false">IF(Configuration!$C$20="No","",IFERROR(IF(AO116&lt;&gt;"",TRUE(),FALSE()),FALSE()))</f>
        <v>0</v>
      </c>
      <c r="CH116" s="50" t="b">
        <f aca="false">IF(Configuration!$C$21="No","",IFERROR(IF(OR(N(AS116)&gt;=Configuration!$C$46,N(AT116)&gt;=Configuration!$C$47),TRUE(),FALSE()),FALSE()))</f>
        <v>0</v>
      </c>
      <c r="CI116" s="50" t="b">
        <f aca="false">IF(Configuration!$C$22="No","",IFERROR(IF(BB116="Yes",TRUE(),FALSE()),FALSE()))</f>
        <v>0</v>
      </c>
      <c r="CJ116" s="50" t="b">
        <f aca="false">IF(Configuration!$C$23="No","",IFERROR(IF(N(AV116)&gt;=Configuration!$C$48,TRUE(),FALSE()),FALSE()))</f>
        <v>0</v>
      </c>
      <c r="CK116" s="50" t="b">
        <f aca="false">IF(Configuration!$C$24="No","",IFERROR(IF(N(AY116)&gt;0,TRUE(),FALSE()),FALSE()))</f>
        <v>0</v>
      </c>
      <c r="CL116" s="50" t="b">
        <f aca="false">IF(Configuration!$C$25="No","",IFERROR(IF(OR(N(AP116)=3,N(AP116)&lt;=1),TRUE(),FALSE()),FALSE()))</f>
        <v>1</v>
      </c>
      <c r="CM116" s="50" t="b">
        <f aca="false">IF(Configuration!$C$26="No","",IFERROR(IF(N(BF116)&gt;=Configuration!$C$49,TRUE(),FALSE()),FALSE()))</f>
        <v>0</v>
      </c>
      <c r="CN116" s="50" t="b">
        <f aca="false">IF(Configuration!$C$27="No","",IFERROR(IF(BD116&lt;&gt;"",TRUE(),FALSE()),FALSE()))</f>
        <v>0</v>
      </c>
      <c r="CO116" s="50" t="b">
        <f aca="false">IF(Configuration!$C$28="No","",IFERROR(IF(N(AU116)&gt;=Configuration!$C$50,TRUE(),FALSE()),FALSE()))</f>
        <v>0</v>
      </c>
      <c r="CP116" s="50" t="b">
        <f aca="false">IF(Configuration!$C$29="No","",IFERROR(IF(AND(N(AR116)&gt;=Configuration!$C$51,AG116&lt;&gt;""),TRUE(),FALSE()),FALSE()))</f>
        <v>0</v>
      </c>
      <c r="CQ116" s="50" t="b">
        <f aca="false">IF(Configuration!$C$30="No","",IFERROR(IF(OR(AW116="Pending",AX116="Yes"),TRUE(),FALSE()),FALSE()))</f>
        <v>0</v>
      </c>
      <c r="CR116" s="50" t="b">
        <f aca="false">IF(Configuration!$C$31="No","",IFERROR(IF(AND(N(BG116)&gt;=Configuration!$C$52,N(AP116)&gt;=1),TRUE(),FALSE()),FALSE()))</f>
        <v>0</v>
      </c>
      <c r="CS116" s="50" t="b">
        <f aca="false">IF(Configuration!$C$32="No","",IFERROR(IF(AND(N(AR116)&gt;=1,OR(AG116&lt;&gt;"",AM116&lt;&gt;"")),TRUE(),FALSE()),FALSE()))</f>
        <v>0</v>
      </c>
      <c r="CT116" s="50" t="b">
        <f aca="false">IF(Configuration!$C$33="No","",IFERROR(IF(AG116&lt;&gt;"",TRUE(),FALSE()),FALSE()))</f>
        <v>0</v>
      </c>
      <c r="CU116" s="50" t="b">
        <f aca="false">IF(Configuration!$C$34="No","",IFERROR(IF(AX116="Yes",TRUE(),FALSE()),FALSE()))</f>
        <v>0</v>
      </c>
      <c r="CV116" s="50" t="b">
        <f aca="false">IF(Configuration!$C$35="No","",IFERROR(IF(OR(BO116="Partial",BO116="Full"),TRUE(),FALSE()),FALSE()))</f>
        <v>0</v>
      </c>
      <c r="CW116" s="50" t="b">
        <f aca="false">IF(Configuration!$C$36="No","",IFERROR(IF(BM116="Survived",TRUE(),FALSE()),FALSE()))</f>
        <v>0</v>
      </c>
      <c r="CX116" s="50" t="b">
        <f aca="false">IF(Configuration!$C$37="No","",IFERROR(IF(AND(BN116="Clean",BP116="None"),TRUE(),FALSE()),FALSE()))</f>
        <v>0</v>
      </c>
      <c r="CY116" s="50" t="b">
        <f aca="false">IF(Configuration!$C$38="No","",IFERROR(IF(N(BK116)&gt;=Configuration!$C$53,TRUE(),FALSE()),FALSE()))</f>
        <v>0</v>
      </c>
      <c r="CZ116" s="50" t="b">
        <f aca="false">IF(Configuration!$C$39="No","",IFERROR(IF(AND(N(BS116)&gt;=2,N(BF116)&gt;=2),TRUE(),FALSE()),FALSE()))</f>
        <v>0</v>
      </c>
      <c r="DA116" s="50" t="b">
        <f aca="false">IF(Configuration!$C$40="No","",IFERROR(IF(OR(N(BG116)&lt;=Configuration!$C$56,N(AY116)&lt;Configuration!$C$57,N(BH116)&lt;=Configuration!$C$58),TRUE(),FALSE()),FALSE()))</f>
        <v>1</v>
      </c>
      <c r="DB116" s="50" t="b">
        <f aca="false">IF(Configuration!$C$41="No","",IFERROR(IF(AND(N(AY116)&gt;=Configuration!$C$54,N(AY116)&lt;=Configuration!$C$55),TRUE(),FALSE()),FALSE()))</f>
        <v>0</v>
      </c>
      <c r="DC116" s="50" t="b">
        <f aca="false">IF(Configuration!$C$42="No","",IFERROR(IF(AND(AG116&lt;&gt;"",AJ116&lt;&gt;""),TRUE(),FALSE()),FALSE()))</f>
        <v>0</v>
      </c>
      <c r="DD116" s="51" t="n">
        <f aca="false">COUNTIF(BW116:DC116,TRUE())</f>
        <v>2</v>
      </c>
    </row>
    <row r="117" customFormat="false" ht="15" hidden="false" customHeight="true" outlineLevel="0" collapsed="false">
      <c r="A117" s="18" t="n">
        <v>78</v>
      </c>
      <c r="B117" s="44"/>
      <c r="C117" s="44"/>
      <c r="D117" s="44"/>
      <c r="E117" s="44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6" t="str">
        <f aca="false">IFERROR(IF(F117&lt;&gt;"",F117,""),"")</f>
        <v/>
      </c>
      <c r="AF117" s="46" t="str">
        <f aca="false">IFERROR(IF(G117&lt;&gt;"",G117,""),"")</f>
        <v/>
      </c>
      <c r="AG117" s="46" t="str">
        <f aca="false">IFERROR(IF(AA117&lt;&gt;"",AA117,IF(R117&lt;&gt;"",R117,"")),"")</f>
        <v/>
      </c>
      <c r="AH117" s="46" t="str">
        <f aca="false">IFERROR(IF(AB117&lt;&gt;"",AB117,IF(S117&lt;&gt;"",S117,"")),"")</f>
        <v/>
      </c>
      <c r="AI117" s="47"/>
      <c r="AJ117" s="47"/>
      <c r="AK117" s="47"/>
      <c r="AL117" s="47"/>
      <c r="AM117" s="47"/>
      <c r="AN117" s="47"/>
      <c r="AO117" s="47"/>
      <c r="AP117" s="47"/>
      <c r="AQ117" s="46" t="str">
        <f aca="false">IFERROR(IF(Y117&lt;&gt;"",VALUE(Y117),""),"")</f>
        <v/>
      </c>
      <c r="AR117" s="47"/>
      <c r="AS117" s="47"/>
      <c r="AT117" s="47"/>
      <c r="AU117" s="47"/>
      <c r="AV117" s="46" t="str">
        <f aca="false">IFERROR(IF(T117&lt;&gt;"",VALUE(T117),""),"")</f>
        <v/>
      </c>
      <c r="AW117" s="46" t="str">
        <f aca="false">IFERROR(IF(N117="","",IF(OR(ISNUMBER(SEARCH("grant",N117)),ISNUMBER(SEARCH("B",AC117))),"Granted",IF(OR(ISNUMBER(SEARCH("pend",N117)),ISNUMBER(SEARCH("A",AC117))),"Pending",IF(ISNUMBER(SEARCH("expir",N117)),"Expired",N117)))),"")</f>
        <v/>
      </c>
      <c r="AX117" s="47"/>
      <c r="AY117" s="46" t="str">
        <f aca="true">IFERROR(IF(M117&lt;&gt;"",ROUND(VALUE(M117),1),IF(L117&lt;&gt;"",ROUND(MAX(0,(DATEVALUE(TEXT(L117,"YYYY-MM-DD"))-TODAY())/365.25),1),"")),"")</f>
        <v/>
      </c>
      <c r="AZ117" s="46" t="str">
        <f aca="false">IFERROR(IF(O117&lt;&gt;"",O117,""),"")</f>
        <v/>
      </c>
      <c r="BA117" s="46" t="str">
        <f aca="false">IFERROR(IF(U117&lt;&gt;"",SUBSTITUTE(SUBSTITUTE(U117,"; ",", "),";",","),""),"")</f>
        <v/>
      </c>
      <c r="BB117" s="47"/>
      <c r="BC117" s="47"/>
      <c r="BD117" s="47"/>
      <c r="BE117" s="47"/>
      <c r="BF117" s="47"/>
      <c r="BG117" s="47"/>
      <c r="BH117" s="47"/>
      <c r="BI117" s="47"/>
      <c r="BJ117" s="47"/>
      <c r="BK117" s="46" t="str">
        <f aca="false">IFERROR(IF(W117&lt;&gt;"",VALUE(W117),""),"")</f>
        <v/>
      </c>
      <c r="BL117" s="46" t="str">
        <f aca="false">IFERROR(IF(X117&lt;&gt;"",VALUE(X117),""),"")</f>
        <v/>
      </c>
      <c r="BM117" s="46" t="str">
        <f aca="false">IFERROR(IF(AD117="","None",IF(ISNUMBER(SEARCH("surv",AD117)),"Survived",IF(ISNUMBER(SEARCH("pend",AD117)),"Pending",IF(ISNUMBER(SEARCH("yes",AD117)),"Pending","None")))),"None")</f>
        <v>None</v>
      </c>
      <c r="BN117" s="47"/>
      <c r="BO117" s="47"/>
      <c r="BP117" s="47"/>
      <c r="BQ117" s="47"/>
      <c r="BR117" s="47"/>
      <c r="BS117" s="47"/>
      <c r="BT117" s="47"/>
      <c r="BU117" s="48" t="n">
        <f aca="false">IFERROR(COUNTA(AE117:BT117)/42,0)</f>
        <v>0.30952380952381</v>
      </c>
      <c r="BV117" s="49"/>
      <c r="BW117" s="50" t="b">
        <f aca="false">IF(Configuration!$C$10="No","",IFERROR(IF(AG117&lt;&gt;"",TRUE(),FALSE()),FALSE()))</f>
        <v>0</v>
      </c>
      <c r="BX117" s="50" t="b">
        <f aca="false">IF(Configuration!$C$11="No","",IFERROR(IF(AND(N(AL117)&gt;=Configuration!$C$44,AM117&lt;&gt;""),TRUE(),FALSE()),FALSE()))</f>
        <v>0</v>
      </c>
      <c r="BY117" s="50" t="b">
        <f aca="false">IF(Configuration!$C$12="No","",IFERROR(IF(AJ117&lt;&gt;"",TRUE(),FALSE()),FALSE()))</f>
        <v>0</v>
      </c>
      <c r="BZ117" s="50" t="b">
        <f aca="false">IF(Configuration!$C$13="No","",IFERROR(IF(AI117&lt;&gt;"",TRUE(),FALSE()),FALSE()))</f>
        <v>0</v>
      </c>
      <c r="CA117" s="50" t="b">
        <f aca="false">IF(Configuration!$C$14="No","",IFERROR(IF(AK117&lt;&gt;"",TRUE(),FALSE()),FALSE()))</f>
        <v>0</v>
      </c>
      <c r="CB117" s="50" t="b">
        <f aca="false">IF(Configuration!$C$15="No","",IFERROR(IF(AND(OR(ISNUMBER(SEARCH("process",AG117)),ISNUMBER(SEARCH("fab",AG117)),ISNUMBER(SEARCH("manufac",AG117))),AO117="Method"),TRUE(),FALSE()),FALSE()))</f>
        <v>0</v>
      </c>
      <c r="CC117" s="50" t="b">
        <f aca="false">IF(Configuration!$C$16="No","",IFERROR(IF(AND(OR(ISNUMBER(SEARCH("material",AG117)),ISNUMBER(SEARCH("chem",AG117)),ISNUMBER(SEARCH("battery",AG117)),ISNUMBER(SEARCH("electrolyte",AG117)),ISNUMBER(SEARCH("polymer",AG117))),OR(AO117="Apparatus",AO117="Method")),TRUE(),FALSE()),FALSE()))</f>
        <v>0</v>
      </c>
      <c r="CD117" s="50" t="b">
        <f aca="false">IF(Configuration!$C$17="No","",IFERROR(IF(AND(OR(AI117="App",AI117="Middleware",AI117="Cloud"),OR(AO117="Method",AO117="CRM")),TRUE(),FALSE()),FALSE()))</f>
        <v>0</v>
      </c>
      <c r="CE117" s="50" t="b">
        <f aca="false">IF(Configuration!$C$18="No","",IFERROR(IF(N(AN117)&gt;=Configuration!$C$45,TRUE(),FALSE()),FALSE()))</f>
        <v>0</v>
      </c>
      <c r="CF117" s="50" t="b">
        <f aca="false">IF(Configuration!$C$19="No","",IFERROR(IF(BE117&lt;&gt;"",TRUE(),FALSE()),FALSE()))</f>
        <v>0</v>
      </c>
      <c r="CG117" s="50" t="b">
        <f aca="false">IF(Configuration!$C$20="No","",IFERROR(IF(AO117&lt;&gt;"",TRUE(),FALSE()),FALSE()))</f>
        <v>0</v>
      </c>
      <c r="CH117" s="50" t="b">
        <f aca="false">IF(Configuration!$C$21="No","",IFERROR(IF(OR(N(AS117)&gt;=Configuration!$C$46,N(AT117)&gt;=Configuration!$C$47),TRUE(),FALSE()),FALSE()))</f>
        <v>0</v>
      </c>
      <c r="CI117" s="50" t="b">
        <f aca="false">IF(Configuration!$C$22="No","",IFERROR(IF(BB117="Yes",TRUE(),FALSE()),FALSE()))</f>
        <v>0</v>
      </c>
      <c r="CJ117" s="50" t="b">
        <f aca="false">IF(Configuration!$C$23="No","",IFERROR(IF(N(AV117)&gt;=Configuration!$C$48,TRUE(),FALSE()),FALSE()))</f>
        <v>0</v>
      </c>
      <c r="CK117" s="50" t="b">
        <f aca="false">IF(Configuration!$C$24="No","",IFERROR(IF(N(AY117)&gt;0,TRUE(),FALSE()),FALSE()))</f>
        <v>0</v>
      </c>
      <c r="CL117" s="50" t="b">
        <f aca="false">IF(Configuration!$C$25="No","",IFERROR(IF(OR(N(AP117)=3,N(AP117)&lt;=1),TRUE(),FALSE()),FALSE()))</f>
        <v>1</v>
      </c>
      <c r="CM117" s="50" t="b">
        <f aca="false">IF(Configuration!$C$26="No","",IFERROR(IF(N(BF117)&gt;=Configuration!$C$49,TRUE(),FALSE()),FALSE()))</f>
        <v>0</v>
      </c>
      <c r="CN117" s="50" t="b">
        <f aca="false">IF(Configuration!$C$27="No","",IFERROR(IF(BD117&lt;&gt;"",TRUE(),FALSE()),FALSE()))</f>
        <v>0</v>
      </c>
      <c r="CO117" s="50" t="b">
        <f aca="false">IF(Configuration!$C$28="No","",IFERROR(IF(N(AU117)&gt;=Configuration!$C$50,TRUE(),FALSE()),FALSE()))</f>
        <v>0</v>
      </c>
      <c r="CP117" s="50" t="b">
        <f aca="false">IF(Configuration!$C$29="No","",IFERROR(IF(AND(N(AR117)&gt;=Configuration!$C$51,AG117&lt;&gt;""),TRUE(),FALSE()),FALSE()))</f>
        <v>0</v>
      </c>
      <c r="CQ117" s="50" t="b">
        <f aca="false">IF(Configuration!$C$30="No","",IFERROR(IF(OR(AW117="Pending",AX117="Yes"),TRUE(),FALSE()),FALSE()))</f>
        <v>0</v>
      </c>
      <c r="CR117" s="50" t="b">
        <f aca="false">IF(Configuration!$C$31="No","",IFERROR(IF(AND(N(BG117)&gt;=Configuration!$C$52,N(AP117)&gt;=1),TRUE(),FALSE()),FALSE()))</f>
        <v>0</v>
      </c>
      <c r="CS117" s="50" t="b">
        <f aca="false">IF(Configuration!$C$32="No","",IFERROR(IF(AND(N(AR117)&gt;=1,OR(AG117&lt;&gt;"",AM117&lt;&gt;"")),TRUE(),FALSE()),FALSE()))</f>
        <v>0</v>
      </c>
      <c r="CT117" s="50" t="b">
        <f aca="false">IF(Configuration!$C$33="No","",IFERROR(IF(AG117&lt;&gt;"",TRUE(),FALSE()),FALSE()))</f>
        <v>0</v>
      </c>
      <c r="CU117" s="50" t="b">
        <f aca="false">IF(Configuration!$C$34="No","",IFERROR(IF(AX117="Yes",TRUE(),FALSE()),FALSE()))</f>
        <v>0</v>
      </c>
      <c r="CV117" s="50" t="b">
        <f aca="false">IF(Configuration!$C$35="No","",IFERROR(IF(OR(BO117="Partial",BO117="Full"),TRUE(),FALSE()),FALSE()))</f>
        <v>0</v>
      </c>
      <c r="CW117" s="50" t="b">
        <f aca="false">IF(Configuration!$C$36="No","",IFERROR(IF(BM117="Survived",TRUE(),FALSE()),FALSE()))</f>
        <v>0</v>
      </c>
      <c r="CX117" s="50" t="b">
        <f aca="false">IF(Configuration!$C$37="No","",IFERROR(IF(AND(BN117="Clean",BP117="None"),TRUE(),FALSE()),FALSE()))</f>
        <v>0</v>
      </c>
      <c r="CY117" s="50" t="b">
        <f aca="false">IF(Configuration!$C$38="No","",IFERROR(IF(N(BK117)&gt;=Configuration!$C$53,TRUE(),FALSE()),FALSE()))</f>
        <v>0</v>
      </c>
      <c r="CZ117" s="50" t="b">
        <f aca="false">IF(Configuration!$C$39="No","",IFERROR(IF(AND(N(BS117)&gt;=2,N(BF117)&gt;=2),TRUE(),FALSE()),FALSE()))</f>
        <v>0</v>
      </c>
      <c r="DA117" s="50" t="b">
        <f aca="false">IF(Configuration!$C$40="No","",IFERROR(IF(OR(N(BG117)&lt;=Configuration!$C$56,N(AY117)&lt;Configuration!$C$57,N(BH117)&lt;=Configuration!$C$58),TRUE(),FALSE()),FALSE()))</f>
        <v>1</v>
      </c>
      <c r="DB117" s="50" t="b">
        <f aca="false">IF(Configuration!$C$41="No","",IFERROR(IF(AND(N(AY117)&gt;=Configuration!$C$54,N(AY117)&lt;=Configuration!$C$55),TRUE(),FALSE()),FALSE()))</f>
        <v>0</v>
      </c>
      <c r="DC117" s="50" t="b">
        <f aca="false">IF(Configuration!$C$42="No","",IFERROR(IF(AND(AG117&lt;&gt;"",AJ117&lt;&gt;""),TRUE(),FALSE()),FALSE()))</f>
        <v>0</v>
      </c>
      <c r="DD117" s="51" t="n">
        <f aca="false">COUNTIF(BW117:DC117,TRUE())</f>
        <v>2</v>
      </c>
    </row>
    <row r="118" customFormat="false" ht="15" hidden="false" customHeight="true" outlineLevel="0" collapsed="false">
      <c r="A118" s="18" t="n">
        <v>79</v>
      </c>
      <c r="B118" s="44"/>
      <c r="C118" s="44"/>
      <c r="D118" s="44"/>
      <c r="E118" s="44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6" t="str">
        <f aca="false">IFERROR(IF(F118&lt;&gt;"",F118,""),"")</f>
        <v/>
      </c>
      <c r="AF118" s="46" t="str">
        <f aca="false">IFERROR(IF(G118&lt;&gt;"",G118,""),"")</f>
        <v/>
      </c>
      <c r="AG118" s="46" t="str">
        <f aca="false">IFERROR(IF(AA118&lt;&gt;"",AA118,IF(R118&lt;&gt;"",R118,"")),"")</f>
        <v/>
      </c>
      <c r="AH118" s="46" t="str">
        <f aca="false">IFERROR(IF(AB118&lt;&gt;"",AB118,IF(S118&lt;&gt;"",S118,"")),"")</f>
        <v/>
      </c>
      <c r="AI118" s="47"/>
      <c r="AJ118" s="47"/>
      <c r="AK118" s="47"/>
      <c r="AL118" s="47"/>
      <c r="AM118" s="47"/>
      <c r="AN118" s="47"/>
      <c r="AO118" s="47"/>
      <c r="AP118" s="47"/>
      <c r="AQ118" s="46" t="str">
        <f aca="false">IFERROR(IF(Y118&lt;&gt;"",VALUE(Y118),""),"")</f>
        <v/>
      </c>
      <c r="AR118" s="47"/>
      <c r="AS118" s="47"/>
      <c r="AT118" s="47"/>
      <c r="AU118" s="47"/>
      <c r="AV118" s="46" t="str">
        <f aca="false">IFERROR(IF(T118&lt;&gt;"",VALUE(T118),""),"")</f>
        <v/>
      </c>
      <c r="AW118" s="46" t="str">
        <f aca="false">IFERROR(IF(N118="","",IF(OR(ISNUMBER(SEARCH("grant",N118)),ISNUMBER(SEARCH("B",AC118))),"Granted",IF(OR(ISNUMBER(SEARCH("pend",N118)),ISNUMBER(SEARCH("A",AC118))),"Pending",IF(ISNUMBER(SEARCH("expir",N118)),"Expired",N118)))),"")</f>
        <v/>
      </c>
      <c r="AX118" s="47"/>
      <c r="AY118" s="46" t="str">
        <f aca="true">IFERROR(IF(M118&lt;&gt;"",ROUND(VALUE(M118),1),IF(L118&lt;&gt;"",ROUND(MAX(0,(DATEVALUE(TEXT(L118,"YYYY-MM-DD"))-TODAY())/365.25),1),"")),"")</f>
        <v/>
      </c>
      <c r="AZ118" s="46" t="str">
        <f aca="false">IFERROR(IF(O118&lt;&gt;"",O118,""),"")</f>
        <v/>
      </c>
      <c r="BA118" s="46" t="str">
        <f aca="false">IFERROR(IF(U118&lt;&gt;"",SUBSTITUTE(SUBSTITUTE(U118,"; ",", "),";",","),""),"")</f>
        <v/>
      </c>
      <c r="BB118" s="47"/>
      <c r="BC118" s="47"/>
      <c r="BD118" s="47"/>
      <c r="BE118" s="47"/>
      <c r="BF118" s="47"/>
      <c r="BG118" s="47"/>
      <c r="BH118" s="47"/>
      <c r="BI118" s="47"/>
      <c r="BJ118" s="47"/>
      <c r="BK118" s="46" t="str">
        <f aca="false">IFERROR(IF(W118&lt;&gt;"",VALUE(W118),""),"")</f>
        <v/>
      </c>
      <c r="BL118" s="46" t="str">
        <f aca="false">IFERROR(IF(X118&lt;&gt;"",VALUE(X118),""),"")</f>
        <v/>
      </c>
      <c r="BM118" s="46" t="str">
        <f aca="false">IFERROR(IF(AD118="","None",IF(ISNUMBER(SEARCH("surv",AD118)),"Survived",IF(ISNUMBER(SEARCH("pend",AD118)),"Pending",IF(ISNUMBER(SEARCH("yes",AD118)),"Pending","None")))),"None")</f>
        <v>None</v>
      </c>
      <c r="BN118" s="47"/>
      <c r="BO118" s="47"/>
      <c r="BP118" s="47"/>
      <c r="BQ118" s="47"/>
      <c r="BR118" s="47"/>
      <c r="BS118" s="47"/>
      <c r="BT118" s="47"/>
      <c r="BU118" s="48" t="n">
        <f aca="false">IFERROR(COUNTA(AE118:BT118)/42,0)</f>
        <v>0.30952380952381</v>
      </c>
      <c r="BV118" s="49"/>
      <c r="BW118" s="50" t="b">
        <f aca="false">IF(Configuration!$C$10="No","",IFERROR(IF(AG118&lt;&gt;"",TRUE(),FALSE()),FALSE()))</f>
        <v>0</v>
      </c>
      <c r="BX118" s="50" t="b">
        <f aca="false">IF(Configuration!$C$11="No","",IFERROR(IF(AND(N(AL118)&gt;=Configuration!$C$44,AM118&lt;&gt;""),TRUE(),FALSE()),FALSE()))</f>
        <v>0</v>
      </c>
      <c r="BY118" s="50" t="b">
        <f aca="false">IF(Configuration!$C$12="No","",IFERROR(IF(AJ118&lt;&gt;"",TRUE(),FALSE()),FALSE()))</f>
        <v>0</v>
      </c>
      <c r="BZ118" s="50" t="b">
        <f aca="false">IF(Configuration!$C$13="No","",IFERROR(IF(AI118&lt;&gt;"",TRUE(),FALSE()),FALSE()))</f>
        <v>0</v>
      </c>
      <c r="CA118" s="50" t="b">
        <f aca="false">IF(Configuration!$C$14="No","",IFERROR(IF(AK118&lt;&gt;"",TRUE(),FALSE()),FALSE()))</f>
        <v>0</v>
      </c>
      <c r="CB118" s="50" t="b">
        <f aca="false">IF(Configuration!$C$15="No","",IFERROR(IF(AND(OR(ISNUMBER(SEARCH("process",AG118)),ISNUMBER(SEARCH("fab",AG118)),ISNUMBER(SEARCH("manufac",AG118))),AO118="Method"),TRUE(),FALSE()),FALSE()))</f>
        <v>0</v>
      </c>
      <c r="CC118" s="50" t="b">
        <f aca="false">IF(Configuration!$C$16="No","",IFERROR(IF(AND(OR(ISNUMBER(SEARCH("material",AG118)),ISNUMBER(SEARCH("chem",AG118)),ISNUMBER(SEARCH("battery",AG118)),ISNUMBER(SEARCH("electrolyte",AG118)),ISNUMBER(SEARCH("polymer",AG118))),OR(AO118="Apparatus",AO118="Method")),TRUE(),FALSE()),FALSE()))</f>
        <v>0</v>
      </c>
      <c r="CD118" s="50" t="b">
        <f aca="false">IF(Configuration!$C$17="No","",IFERROR(IF(AND(OR(AI118="App",AI118="Middleware",AI118="Cloud"),OR(AO118="Method",AO118="CRM")),TRUE(),FALSE()),FALSE()))</f>
        <v>0</v>
      </c>
      <c r="CE118" s="50" t="b">
        <f aca="false">IF(Configuration!$C$18="No","",IFERROR(IF(N(AN118)&gt;=Configuration!$C$45,TRUE(),FALSE()),FALSE()))</f>
        <v>0</v>
      </c>
      <c r="CF118" s="50" t="b">
        <f aca="false">IF(Configuration!$C$19="No","",IFERROR(IF(BE118&lt;&gt;"",TRUE(),FALSE()),FALSE()))</f>
        <v>0</v>
      </c>
      <c r="CG118" s="50" t="b">
        <f aca="false">IF(Configuration!$C$20="No","",IFERROR(IF(AO118&lt;&gt;"",TRUE(),FALSE()),FALSE()))</f>
        <v>0</v>
      </c>
      <c r="CH118" s="50" t="b">
        <f aca="false">IF(Configuration!$C$21="No","",IFERROR(IF(OR(N(AS118)&gt;=Configuration!$C$46,N(AT118)&gt;=Configuration!$C$47),TRUE(),FALSE()),FALSE()))</f>
        <v>0</v>
      </c>
      <c r="CI118" s="50" t="b">
        <f aca="false">IF(Configuration!$C$22="No","",IFERROR(IF(BB118="Yes",TRUE(),FALSE()),FALSE()))</f>
        <v>0</v>
      </c>
      <c r="CJ118" s="50" t="b">
        <f aca="false">IF(Configuration!$C$23="No","",IFERROR(IF(N(AV118)&gt;=Configuration!$C$48,TRUE(),FALSE()),FALSE()))</f>
        <v>0</v>
      </c>
      <c r="CK118" s="50" t="b">
        <f aca="false">IF(Configuration!$C$24="No","",IFERROR(IF(N(AY118)&gt;0,TRUE(),FALSE()),FALSE()))</f>
        <v>0</v>
      </c>
      <c r="CL118" s="50" t="b">
        <f aca="false">IF(Configuration!$C$25="No","",IFERROR(IF(OR(N(AP118)=3,N(AP118)&lt;=1),TRUE(),FALSE()),FALSE()))</f>
        <v>1</v>
      </c>
      <c r="CM118" s="50" t="b">
        <f aca="false">IF(Configuration!$C$26="No","",IFERROR(IF(N(BF118)&gt;=Configuration!$C$49,TRUE(),FALSE()),FALSE()))</f>
        <v>0</v>
      </c>
      <c r="CN118" s="50" t="b">
        <f aca="false">IF(Configuration!$C$27="No","",IFERROR(IF(BD118&lt;&gt;"",TRUE(),FALSE()),FALSE()))</f>
        <v>0</v>
      </c>
      <c r="CO118" s="50" t="b">
        <f aca="false">IF(Configuration!$C$28="No","",IFERROR(IF(N(AU118)&gt;=Configuration!$C$50,TRUE(),FALSE()),FALSE()))</f>
        <v>0</v>
      </c>
      <c r="CP118" s="50" t="b">
        <f aca="false">IF(Configuration!$C$29="No","",IFERROR(IF(AND(N(AR118)&gt;=Configuration!$C$51,AG118&lt;&gt;""),TRUE(),FALSE()),FALSE()))</f>
        <v>0</v>
      </c>
      <c r="CQ118" s="50" t="b">
        <f aca="false">IF(Configuration!$C$30="No","",IFERROR(IF(OR(AW118="Pending",AX118="Yes"),TRUE(),FALSE()),FALSE()))</f>
        <v>0</v>
      </c>
      <c r="CR118" s="50" t="b">
        <f aca="false">IF(Configuration!$C$31="No","",IFERROR(IF(AND(N(BG118)&gt;=Configuration!$C$52,N(AP118)&gt;=1),TRUE(),FALSE()),FALSE()))</f>
        <v>0</v>
      </c>
      <c r="CS118" s="50" t="b">
        <f aca="false">IF(Configuration!$C$32="No","",IFERROR(IF(AND(N(AR118)&gt;=1,OR(AG118&lt;&gt;"",AM118&lt;&gt;"")),TRUE(),FALSE()),FALSE()))</f>
        <v>0</v>
      </c>
      <c r="CT118" s="50" t="b">
        <f aca="false">IF(Configuration!$C$33="No","",IFERROR(IF(AG118&lt;&gt;"",TRUE(),FALSE()),FALSE()))</f>
        <v>0</v>
      </c>
      <c r="CU118" s="50" t="b">
        <f aca="false">IF(Configuration!$C$34="No","",IFERROR(IF(AX118="Yes",TRUE(),FALSE()),FALSE()))</f>
        <v>0</v>
      </c>
      <c r="CV118" s="50" t="b">
        <f aca="false">IF(Configuration!$C$35="No","",IFERROR(IF(OR(BO118="Partial",BO118="Full"),TRUE(),FALSE()),FALSE()))</f>
        <v>0</v>
      </c>
      <c r="CW118" s="50" t="b">
        <f aca="false">IF(Configuration!$C$36="No","",IFERROR(IF(BM118="Survived",TRUE(),FALSE()),FALSE()))</f>
        <v>0</v>
      </c>
      <c r="CX118" s="50" t="b">
        <f aca="false">IF(Configuration!$C$37="No","",IFERROR(IF(AND(BN118="Clean",BP118="None"),TRUE(),FALSE()),FALSE()))</f>
        <v>0</v>
      </c>
      <c r="CY118" s="50" t="b">
        <f aca="false">IF(Configuration!$C$38="No","",IFERROR(IF(N(BK118)&gt;=Configuration!$C$53,TRUE(),FALSE()),FALSE()))</f>
        <v>0</v>
      </c>
      <c r="CZ118" s="50" t="b">
        <f aca="false">IF(Configuration!$C$39="No","",IFERROR(IF(AND(N(BS118)&gt;=2,N(BF118)&gt;=2),TRUE(),FALSE()),FALSE()))</f>
        <v>0</v>
      </c>
      <c r="DA118" s="50" t="b">
        <f aca="false">IF(Configuration!$C$40="No","",IFERROR(IF(OR(N(BG118)&lt;=Configuration!$C$56,N(AY118)&lt;Configuration!$C$57,N(BH118)&lt;=Configuration!$C$58),TRUE(),FALSE()),FALSE()))</f>
        <v>1</v>
      </c>
      <c r="DB118" s="50" t="b">
        <f aca="false">IF(Configuration!$C$41="No","",IFERROR(IF(AND(N(AY118)&gt;=Configuration!$C$54,N(AY118)&lt;=Configuration!$C$55),TRUE(),FALSE()),FALSE()))</f>
        <v>0</v>
      </c>
      <c r="DC118" s="50" t="b">
        <f aca="false">IF(Configuration!$C$42="No","",IFERROR(IF(AND(AG118&lt;&gt;"",AJ118&lt;&gt;""),TRUE(),FALSE()),FALSE()))</f>
        <v>0</v>
      </c>
      <c r="DD118" s="51" t="n">
        <f aca="false">COUNTIF(BW118:DC118,TRUE())</f>
        <v>2</v>
      </c>
    </row>
    <row r="119" customFormat="false" ht="15" hidden="false" customHeight="true" outlineLevel="0" collapsed="false">
      <c r="A119" s="18" t="n">
        <v>80</v>
      </c>
      <c r="B119" s="44"/>
      <c r="C119" s="44"/>
      <c r="D119" s="44"/>
      <c r="E119" s="44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6" t="str">
        <f aca="false">IFERROR(IF(F119&lt;&gt;"",F119,""),"")</f>
        <v/>
      </c>
      <c r="AF119" s="46" t="str">
        <f aca="false">IFERROR(IF(G119&lt;&gt;"",G119,""),"")</f>
        <v/>
      </c>
      <c r="AG119" s="46" t="str">
        <f aca="false">IFERROR(IF(AA119&lt;&gt;"",AA119,IF(R119&lt;&gt;"",R119,"")),"")</f>
        <v/>
      </c>
      <c r="AH119" s="46" t="str">
        <f aca="false">IFERROR(IF(AB119&lt;&gt;"",AB119,IF(S119&lt;&gt;"",S119,"")),"")</f>
        <v/>
      </c>
      <c r="AI119" s="47"/>
      <c r="AJ119" s="47"/>
      <c r="AK119" s="47"/>
      <c r="AL119" s="47"/>
      <c r="AM119" s="47"/>
      <c r="AN119" s="47"/>
      <c r="AO119" s="47"/>
      <c r="AP119" s="47"/>
      <c r="AQ119" s="46" t="str">
        <f aca="false">IFERROR(IF(Y119&lt;&gt;"",VALUE(Y119),""),"")</f>
        <v/>
      </c>
      <c r="AR119" s="47"/>
      <c r="AS119" s="47"/>
      <c r="AT119" s="47"/>
      <c r="AU119" s="47"/>
      <c r="AV119" s="46" t="str">
        <f aca="false">IFERROR(IF(T119&lt;&gt;"",VALUE(T119),""),"")</f>
        <v/>
      </c>
      <c r="AW119" s="46" t="str">
        <f aca="false">IFERROR(IF(N119="","",IF(OR(ISNUMBER(SEARCH("grant",N119)),ISNUMBER(SEARCH("B",AC119))),"Granted",IF(OR(ISNUMBER(SEARCH("pend",N119)),ISNUMBER(SEARCH("A",AC119))),"Pending",IF(ISNUMBER(SEARCH("expir",N119)),"Expired",N119)))),"")</f>
        <v/>
      </c>
      <c r="AX119" s="47"/>
      <c r="AY119" s="46" t="str">
        <f aca="true">IFERROR(IF(M119&lt;&gt;"",ROUND(VALUE(M119),1),IF(L119&lt;&gt;"",ROUND(MAX(0,(DATEVALUE(TEXT(L119,"YYYY-MM-DD"))-TODAY())/365.25),1),"")),"")</f>
        <v/>
      </c>
      <c r="AZ119" s="46" t="str">
        <f aca="false">IFERROR(IF(O119&lt;&gt;"",O119,""),"")</f>
        <v/>
      </c>
      <c r="BA119" s="46" t="str">
        <f aca="false">IFERROR(IF(U119&lt;&gt;"",SUBSTITUTE(SUBSTITUTE(U119,"; ",", "),";",","),""),"")</f>
        <v/>
      </c>
      <c r="BB119" s="47"/>
      <c r="BC119" s="47"/>
      <c r="BD119" s="47"/>
      <c r="BE119" s="47"/>
      <c r="BF119" s="47"/>
      <c r="BG119" s="47"/>
      <c r="BH119" s="47"/>
      <c r="BI119" s="47"/>
      <c r="BJ119" s="47"/>
      <c r="BK119" s="46" t="str">
        <f aca="false">IFERROR(IF(W119&lt;&gt;"",VALUE(W119),""),"")</f>
        <v/>
      </c>
      <c r="BL119" s="46" t="str">
        <f aca="false">IFERROR(IF(X119&lt;&gt;"",VALUE(X119),""),"")</f>
        <v/>
      </c>
      <c r="BM119" s="46" t="str">
        <f aca="false">IFERROR(IF(AD119="","None",IF(ISNUMBER(SEARCH("surv",AD119)),"Survived",IF(ISNUMBER(SEARCH("pend",AD119)),"Pending",IF(ISNUMBER(SEARCH("yes",AD119)),"Pending","None")))),"None")</f>
        <v>None</v>
      </c>
      <c r="BN119" s="47"/>
      <c r="BO119" s="47"/>
      <c r="BP119" s="47"/>
      <c r="BQ119" s="47"/>
      <c r="BR119" s="47"/>
      <c r="BS119" s="47"/>
      <c r="BT119" s="47"/>
      <c r="BU119" s="48" t="n">
        <f aca="false">IFERROR(COUNTA(AE119:BT119)/42,0)</f>
        <v>0.30952380952381</v>
      </c>
      <c r="BV119" s="49"/>
      <c r="BW119" s="50" t="b">
        <f aca="false">IF(Configuration!$C$10="No","",IFERROR(IF(AG119&lt;&gt;"",TRUE(),FALSE()),FALSE()))</f>
        <v>0</v>
      </c>
      <c r="BX119" s="50" t="b">
        <f aca="false">IF(Configuration!$C$11="No","",IFERROR(IF(AND(N(AL119)&gt;=Configuration!$C$44,AM119&lt;&gt;""),TRUE(),FALSE()),FALSE()))</f>
        <v>0</v>
      </c>
      <c r="BY119" s="50" t="b">
        <f aca="false">IF(Configuration!$C$12="No","",IFERROR(IF(AJ119&lt;&gt;"",TRUE(),FALSE()),FALSE()))</f>
        <v>0</v>
      </c>
      <c r="BZ119" s="50" t="b">
        <f aca="false">IF(Configuration!$C$13="No","",IFERROR(IF(AI119&lt;&gt;"",TRUE(),FALSE()),FALSE()))</f>
        <v>0</v>
      </c>
      <c r="CA119" s="50" t="b">
        <f aca="false">IF(Configuration!$C$14="No","",IFERROR(IF(AK119&lt;&gt;"",TRUE(),FALSE()),FALSE()))</f>
        <v>0</v>
      </c>
      <c r="CB119" s="50" t="b">
        <f aca="false">IF(Configuration!$C$15="No","",IFERROR(IF(AND(OR(ISNUMBER(SEARCH("process",AG119)),ISNUMBER(SEARCH("fab",AG119)),ISNUMBER(SEARCH("manufac",AG119))),AO119="Method"),TRUE(),FALSE()),FALSE()))</f>
        <v>0</v>
      </c>
      <c r="CC119" s="50" t="b">
        <f aca="false">IF(Configuration!$C$16="No","",IFERROR(IF(AND(OR(ISNUMBER(SEARCH("material",AG119)),ISNUMBER(SEARCH("chem",AG119)),ISNUMBER(SEARCH("battery",AG119)),ISNUMBER(SEARCH("electrolyte",AG119)),ISNUMBER(SEARCH("polymer",AG119))),OR(AO119="Apparatus",AO119="Method")),TRUE(),FALSE()),FALSE()))</f>
        <v>0</v>
      </c>
      <c r="CD119" s="50" t="b">
        <f aca="false">IF(Configuration!$C$17="No","",IFERROR(IF(AND(OR(AI119="App",AI119="Middleware",AI119="Cloud"),OR(AO119="Method",AO119="CRM")),TRUE(),FALSE()),FALSE()))</f>
        <v>0</v>
      </c>
      <c r="CE119" s="50" t="b">
        <f aca="false">IF(Configuration!$C$18="No","",IFERROR(IF(N(AN119)&gt;=Configuration!$C$45,TRUE(),FALSE()),FALSE()))</f>
        <v>0</v>
      </c>
      <c r="CF119" s="50" t="b">
        <f aca="false">IF(Configuration!$C$19="No","",IFERROR(IF(BE119&lt;&gt;"",TRUE(),FALSE()),FALSE()))</f>
        <v>0</v>
      </c>
      <c r="CG119" s="50" t="b">
        <f aca="false">IF(Configuration!$C$20="No","",IFERROR(IF(AO119&lt;&gt;"",TRUE(),FALSE()),FALSE()))</f>
        <v>0</v>
      </c>
      <c r="CH119" s="50" t="b">
        <f aca="false">IF(Configuration!$C$21="No","",IFERROR(IF(OR(N(AS119)&gt;=Configuration!$C$46,N(AT119)&gt;=Configuration!$C$47),TRUE(),FALSE()),FALSE()))</f>
        <v>0</v>
      </c>
      <c r="CI119" s="50" t="b">
        <f aca="false">IF(Configuration!$C$22="No","",IFERROR(IF(BB119="Yes",TRUE(),FALSE()),FALSE()))</f>
        <v>0</v>
      </c>
      <c r="CJ119" s="50" t="b">
        <f aca="false">IF(Configuration!$C$23="No","",IFERROR(IF(N(AV119)&gt;=Configuration!$C$48,TRUE(),FALSE()),FALSE()))</f>
        <v>0</v>
      </c>
      <c r="CK119" s="50" t="b">
        <f aca="false">IF(Configuration!$C$24="No","",IFERROR(IF(N(AY119)&gt;0,TRUE(),FALSE()),FALSE()))</f>
        <v>0</v>
      </c>
      <c r="CL119" s="50" t="b">
        <f aca="false">IF(Configuration!$C$25="No","",IFERROR(IF(OR(N(AP119)=3,N(AP119)&lt;=1),TRUE(),FALSE()),FALSE()))</f>
        <v>1</v>
      </c>
      <c r="CM119" s="50" t="b">
        <f aca="false">IF(Configuration!$C$26="No","",IFERROR(IF(N(BF119)&gt;=Configuration!$C$49,TRUE(),FALSE()),FALSE()))</f>
        <v>0</v>
      </c>
      <c r="CN119" s="50" t="b">
        <f aca="false">IF(Configuration!$C$27="No","",IFERROR(IF(BD119&lt;&gt;"",TRUE(),FALSE()),FALSE()))</f>
        <v>0</v>
      </c>
      <c r="CO119" s="50" t="b">
        <f aca="false">IF(Configuration!$C$28="No","",IFERROR(IF(N(AU119)&gt;=Configuration!$C$50,TRUE(),FALSE()),FALSE()))</f>
        <v>0</v>
      </c>
      <c r="CP119" s="50" t="b">
        <f aca="false">IF(Configuration!$C$29="No","",IFERROR(IF(AND(N(AR119)&gt;=Configuration!$C$51,AG119&lt;&gt;""),TRUE(),FALSE()),FALSE()))</f>
        <v>0</v>
      </c>
      <c r="CQ119" s="50" t="b">
        <f aca="false">IF(Configuration!$C$30="No","",IFERROR(IF(OR(AW119="Pending",AX119="Yes"),TRUE(),FALSE()),FALSE()))</f>
        <v>0</v>
      </c>
      <c r="CR119" s="50" t="b">
        <f aca="false">IF(Configuration!$C$31="No","",IFERROR(IF(AND(N(BG119)&gt;=Configuration!$C$52,N(AP119)&gt;=1),TRUE(),FALSE()),FALSE()))</f>
        <v>0</v>
      </c>
      <c r="CS119" s="50" t="b">
        <f aca="false">IF(Configuration!$C$32="No","",IFERROR(IF(AND(N(AR119)&gt;=1,OR(AG119&lt;&gt;"",AM119&lt;&gt;"")),TRUE(),FALSE()),FALSE()))</f>
        <v>0</v>
      </c>
      <c r="CT119" s="50" t="b">
        <f aca="false">IF(Configuration!$C$33="No","",IFERROR(IF(AG119&lt;&gt;"",TRUE(),FALSE()),FALSE()))</f>
        <v>0</v>
      </c>
      <c r="CU119" s="50" t="b">
        <f aca="false">IF(Configuration!$C$34="No","",IFERROR(IF(AX119="Yes",TRUE(),FALSE()),FALSE()))</f>
        <v>0</v>
      </c>
      <c r="CV119" s="50" t="b">
        <f aca="false">IF(Configuration!$C$35="No","",IFERROR(IF(OR(BO119="Partial",BO119="Full"),TRUE(),FALSE()),FALSE()))</f>
        <v>0</v>
      </c>
      <c r="CW119" s="50" t="b">
        <f aca="false">IF(Configuration!$C$36="No","",IFERROR(IF(BM119="Survived",TRUE(),FALSE()),FALSE()))</f>
        <v>0</v>
      </c>
      <c r="CX119" s="50" t="b">
        <f aca="false">IF(Configuration!$C$37="No","",IFERROR(IF(AND(BN119="Clean",BP119="None"),TRUE(),FALSE()),FALSE()))</f>
        <v>0</v>
      </c>
      <c r="CY119" s="50" t="b">
        <f aca="false">IF(Configuration!$C$38="No","",IFERROR(IF(N(BK119)&gt;=Configuration!$C$53,TRUE(),FALSE()),FALSE()))</f>
        <v>0</v>
      </c>
      <c r="CZ119" s="50" t="b">
        <f aca="false">IF(Configuration!$C$39="No","",IFERROR(IF(AND(N(BS119)&gt;=2,N(BF119)&gt;=2),TRUE(),FALSE()),FALSE()))</f>
        <v>0</v>
      </c>
      <c r="DA119" s="50" t="b">
        <f aca="false">IF(Configuration!$C$40="No","",IFERROR(IF(OR(N(BG119)&lt;=Configuration!$C$56,N(AY119)&lt;Configuration!$C$57,N(BH119)&lt;=Configuration!$C$58),TRUE(),FALSE()),FALSE()))</f>
        <v>1</v>
      </c>
      <c r="DB119" s="50" t="b">
        <f aca="false">IF(Configuration!$C$41="No","",IFERROR(IF(AND(N(AY119)&gt;=Configuration!$C$54,N(AY119)&lt;=Configuration!$C$55),TRUE(),FALSE()),FALSE()))</f>
        <v>0</v>
      </c>
      <c r="DC119" s="50" t="b">
        <f aca="false">IF(Configuration!$C$42="No","",IFERROR(IF(AND(AG119&lt;&gt;"",AJ119&lt;&gt;""),TRUE(),FALSE()),FALSE()))</f>
        <v>0</v>
      </c>
      <c r="DD119" s="51" t="n">
        <f aca="false">COUNTIF(BW119:DC119,TRUE())</f>
        <v>2</v>
      </c>
    </row>
    <row r="120" customFormat="false" ht="15" hidden="false" customHeight="true" outlineLevel="0" collapsed="false">
      <c r="A120" s="18" t="n">
        <v>81</v>
      </c>
      <c r="B120" s="44"/>
      <c r="C120" s="44"/>
      <c r="D120" s="44"/>
      <c r="E120" s="44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6" t="str">
        <f aca="false">IFERROR(IF(F120&lt;&gt;"",F120,""),"")</f>
        <v/>
      </c>
      <c r="AF120" s="46" t="str">
        <f aca="false">IFERROR(IF(G120&lt;&gt;"",G120,""),"")</f>
        <v/>
      </c>
      <c r="AG120" s="46" t="str">
        <f aca="false">IFERROR(IF(AA120&lt;&gt;"",AA120,IF(R120&lt;&gt;"",R120,"")),"")</f>
        <v/>
      </c>
      <c r="AH120" s="46" t="str">
        <f aca="false">IFERROR(IF(AB120&lt;&gt;"",AB120,IF(S120&lt;&gt;"",S120,"")),"")</f>
        <v/>
      </c>
      <c r="AI120" s="47"/>
      <c r="AJ120" s="47"/>
      <c r="AK120" s="47"/>
      <c r="AL120" s="47"/>
      <c r="AM120" s="47"/>
      <c r="AN120" s="47"/>
      <c r="AO120" s="47"/>
      <c r="AP120" s="47"/>
      <c r="AQ120" s="46" t="str">
        <f aca="false">IFERROR(IF(Y120&lt;&gt;"",VALUE(Y120),""),"")</f>
        <v/>
      </c>
      <c r="AR120" s="47"/>
      <c r="AS120" s="47"/>
      <c r="AT120" s="47"/>
      <c r="AU120" s="47"/>
      <c r="AV120" s="46" t="str">
        <f aca="false">IFERROR(IF(T120&lt;&gt;"",VALUE(T120),""),"")</f>
        <v/>
      </c>
      <c r="AW120" s="46" t="str">
        <f aca="false">IFERROR(IF(N120="","",IF(OR(ISNUMBER(SEARCH("grant",N120)),ISNUMBER(SEARCH("B",AC120))),"Granted",IF(OR(ISNUMBER(SEARCH("pend",N120)),ISNUMBER(SEARCH("A",AC120))),"Pending",IF(ISNUMBER(SEARCH("expir",N120)),"Expired",N120)))),"")</f>
        <v/>
      </c>
      <c r="AX120" s="47"/>
      <c r="AY120" s="46" t="str">
        <f aca="true">IFERROR(IF(M120&lt;&gt;"",ROUND(VALUE(M120),1),IF(L120&lt;&gt;"",ROUND(MAX(0,(DATEVALUE(TEXT(L120,"YYYY-MM-DD"))-TODAY())/365.25),1),"")),"")</f>
        <v/>
      </c>
      <c r="AZ120" s="46" t="str">
        <f aca="false">IFERROR(IF(O120&lt;&gt;"",O120,""),"")</f>
        <v/>
      </c>
      <c r="BA120" s="46" t="str">
        <f aca="false">IFERROR(IF(U120&lt;&gt;"",SUBSTITUTE(SUBSTITUTE(U120,"; ",", "),";",","),""),"")</f>
        <v/>
      </c>
      <c r="BB120" s="47"/>
      <c r="BC120" s="47"/>
      <c r="BD120" s="47"/>
      <c r="BE120" s="47"/>
      <c r="BF120" s="47"/>
      <c r="BG120" s="47"/>
      <c r="BH120" s="47"/>
      <c r="BI120" s="47"/>
      <c r="BJ120" s="47"/>
      <c r="BK120" s="46" t="str">
        <f aca="false">IFERROR(IF(W120&lt;&gt;"",VALUE(W120),""),"")</f>
        <v/>
      </c>
      <c r="BL120" s="46" t="str">
        <f aca="false">IFERROR(IF(X120&lt;&gt;"",VALUE(X120),""),"")</f>
        <v/>
      </c>
      <c r="BM120" s="46" t="str">
        <f aca="false">IFERROR(IF(AD120="","None",IF(ISNUMBER(SEARCH("surv",AD120)),"Survived",IF(ISNUMBER(SEARCH("pend",AD120)),"Pending",IF(ISNUMBER(SEARCH("yes",AD120)),"Pending","None")))),"None")</f>
        <v>None</v>
      </c>
      <c r="BN120" s="47"/>
      <c r="BO120" s="47"/>
      <c r="BP120" s="47"/>
      <c r="BQ120" s="47"/>
      <c r="BR120" s="47"/>
      <c r="BS120" s="47"/>
      <c r="BT120" s="47"/>
      <c r="BU120" s="48" t="n">
        <f aca="false">IFERROR(COUNTA(AE120:BT120)/42,0)</f>
        <v>0.30952380952381</v>
      </c>
      <c r="BV120" s="49"/>
      <c r="BW120" s="50" t="b">
        <f aca="false">IF(Configuration!$C$10="No","",IFERROR(IF(AG120&lt;&gt;"",TRUE(),FALSE()),FALSE()))</f>
        <v>0</v>
      </c>
      <c r="BX120" s="50" t="b">
        <f aca="false">IF(Configuration!$C$11="No","",IFERROR(IF(AND(N(AL120)&gt;=Configuration!$C$44,AM120&lt;&gt;""),TRUE(),FALSE()),FALSE()))</f>
        <v>0</v>
      </c>
      <c r="BY120" s="50" t="b">
        <f aca="false">IF(Configuration!$C$12="No","",IFERROR(IF(AJ120&lt;&gt;"",TRUE(),FALSE()),FALSE()))</f>
        <v>0</v>
      </c>
      <c r="BZ120" s="50" t="b">
        <f aca="false">IF(Configuration!$C$13="No","",IFERROR(IF(AI120&lt;&gt;"",TRUE(),FALSE()),FALSE()))</f>
        <v>0</v>
      </c>
      <c r="CA120" s="50" t="b">
        <f aca="false">IF(Configuration!$C$14="No","",IFERROR(IF(AK120&lt;&gt;"",TRUE(),FALSE()),FALSE()))</f>
        <v>0</v>
      </c>
      <c r="CB120" s="50" t="b">
        <f aca="false">IF(Configuration!$C$15="No","",IFERROR(IF(AND(OR(ISNUMBER(SEARCH("process",AG120)),ISNUMBER(SEARCH("fab",AG120)),ISNUMBER(SEARCH("manufac",AG120))),AO120="Method"),TRUE(),FALSE()),FALSE()))</f>
        <v>0</v>
      </c>
      <c r="CC120" s="50" t="b">
        <f aca="false">IF(Configuration!$C$16="No","",IFERROR(IF(AND(OR(ISNUMBER(SEARCH("material",AG120)),ISNUMBER(SEARCH("chem",AG120)),ISNUMBER(SEARCH("battery",AG120)),ISNUMBER(SEARCH("electrolyte",AG120)),ISNUMBER(SEARCH("polymer",AG120))),OR(AO120="Apparatus",AO120="Method")),TRUE(),FALSE()),FALSE()))</f>
        <v>0</v>
      </c>
      <c r="CD120" s="50" t="b">
        <f aca="false">IF(Configuration!$C$17="No","",IFERROR(IF(AND(OR(AI120="App",AI120="Middleware",AI120="Cloud"),OR(AO120="Method",AO120="CRM")),TRUE(),FALSE()),FALSE()))</f>
        <v>0</v>
      </c>
      <c r="CE120" s="50" t="b">
        <f aca="false">IF(Configuration!$C$18="No","",IFERROR(IF(N(AN120)&gt;=Configuration!$C$45,TRUE(),FALSE()),FALSE()))</f>
        <v>0</v>
      </c>
      <c r="CF120" s="50" t="b">
        <f aca="false">IF(Configuration!$C$19="No","",IFERROR(IF(BE120&lt;&gt;"",TRUE(),FALSE()),FALSE()))</f>
        <v>0</v>
      </c>
      <c r="CG120" s="50" t="b">
        <f aca="false">IF(Configuration!$C$20="No","",IFERROR(IF(AO120&lt;&gt;"",TRUE(),FALSE()),FALSE()))</f>
        <v>0</v>
      </c>
      <c r="CH120" s="50" t="b">
        <f aca="false">IF(Configuration!$C$21="No","",IFERROR(IF(OR(N(AS120)&gt;=Configuration!$C$46,N(AT120)&gt;=Configuration!$C$47),TRUE(),FALSE()),FALSE()))</f>
        <v>0</v>
      </c>
      <c r="CI120" s="50" t="b">
        <f aca="false">IF(Configuration!$C$22="No","",IFERROR(IF(BB120="Yes",TRUE(),FALSE()),FALSE()))</f>
        <v>0</v>
      </c>
      <c r="CJ120" s="50" t="b">
        <f aca="false">IF(Configuration!$C$23="No","",IFERROR(IF(N(AV120)&gt;=Configuration!$C$48,TRUE(),FALSE()),FALSE()))</f>
        <v>0</v>
      </c>
      <c r="CK120" s="50" t="b">
        <f aca="false">IF(Configuration!$C$24="No","",IFERROR(IF(N(AY120)&gt;0,TRUE(),FALSE()),FALSE()))</f>
        <v>0</v>
      </c>
      <c r="CL120" s="50" t="b">
        <f aca="false">IF(Configuration!$C$25="No","",IFERROR(IF(OR(N(AP120)=3,N(AP120)&lt;=1),TRUE(),FALSE()),FALSE()))</f>
        <v>1</v>
      </c>
      <c r="CM120" s="50" t="b">
        <f aca="false">IF(Configuration!$C$26="No","",IFERROR(IF(N(BF120)&gt;=Configuration!$C$49,TRUE(),FALSE()),FALSE()))</f>
        <v>0</v>
      </c>
      <c r="CN120" s="50" t="b">
        <f aca="false">IF(Configuration!$C$27="No","",IFERROR(IF(BD120&lt;&gt;"",TRUE(),FALSE()),FALSE()))</f>
        <v>0</v>
      </c>
      <c r="CO120" s="50" t="b">
        <f aca="false">IF(Configuration!$C$28="No","",IFERROR(IF(N(AU120)&gt;=Configuration!$C$50,TRUE(),FALSE()),FALSE()))</f>
        <v>0</v>
      </c>
      <c r="CP120" s="50" t="b">
        <f aca="false">IF(Configuration!$C$29="No","",IFERROR(IF(AND(N(AR120)&gt;=Configuration!$C$51,AG120&lt;&gt;""),TRUE(),FALSE()),FALSE()))</f>
        <v>0</v>
      </c>
      <c r="CQ120" s="50" t="b">
        <f aca="false">IF(Configuration!$C$30="No","",IFERROR(IF(OR(AW120="Pending",AX120="Yes"),TRUE(),FALSE()),FALSE()))</f>
        <v>0</v>
      </c>
      <c r="CR120" s="50" t="b">
        <f aca="false">IF(Configuration!$C$31="No","",IFERROR(IF(AND(N(BG120)&gt;=Configuration!$C$52,N(AP120)&gt;=1),TRUE(),FALSE()),FALSE()))</f>
        <v>0</v>
      </c>
      <c r="CS120" s="50" t="b">
        <f aca="false">IF(Configuration!$C$32="No","",IFERROR(IF(AND(N(AR120)&gt;=1,OR(AG120&lt;&gt;"",AM120&lt;&gt;"")),TRUE(),FALSE()),FALSE()))</f>
        <v>0</v>
      </c>
      <c r="CT120" s="50" t="b">
        <f aca="false">IF(Configuration!$C$33="No","",IFERROR(IF(AG120&lt;&gt;"",TRUE(),FALSE()),FALSE()))</f>
        <v>0</v>
      </c>
      <c r="CU120" s="50" t="b">
        <f aca="false">IF(Configuration!$C$34="No","",IFERROR(IF(AX120="Yes",TRUE(),FALSE()),FALSE()))</f>
        <v>0</v>
      </c>
      <c r="CV120" s="50" t="b">
        <f aca="false">IF(Configuration!$C$35="No","",IFERROR(IF(OR(BO120="Partial",BO120="Full"),TRUE(),FALSE()),FALSE()))</f>
        <v>0</v>
      </c>
      <c r="CW120" s="50" t="b">
        <f aca="false">IF(Configuration!$C$36="No","",IFERROR(IF(BM120="Survived",TRUE(),FALSE()),FALSE()))</f>
        <v>0</v>
      </c>
      <c r="CX120" s="50" t="b">
        <f aca="false">IF(Configuration!$C$37="No","",IFERROR(IF(AND(BN120="Clean",BP120="None"),TRUE(),FALSE()),FALSE()))</f>
        <v>0</v>
      </c>
      <c r="CY120" s="50" t="b">
        <f aca="false">IF(Configuration!$C$38="No","",IFERROR(IF(N(BK120)&gt;=Configuration!$C$53,TRUE(),FALSE()),FALSE()))</f>
        <v>0</v>
      </c>
      <c r="CZ120" s="50" t="b">
        <f aca="false">IF(Configuration!$C$39="No","",IFERROR(IF(AND(N(BS120)&gt;=2,N(BF120)&gt;=2),TRUE(),FALSE()),FALSE()))</f>
        <v>0</v>
      </c>
      <c r="DA120" s="50" t="b">
        <f aca="false">IF(Configuration!$C$40="No","",IFERROR(IF(OR(N(BG120)&lt;=Configuration!$C$56,N(AY120)&lt;Configuration!$C$57,N(BH120)&lt;=Configuration!$C$58),TRUE(),FALSE()),FALSE()))</f>
        <v>1</v>
      </c>
      <c r="DB120" s="50" t="b">
        <f aca="false">IF(Configuration!$C$41="No","",IFERROR(IF(AND(N(AY120)&gt;=Configuration!$C$54,N(AY120)&lt;=Configuration!$C$55),TRUE(),FALSE()),FALSE()))</f>
        <v>0</v>
      </c>
      <c r="DC120" s="50" t="b">
        <f aca="false">IF(Configuration!$C$42="No","",IFERROR(IF(AND(AG120&lt;&gt;"",AJ120&lt;&gt;""),TRUE(),FALSE()),FALSE()))</f>
        <v>0</v>
      </c>
      <c r="DD120" s="51" t="n">
        <f aca="false">COUNTIF(BW120:DC120,TRUE())</f>
        <v>2</v>
      </c>
    </row>
    <row r="121" customFormat="false" ht="15" hidden="false" customHeight="true" outlineLevel="0" collapsed="false">
      <c r="A121" s="18" t="n">
        <v>82</v>
      </c>
      <c r="B121" s="44"/>
      <c r="C121" s="44"/>
      <c r="D121" s="44"/>
      <c r="E121" s="44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6" t="str">
        <f aca="false">IFERROR(IF(F121&lt;&gt;"",F121,""),"")</f>
        <v/>
      </c>
      <c r="AF121" s="46" t="str">
        <f aca="false">IFERROR(IF(G121&lt;&gt;"",G121,""),"")</f>
        <v/>
      </c>
      <c r="AG121" s="46" t="str">
        <f aca="false">IFERROR(IF(AA121&lt;&gt;"",AA121,IF(R121&lt;&gt;"",R121,"")),"")</f>
        <v/>
      </c>
      <c r="AH121" s="46" t="str">
        <f aca="false">IFERROR(IF(AB121&lt;&gt;"",AB121,IF(S121&lt;&gt;"",S121,"")),"")</f>
        <v/>
      </c>
      <c r="AI121" s="47"/>
      <c r="AJ121" s="47"/>
      <c r="AK121" s="47"/>
      <c r="AL121" s="47"/>
      <c r="AM121" s="47"/>
      <c r="AN121" s="47"/>
      <c r="AO121" s="47"/>
      <c r="AP121" s="47"/>
      <c r="AQ121" s="46" t="str">
        <f aca="false">IFERROR(IF(Y121&lt;&gt;"",VALUE(Y121),""),"")</f>
        <v/>
      </c>
      <c r="AR121" s="47"/>
      <c r="AS121" s="47"/>
      <c r="AT121" s="47"/>
      <c r="AU121" s="47"/>
      <c r="AV121" s="46" t="str">
        <f aca="false">IFERROR(IF(T121&lt;&gt;"",VALUE(T121),""),"")</f>
        <v/>
      </c>
      <c r="AW121" s="46" t="str">
        <f aca="false">IFERROR(IF(N121="","",IF(OR(ISNUMBER(SEARCH("grant",N121)),ISNUMBER(SEARCH("B",AC121))),"Granted",IF(OR(ISNUMBER(SEARCH("pend",N121)),ISNUMBER(SEARCH("A",AC121))),"Pending",IF(ISNUMBER(SEARCH("expir",N121)),"Expired",N121)))),"")</f>
        <v/>
      </c>
      <c r="AX121" s="47"/>
      <c r="AY121" s="46" t="str">
        <f aca="true">IFERROR(IF(M121&lt;&gt;"",ROUND(VALUE(M121),1),IF(L121&lt;&gt;"",ROUND(MAX(0,(DATEVALUE(TEXT(L121,"YYYY-MM-DD"))-TODAY())/365.25),1),"")),"")</f>
        <v/>
      </c>
      <c r="AZ121" s="46" t="str">
        <f aca="false">IFERROR(IF(O121&lt;&gt;"",O121,""),"")</f>
        <v/>
      </c>
      <c r="BA121" s="46" t="str">
        <f aca="false">IFERROR(IF(U121&lt;&gt;"",SUBSTITUTE(SUBSTITUTE(U121,"; ",", "),";",","),""),"")</f>
        <v/>
      </c>
      <c r="BB121" s="47"/>
      <c r="BC121" s="47"/>
      <c r="BD121" s="47"/>
      <c r="BE121" s="47"/>
      <c r="BF121" s="47"/>
      <c r="BG121" s="47"/>
      <c r="BH121" s="47"/>
      <c r="BI121" s="47"/>
      <c r="BJ121" s="47"/>
      <c r="BK121" s="46" t="str">
        <f aca="false">IFERROR(IF(W121&lt;&gt;"",VALUE(W121),""),"")</f>
        <v/>
      </c>
      <c r="BL121" s="46" t="str">
        <f aca="false">IFERROR(IF(X121&lt;&gt;"",VALUE(X121),""),"")</f>
        <v/>
      </c>
      <c r="BM121" s="46" t="str">
        <f aca="false">IFERROR(IF(AD121="","None",IF(ISNUMBER(SEARCH("surv",AD121)),"Survived",IF(ISNUMBER(SEARCH("pend",AD121)),"Pending",IF(ISNUMBER(SEARCH("yes",AD121)),"Pending","None")))),"None")</f>
        <v>None</v>
      </c>
      <c r="BN121" s="47"/>
      <c r="BO121" s="47"/>
      <c r="BP121" s="47"/>
      <c r="BQ121" s="47"/>
      <c r="BR121" s="47"/>
      <c r="BS121" s="47"/>
      <c r="BT121" s="47"/>
      <c r="BU121" s="48" t="n">
        <f aca="false">IFERROR(COUNTA(AE121:BT121)/42,0)</f>
        <v>0.30952380952381</v>
      </c>
      <c r="BV121" s="49"/>
      <c r="BW121" s="50" t="b">
        <f aca="false">IF(Configuration!$C$10="No","",IFERROR(IF(AG121&lt;&gt;"",TRUE(),FALSE()),FALSE()))</f>
        <v>0</v>
      </c>
      <c r="BX121" s="50" t="b">
        <f aca="false">IF(Configuration!$C$11="No","",IFERROR(IF(AND(N(AL121)&gt;=Configuration!$C$44,AM121&lt;&gt;""),TRUE(),FALSE()),FALSE()))</f>
        <v>0</v>
      </c>
      <c r="BY121" s="50" t="b">
        <f aca="false">IF(Configuration!$C$12="No","",IFERROR(IF(AJ121&lt;&gt;"",TRUE(),FALSE()),FALSE()))</f>
        <v>0</v>
      </c>
      <c r="BZ121" s="50" t="b">
        <f aca="false">IF(Configuration!$C$13="No","",IFERROR(IF(AI121&lt;&gt;"",TRUE(),FALSE()),FALSE()))</f>
        <v>0</v>
      </c>
      <c r="CA121" s="50" t="b">
        <f aca="false">IF(Configuration!$C$14="No","",IFERROR(IF(AK121&lt;&gt;"",TRUE(),FALSE()),FALSE()))</f>
        <v>0</v>
      </c>
      <c r="CB121" s="50" t="b">
        <f aca="false">IF(Configuration!$C$15="No","",IFERROR(IF(AND(OR(ISNUMBER(SEARCH("process",AG121)),ISNUMBER(SEARCH("fab",AG121)),ISNUMBER(SEARCH("manufac",AG121))),AO121="Method"),TRUE(),FALSE()),FALSE()))</f>
        <v>0</v>
      </c>
      <c r="CC121" s="50" t="b">
        <f aca="false">IF(Configuration!$C$16="No","",IFERROR(IF(AND(OR(ISNUMBER(SEARCH("material",AG121)),ISNUMBER(SEARCH("chem",AG121)),ISNUMBER(SEARCH("battery",AG121)),ISNUMBER(SEARCH("electrolyte",AG121)),ISNUMBER(SEARCH("polymer",AG121))),OR(AO121="Apparatus",AO121="Method")),TRUE(),FALSE()),FALSE()))</f>
        <v>0</v>
      </c>
      <c r="CD121" s="50" t="b">
        <f aca="false">IF(Configuration!$C$17="No","",IFERROR(IF(AND(OR(AI121="App",AI121="Middleware",AI121="Cloud"),OR(AO121="Method",AO121="CRM")),TRUE(),FALSE()),FALSE()))</f>
        <v>0</v>
      </c>
      <c r="CE121" s="50" t="b">
        <f aca="false">IF(Configuration!$C$18="No","",IFERROR(IF(N(AN121)&gt;=Configuration!$C$45,TRUE(),FALSE()),FALSE()))</f>
        <v>0</v>
      </c>
      <c r="CF121" s="50" t="b">
        <f aca="false">IF(Configuration!$C$19="No","",IFERROR(IF(BE121&lt;&gt;"",TRUE(),FALSE()),FALSE()))</f>
        <v>0</v>
      </c>
      <c r="CG121" s="50" t="b">
        <f aca="false">IF(Configuration!$C$20="No","",IFERROR(IF(AO121&lt;&gt;"",TRUE(),FALSE()),FALSE()))</f>
        <v>0</v>
      </c>
      <c r="CH121" s="50" t="b">
        <f aca="false">IF(Configuration!$C$21="No","",IFERROR(IF(OR(N(AS121)&gt;=Configuration!$C$46,N(AT121)&gt;=Configuration!$C$47),TRUE(),FALSE()),FALSE()))</f>
        <v>0</v>
      </c>
      <c r="CI121" s="50" t="b">
        <f aca="false">IF(Configuration!$C$22="No","",IFERROR(IF(BB121="Yes",TRUE(),FALSE()),FALSE()))</f>
        <v>0</v>
      </c>
      <c r="CJ121" s="50" t="b">
        <f aca="false">IF(Configuration!$C$23="No","",IFERROR(IF(N(AV121)&gt;=Configuration!$C$48,TRUE(),FALSE()),FALSE()))</f>
        <v>0</v>
      </c>
      <c r="CK121" s="50" t="b">
        <f aca="false">IF(Configuration!$C$24="No","",IFERROR(IF(N(AY121)&gt;0,TRUE(),FALSE()),FALSE()))</f>
        <v>0</v>
      </c>
      <c r="CL121" s="50" t="b">
        <f aca="false">IF(Configuration!$C$25="No","",IFERROR(IF(OR(N(AP121)=3,N(AP121)&lt;=1),TRUE(),FALSE()),FALSE()))</f>
        <v>1</v>
      </c>
      <c r="CM121" s="50" t="b">
        <f aca="false">IF(Configuration!$C$26="No","",IFERROR(IF(N(BF121)&gt;=Configuration!$C$49,TRUE(),FALSE()),FALSE()))</f>
        <v>0</v>
      </c>
      <c r="CN121" s="50" t="b">
        <f aca="false">IF(Configuration!$C$27="No","",IFERROR(IF(BD121&lt;&gt;"",TRUE(),FALSE()),FALSE()))</f>
        <v>0</v>
      </c>
      <c r="CO121" s="50" t="b">
        <f aca="false">IF(Configuration!$C$28="No","",IFERROR(IF(N(AU121)&gt;=Configuration!$C$50,TRUE(),FALSE()),FALSE()))</f>
        <v>0</v>
      </c>
      <c r="CP121" s="50" t="b">
        <f aca="false">IF(Configuration!$C$29="No","",IFERROR(IF(AND(N(AR121)&gt;=Configuration!$C$51,AG121&lt;&gt;""),TRUE(),FALSE()),FALSE()))</f>
        <v>0</v>
      </c>
      <c r="CQ121" s="50" t="b">
        <f aca="false">IF(Configuration!$C$30="No","",IFERROR(IF(OR(AW121="Pending",AX121="Yes"),TRUE(),FALSE()),FALSE()))</f>
        <v>0</v>
      </c>
      <c r="CR121" s="50" t="b">
        <f aca="false">IF(Configuration!$C$31="No","",IFERROR(IF(AND(N(BG121)&gt;=Configuration!$C$52,N(AP121)&gt;=1),TRUE(),FALSE()),FALSE()))</f>
        <v>0</v>
      </c>
      <c r="CS121" s="50" t="b">
        <f aca="false">IF(Configuration!$C$32="No","",IFERROR(IF(AND(N(AR121)&gt;=1,OR(AG121&lt;&gt;"",AM121&lt;&gt;"")),TRUE(),FALSE()),FALSE()))</f>
        <v>0</v>
      </c>
      <c r="CT121" s="50" t="b">
        <f aca="false">IF(Configuration!$C$33="No","",IFERROR(IF(AG121&lt;&gt;"",TRUE(),FALSE()),FALSE()))</f>
        <v>0</v>
      </c>
      <c r="CU121" s="50" t="b">
        <f aca="false">IF(Configuration!$C$34="No","",IFERROR(IF(AX121="Yes",TRUE(),FALSE()),FALSE()))</f>
        <v>0</v>
      </c>
      <c r="CV121" s="50" t="b">
        <f aca="false">IF(Configuration!$C$35="No","",IFERROR(IF(OR(BO121="Partial",BO121="Full"),TRUE(),FALSE()),FALSE()))</f>
        <v>0</v>
      </c>
      <c r="CW121" s="50" t="b">
        <f aca="false">IF(Configuration!$C$36="No","",IFERROR(IF(BM121="Survived",TRUE(),FALSE()),FALSE()))</f>
        <v>0</v>
      </c>
      <c r="CX121" s="50" t="b">
        <f aca="false">IF(Configuration!$C$37="No","",IFERROR(IF(AND(BN121="Clean",BP121="None"),TRUE(),FALSE()),FALSE()))</f>
        <v>0</v>
      </c>
      <c r="CY121" s="50" t="b">
        <f aca="false">IF(Configuration!$C$38="No","",IFERROR(IF(N(BK121)&gt;=Configuration!$C$53,TRUE(),FALSE()),FALSE()))</f>
        <v>0</v>
      </c>
      <c r="CZ121" s="50" t="b">
        <f aca="false">IF(Configuration!$C$39="No","",IFERROR(IF(AND(N(BS121)&gt;=2,N(BF121)&gt;=2),TRUE(),FALSE()),FALSE()))</f>
        <v>0</v>
      </c>
      <c r="DA121" s="50" t="b">
        <f aca="false">IF(Configuration!$C$40="No","",IFERROR(IF(OR(N(BG121)&lt;=Configuration!$C$56,N(AY121)&lt;Configuration!$C$57,N(BH121)&lt;=Configuration!$C$58),TRUE(),FALSE()),FALSE()))</f>
        <v>1</v>
      </c>
      <c r="DB121" s="50" t="b">
        <f aca="false">IF(Configuration!$C$41="No","",IFERROR(IF(AND(N(AY121)&gt;=Configuration!$C$54,N(AY121)&lt;=Configuration!$C$55),TRUE(),FALSE()),FALSE()))</f>
        <v>0</v>
      </c>
      <c r="DC121" s="50" t="b">
        <f aca="false">IF(Configuration!$C$42="No","",IFERROR(IF(AND(AG121&lt;&gt;"",AJ121&lt;&gt;""),TRUE(),FALSE()),FALSE()))</f>
        <v>0</v>
      </c>
      <c r="DD121" s="51" t="n">
        <f aca="false">COUNTIF(BW121:DC121,TRUE())</f>
        <v>2</v>
      </c>
    </row>
    <row r="122" customFormat="false" ht="15" hidden="false" customHeight="true" outlineLevel="0" collapsed="false">
      <c r="A122" s="18" t="n">
        <v>83</v>
      </c>
      <c r="B122" s="44"/>
      <c r="C122" s="44"/>
      <c r="D122" s="44"/>
      <c r="E122" s="44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6" t="str">
        <f aca="false">IFERROR(IF(F122&lt;&gt;"",F122,""),"")</f>
        <v/>
      </c>
      <c r="AF122" s="46" t="str">
        <f aca="false">IFERROR(IF(G122&lt;&gt;"",G122,""),"")</f>
        <v/>
      </c>
      <c r="AG122" s="46" t="str">
        <f aca="false">IFERROR(IF(AA122&lt;&gt;"",AA122,IF(R122&lt;&gt;"",R122,"")),"")</f>
        <v/>
      </c>
      <c r="AH122" s="46" t="str">
        <f aca="false">IFERROR(IF(AB122&lt;&gt;"",AB122,IF(S122&lt;&gt;"",S122,"")),"")</f>
        <v/>
      </c>
      <c r="AI122" s="47"/>
      <c r="AJ122" s="47"/>
      <c r="AK122" s="47"/>
      <c r="AL122" s="47"/>
      <c r="AM122" s="47"/>
      <c r="AN122" s="47"/>
      <c r="AO122" s="47"/>
      <c r="AP122" s="47"/>
      <c r="AQ122" s="46" t="str">
        <f aca="false">IFERROR(IF(Y122&lt;&gt;"",VALUE(Y122),""),"")</f>
        <v/>
      </c>
      <c r="AR122" s="47"/>
      <c r="AS122" s="47"/>
      <c r="AT122" s="47"/>
      <c r="AU122" s="47"/>
      <c r="AV122" s="46" t="str">
        <f aca="false">IFERROR(IF(T122&lt;&gt;"",VALUE(T122),""),"")</f>
        <v/>
      </c>
      <c r="AW122" s="46" t="str">
        <f aca="false">IFERROR(IF(N122="","",IF(OR(ISNUMBER(SEARCH("grant",N122)),ISNUMBER(SEARCH("B",AC122))),"Granted",IF(OR(ISNUMBER(SEARCH("pend",N122)),ISNUMBER(SEARCH("A",AC122))),"Pending",IF(ISNUMBER(SEARCH("expir",N122)),"Expired",N122)))),"")</f>
        <v/>
      </c>
      <c r="AX122" s="47"/>
      <c r="AY122" s="46" t="str">
        <f aca="true">IFERROR(IF(M122&lt;&gt;"",ROUND(VALUE(M122),1),IF(L122&lt;&gt;"",ROUND(MAX(0,(DATEVALUE(TEXT(L122,"YYYY-MM-DD"))-TODAY())/365.25),1),"")),"")</f>
        <v/>
      </c>
      <c r="AZ122" s="46" t="str">
        <f aca="false">IFERROR(IF(O122&lt;&gt;"",O122,""),"")</f>
        <v/>
      </c>
      <c r="BA122" s="46" t="str">
        <f aca="false">IFERROR(IF(U122&lt;&gt;"",SUBSTITUTE(SUBSTITUTE(U122,"; ",", "),";",","),""),"")</f>
        <v/>
      </c>
      <c r="BB122" s="47"/>
      <c r="BC122" s="47"/>
      <c r="BD122" s="47"/>
      <c r="BE122" s="47"/>
      <c r="BF122" s="47"/>
      <c r="BG122" s="47"/>
      <c r="BH122" s="47"/>
      <c r="BI122" s="47"/>
      <c r="BJ122" s="47"/>
      <c r="BK122" s="46" t="str">
        <f aca="false">IFERROR(IF(W122&lt;&gt;"",VALUE(W122),""),"")</f>
        <v/>
      </c>
      <c r="BL122" s="46" t="str">
        <f aca="false">IFERROR(IF(X122&lt;&gt;"",VALUE(X122),""),"")</f>
        <v/>
      </c>
      <c r="BM122" s="46" t="str">
        <f aca="false">IFERROR(IF(AD122="","None",IF(ISNUMBER(SEARCH("surv",AD122)),"Survived",IF(ISNUMBER(SEARCH("pend",AD122)),"Pending",IF(ISNUMBER(SEARCH("yes",AD122)),"Pending","None")))),"None")</f>
        <v>None</v>
      </c>
      <c r="BN122" s="47"/>
      <c r="BO122" s="47"/>
      <c r="BP122" s="47"/>
      <c r="BQ122" s="47"/>
      <c r="BR122" s="47"/>
      <c r="BS122" s="47"/>
      <c r="BT122" s="47"/>
      <c r="BU122" s="48" t="n">
        <f aca="false">IFERROR(COUNTA(AE122:BT122)/42,0)</f>
        <v>0.30952380952381</v>
      </c>
      <c r="BV122" s="49"/>
      <c r="BW122" s="50" t="b">
        <f aca="false">IF(Configuration!$C$10="No","",IFERROR(IF(AG122&lt;&gt;"",TRUE(),FALSE()),FALSE()))</f>
        <v>0</v>
      </c>
      <c r="BX122" s="50" t="b">
        <f aca="false">IF(Configuration!$C$11="No","",IFERROR(IF(AND(N(AL122)&gt;=Configuration!$C$44,AM122&lt;&gt;""),TRUE(),FALSE()),FALSE()))</f>
        <v>0</v>
      </c>
      <c r="BY122" s="50" t="b">
        <f aca="false">IF(Configuration!$C$12="No","",IFERROR(IF(AJ122&lt;&gt;"",TRUE(),FALSE()),FALSE()))</f>
        <v>0</v>
      </c>
      <c r="BZ122" s="50" t="b">
        <f aca="false">IF(Configuration!$C$13="No","",IFERROR(IF(AI122&lt;&gt;"",TRUE(),FALSE()),FALSE()))</f>
        <v>0</v>
      </c>
      <c r="CA122" s="50" t="b">
        <f aca="false">IF(Configuration!$C$14="No","",IFERROR(IF(AK122&lt;&gt;"",TRUE(),FALSE()),FALSE()))</f>
        <v>0</v>
      </c>
      <c r="CB122" s="50" t="b">
        <f aca="false">IF(Configuration!$C$15="No","",IFERROR(IF(AND(OR(ISNUMBER(SEARCH("process",AG122)),ISNUMBER(SEARCH("fab",AG122)),ISNUMBER(SEARCH("manufac",AG122))),AO122="Method"),TRUE(),FALSE()),FALSE()))</f>
        <v>0</v>
      </c>
      <c r="CC122" s="50" t="b">
        <f aca="false">IF(Configuration!$C$16="No","",IFERROR(IF(AND(OR(ISNUMBER(SEARCH("material",AG122)),ISNUMBER(SEARCH("chem",AG122)),ISNUMBER(SEARCH("battery",AG122)),ISNUMBER(SEARCH("electrolyte",AG122)),ISNUMBER(SEARCH("polymer",AG122))),OR(AO122="Apparatus",AO122="Method")),TRUE(),FALSE()),FALSE()))</f>
        <v>0</v>
      </c>
      <c r="CD122" s="50" t="b">
        <f aca="false">IF(Configuration!$C$17="No","",IFERROR(IF(AND(OR(AI122="App",AI122="Middleware",AI122="Cloud"),OR(AO122="Method",AO122="CRM")),TRUE(),FALSE()),FALSE()))</f>
        <v>0</v>
      </c>
      <c r="CE122" s="50" t="b">
        <f aca="false">IF(Configuration!$C$18="No","",IFERROR(IF(N(AN122)&gt;=Configuration!$C$45,TRUE(),FALSE()),FALSE()))</f>
        <v>0</v>
      </c>
      <c r="CF122" s="50" t="b">
        <f aca="false">IF(Configuration!$C$19="No","",IFERROR(IF(BE122&lt;&gt;"",TRUE(),FALSE()),FALSE()))</f>
        <v>0</v>
      </c>
      <c r="CG122" s="50" t="b">
        <f aca="false">IF(Configuration!$C$20="No","",IFERROR(IF(AO122&lt;&gt;"",TRUE(),FALSE()),FALSE()))</f>
        <v>0</v>
      </c>
      <c r="CH122" s="50" t="b">
        <f aca="false">IF(Configuration!$C$21="No","",IFERROR(IF(OR(N(AS122)&gt;=Configuration!$C$46,N(AT122)&gt;=Configuration!$C$47),TRUE(),FALSE()),FALSE()))</f>
        <v>0</v>
      </c>
      <c r="CI122" s="50" t="b">
        <f aca="false">IF(Configuration!$C$22="No","",IFERROR(IF(BB122="Yes",TRUE(),FALSE()),FALSE()))</f>
        <v>0</v>
      </c>
      <c r="CJ122" s="50" t="b">
        <f aca="false">IF(Configuration!$C$23="No","",IFERROR(IF(N(AV122)&gt;=Configuration!$C$48,TRUE(),FALSE()),FALSE()))</f>
        <v>0</v>
      </c>
      <c r="CK122" s="50" t="b">
        <f aca="false">IF(Configuration!$C$24="No","",IFERROR(IF(N(AY122)&gt;0,TRUE(),FALSE()),FALSE()))</f>
        <v>0</v>
      </c>
      <c r="CL122" s="50" t="b">
        <f aca="false">IF(Configuration!$C$25="No","",IFERROR(IF(OR(N(AP122)=3,N(AP122)&lt;=1),TRUE(),FALSE()),FALSE()))</f>
        <v>1</v>
      </c>
      <c r="CM122" s="50" t="b">
        <f aca="false">IF(Configuration!$C$26="No","",IFERROR(IF(N(BF122)&gt;=Configuration!$C$49,TRUE(),FALSE()),FALSE()))</f>
        <v>0</v>
      </c>
      <c r="CN122" s="50" t="b">
        <f aca="false">IF(Configuration!$C$27="No","",IFERROR(IF(BD122&lt;&gt;"",TRUE(),FALSE()),FALSE()))</f>
        <v>0</v>
      </c>
      <c r="CO122" s="50" t="b">
        <f aca="false">IF(Configuration!$C$28="No","",IFERROR(IF(N(AU122)&gt;=Configuration!$C$50,TRUE(),FALSE()),FALSE()))</f>
        <v>0</v>
      </c>
      <c r="CP122" s="50" t="b">
        <f aca="false">IF(Configuration!$C$29="No","",IFERROR(IF(AND(N(AR122)&gt;=Configuration!$C$51,AG122&lt;&gt;""),TRUE(),FALSE()),FALSE()))</f>
        <v>0</v>
      </c>
      <c r="CQ122" s="50" t="b">
        <f aca="false">IF(Configuration!$C$30="No","",IFERROR(IF(OR(AW122="Pending",AX122="Yes"),TRUE(),FALSE()),FALSE()))</f>
        <v>0</v>
      </c>
      <c r="CR122" s="50" t="b">
        <f aca="false">IF(Configuration!$C$31="No","",IFERROR(IF(AND(N(BG122)&gt;=Configuration!$C$52,N(AP122)&gt;=1),TRUE(),FALSE()),FALSE()))</f>
        <v>0</v>
      </c>
      <c r="CS122" s="50" t="b">
        <f aca="false">IF(Configuration!$C$32="No","",IFERROR(IF(AND(N(AR122)&gt;=1,OR(AG122&lt;&gt;"",AM122&lt;&gt;"")),TRUE(),FALSE()),FALSE()))</f>
        <v>0</v>
      </c>
      <c r="CT122" s="50" t="b">
        <f aca="false">IF(Configuration!$C$33="No","",IFERROR(IF(AG122&lt;&gt;"",TRUE(),FALSE()),FALSE()))</f>
        <v>0</v>
      </c>
      <c r="CU122" s="50" t="b">
        <f aca="false">IF(Configuration!$C$34="No","",IFERROR(IF(AX122="Yes",TRUE(),FALSE()),FALSE()))</f>
        <v>0</v>
      </c>
      <c r="CV122" s="50" t="b">
        <f aca="false">IF(Configuration!$C$35="No","",IFERROR(IF(OR(BO122="Partial",BO122="Full"),TRUE(),FALSE()),FALSE()))</f>
        <v>0</v>
      </c>
      <c r="CW122" s="50" t="b">
        <f aca="false">IF(Configuration!$C$36="No","",IFERROR(IF(BM122="Survived",TRUE(),FALSE()),FALSE()))</f>
        <v>0</v>
      </c>
      <c r="CX122" s="50" t="b">
        <f aca="false">IF(Configuration!$C$37="No","",IFERROR(IF(AND(BN122="Clean",BP122="None"),TRUE(),FALSE()),FALSE()))</f>
        <v>0</v>
      </c>
      <c r="CY122" s="50" t="b">
        <f aca="false">IF(Configuration!$C$38="No","",IFERROR(IF(N(BK122)&gt;=Configuration!$C$53,TRUE(),FALSE()),FALSE()))</f>
        <v>0</v>
      </c>
      <c r="CZ122" s="50" t="b">
        <f aca="false">IF(Configuration!$C$39="No","",IFERROR(IF(AND(N(BS122)&gt;=2,N(BF122)&gt;=2),TRUE(),FALSE()),FALSE()))</f>
        <v>0</v>
      </c>
      <c r="DA122" s="50" t="b">
        <f aca="false">IF(Configuration!$C$40="No","",IFERROR(IF(OR(N(BG122)&lt;=Configuration!$C$56,N(AY122)&lt;Configuration!$C$57,N(BH122)&lt;=Configuration!$C$58),TRUE(),FALSE()),FALSE()))</f>
        <v>1</v>
      </c>
      <c r="DB122" s="50" t="b">
        <f aca="false">IF(Configuration!$C$41="No","",IFERROR(IF(AND(N(AY122)&gt;=Configuration!$C$54,N(AY122)&lt;=Configuration!$C$55),TRUE(),FALSE()),FALSE()))</f>
        <v>0</v>
      </c>
      <c r="DC122" s="50" t="b">
        <f aca="false">IF(Configuration!$C$42="No","",IFERROR(IF(AND(AG122&lt;&gt;"",AJ122&lt;&gt;""),TRUE(),FALSE()),FALSE()))</f>
        <v>0</v>
      </c>
      <c r="DD122" s="51" t="n">
        <f aca="false">COUNTIF(BW122:DC122,TRUE())</f>
        <v>2</v>
      </c>
    </row>
    <row r="123" customFormat="false" ht="15" hidden="false" customHeight="true" outlineLevel="0" collapsed="false">
      <c r="A123" s="18" t="n">
        <v>84</v>
      </c>
      <c r="B123" s="44"/>
      <c r="C123" s="44"/>
      <c r="D123" s="44"/>
      <c r="E123" s="44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6" t="str">
        <f aca="false">IFERROR(IF(F123&lt;&gt;"",F123,""),"")</f>
        <v/>
      </c>
      <c r="AF123" s="46" t="str">
        <f aca="false">IFERROR(IF(G123&lt;&gt;"",G123,""),"")</f>
        <v/>
      </c>
      <c r="AG123" s="46" t="str">
        <f aca="false">IFERROR(IF(AA123&lt;&gt;"",AA123,IF(R123&lt;&gt;"",R123,"")),"")</f>
        <v/>
      </c>
      <c r="AH123" s="46" t="str">
        <f aca="false">IFERROR(IF(AB123&lt;&gt;"",AB123,IF(S123&lt;&gt;"",S123,"")),"")</f>
        <v/>
      </c>
      <c r="AI123" s="47"/>
      <c r="AJ123" s="47"/>
      <c r="AK123" s="47"/>
      <c r="AL123" s="47"/>
      <c r="AM123" s="47"/>
      <c r="AN123" s="47"/>
      <c r="AO123" s="47"/>
      <c r="AP123" s="47"/>
      <c r="AQ123" s="46" t="str">
        <f aca="false">IFERROR(IF(Y123&lt;&gt;"",VALUE(Y123),""),"")</f>
        <v/>
      </c>
      <c r="AR123" s="47"/>
      <c r="AS123" s="47"/>
      <c r="AT123" s="47"/>
      <c r="AU123" s="47"/>
      <c r="AV123" s="46" t="str">
        <f aca="false">IFERROR(IF(T123&lt;&gt;"",VALUE(T123),""),"")</f>
        <v/>
      </c>
      <c r="AW123" s="46" t="str">
        <f aca="false">IFERROR(IF(N123="","",IF(OR(ISNUMBER(SEARCH("grant",N123)),ISNUMBER(SEARCH("B",AC123))),"Granted",IF(OR(ISNUMBER(SEARCH("pend",N123)),ISNUMBER(SEARCH("A",AC123))),"Pending",IF(ISNUMBER(SEARCH("expir",N123)),"Expired",N123)))),"")</f>
        <v/>
      </c>
      <c r="AX123" s="47"/>
      <c r="AY123" s="46" t="str">
        <f aca="true">IFERROR(IF(M123&lt;&gt;"",ROUND(VALUE(M123),1),IF(L123&lt;&gt;"",ROUND(MAX(0,(DATEVALUE(TEXT(L123,"YYYY-MM-DD"))-TODAY())/365.25),1),"")),"")</f>
        <v/>
      </c>
      <c r="AZ123" s="46" t="str">
        <f aca="false">IFERROR(IF(O123&lt;&gt;"",O123,""),"")</f>
        <v/>
      </c>
      <c r="BA123" s="46" t="str">
        <f aca="false">IFERROR(IF(U123&lt;&gt;"",SUBSTITUTE(SUBSTITUTE(U123,"; ",", "),";",","),""),"")</f>
        <v/>
      </c>
      <c r="BB123" s="47"/>
      <c r="BC123" s="47"/>
      <c r="BD123" s="47"/>
      <c r="BE123" s="47"/>
      <c r="BF123" s="47"/>
      <c r="BG123" s="47"/>
      <c r="BH123" s="47"/>
      <c r="BI123" s="47"/>
      <c r="BJ123" s="47"/>
      <c r="BK123" s="46" t="str">
        <f aca="false">IFERROR(IF(W123&lt;&gt;"",VALUE(W123),""),"")</f>
        <v/>
      </c>
      <c r="BL123" s="46" t="str">
        <f aca="false">IFERROR(IF(X123&lt;&gt;"",VALUE(X123),""),"")</f>
        <v/>
      </c>
      <c r="BM123" s="46" t="str">
        <f aca="false">IFERROR(IF(AD123="","None",IF(ISNUMBER(SEARCH("surv",AD123)),"Survived",IF(ISNUMBER(SEARCH("pend",AD123)),"Pending",IF(ISNUMBER(SEARCH("yes",AD123)),"Pending","None")))),"None")</f>
        <v>None</v>
      </c>
      <c r="BN123" s="47"/>
      <c r="BO123" s="47"/>
      <c r="BP123" s="47"/>
      <c r="BQ123" s="47"/>
      <c r="BR123" s="47"/>
      <c r="BS123" s="47"/>
      <c r="BT123" s="47"/>
      <c r="BU123" s="48" t="n">
        <f aca="false">IFERROR(COUNTA(AE123:BT123)/42,0)</f>
        <v>0.30952380952381</v>
      </c>
      <c r="BV123" s="49"/>
      <c r="BW123" s="50" t="b">
        <f aca="false">IF(Configuration!$C$10="No","",IFERROR(IF(AG123&lt;&gt;"",TRUE(),FALSE()),FALSE()))</f>
        <v>0</v>
      </c>
      <c r="BX123" s="50" t="b">
        <f aca="false">IF(Configuration!$C$11="No","",IFERROR(IF(AND(N(AL123)&gt;=Configuration!$C$44,AM123&lt;&gt;""),TRUE(),FALSE()),FALSE()))</f>
        <v>0</v>
      </c>
      <c r="BY123" s="50" t="b">
        <f aca="false">IF(Configuration!$C$12="No","",IFERROR(IF(AJ123&lt;&gt;"",TRUE(),FALSE()),FALSE()))</f>
        <v>0</v>
      </c>
      <c r="BZ123" s="50" t="b">
        <f aca="false">IF(Configuration!$C$13="No","",IFERROR(IF(AI123&lt;&gt;"",TRUE(),FALSE()),FALSE()))</f>
        <v>0</v>
      </c>
      <c r="CA123" s="50" t="b">
        <f aca="false">IF(Configuration!$C$14="No","",IFERROR(IF(AK123&lt;&gt;"",TRUE(),FALSE()),FALSE()))</f>
        <v>0</v>
      </c>
      <c r="CB123" s="50" t="b">
        <f aca="false">IF(Configuration!$C$15="No","",IFERROR(IF(AND(OR(ISNUMBER(SEARCH("process",AG123)),ISNUMBER(SEARCH("fab",AG123)),ISNUMBER(SEARCH("manufac",AG123))),AO123="Method"),TRUE(),FALSE()),FALSE()))</f>
        <v>0</v>
      </c>
      <c r="CC123" s="50" t="b">
        <f aca="false">IF(Configuration!$C$16="No","",IFERROR(IF(AND(OR(ISNUMBER(SEARCH("material",AG123)),ISNUMBER(SEARCH("chem",AG123)),ISNUMBER(SEARCH("battery",AG123)),ISNUMBER(SEARCH("electrolyte",AG123)),ISNUMBER(SEARCH("polymer",AG123))),OR(AO123="Apparatus",AO123="Method")),TRUE(),FALSE()),FALSE()))</f>
        <v>0</v>
      </c>
      <c r="CD123" s="50" t="b">
        <f aca="false">IF(Configuration!$C$17="No","",IFERROR(IF(AND(OR(AI123="App",AI123="Middleware",AI123="Cloud"),OR(AO123="Method",AO123="CRM")),TRUE(),FALSE()),FALSE()))</f>
        <v>0</v>
      </c>
      <c r="CE123" s="50" t="b">
        <f aca="false">IF(Configuration!$C$18="No","",IFERROR(IF(N(AN123)&gt;=Configuration!$C$45,TRUE(),FALSE()),FALSE()))</f>
        <v>0</v>
      </c>
      <c r="CF123" s="50" t="b">
        <f aca="false">IF(Configuration!$C$19="No","",IFERROR(IF(BE123&lt;&gt;"",TRUE(),FALSE()),FALSE()))</f>
        <v>0</v>
      </c>
      <c r="CG123" s="50" t="b">
        <f aca="false">IF(Configuration!$C$20="No","",IFERROR(IF(AO123&lt;&gt;"",TRUE(),FALSE()),FALSE()))</f>
        <v>0</v>
      </c>
      <c r="CH123" s="50" t="b">
        <f aca="false">IF(Configuration!$C$21="No","",IFERROR(IF(OR(N(AS123)&gt;=Configuration!$C$46,N(AT123)&gt;=Configuration!$C$47),TRUE(),FALSE()),FALSE()))</f>
        <v>0</v>
      </c>
      <c r="CI123" s="50" t="b">
        <f aca="false">IF(Configuration!$C$22="No","",IFERROR(IF(BB123="Yes",TRUE(),FALSE()),FALSE()))</f>
        <v>0</v>
      </c>
      <c r="CJ123" s="50" t="b">
        <f aca="false">IF(Configuration!$C$23="No","",IFERROR(IF(N(AV123)&gt;=Configuration!$C$48,TRUE(),FALSE()),FALSE()))</f>
        <v>0</v>
      </c>
      <c r="CK123" s="50" t="b">
        <f aca="false">IF(Configuration!$C$24="No","",IFERROR(IF(N(AY123)&gt;0,TRUE(),FALSE()),FALSE()))</f>
        <v>0</v>
      </c>
      <c r="CL123" s="50" t="b">
        <f aca="false">IF(Configuration!$C$25="No","",IFERROR(IF(OR(N(AP123)=3,N(AP123)&lt;=1),TRUE(),FALSE()),FALSE()))</f>
        <v>1</v>
      </c>
      <c r="CM123" s="50" t="b">
        <f aca="false">IF(Configuration!$C$26="No","",IFERROR(IF(N(BF123)&gt;=Configuration!$C$49,TRUE(),FALSE()),FALSE()))</f>
        <v>0</v>
      </c>
      <c r="CN123" s="50" t="b">
        <f aca="false">IF(Configuration!$C$27="No","",IFERROR(IF(BD123&lt;&gt;"",TRUE(),FALSE()),FALSE()))</f>
        <v>0</v>
      </c>
      <c r="CO123" s="50" t="b">
        <f aca="false">IF(Configuration!$C$28="No","",IFERROR(IF(N(AU123)&gt;=Configuration!$C$50,TRUE(),FALSE()),FALSE()))</f>
        <v>0</v>
      </c>
      <c r="CP123" s="50" t="b">
        <f aca="false">IF(Configuration!$C$29="No","",IFERROR(IF(AND(N(AR123)&gt;=Configuration!$C$51,AG123&lt;&gt;""),TRUE(),FALSE()),FALSE()))</f>
        <v>0</v>
      </c>
      <c r="CQ123" s="50" t="b">
        <f aca="false">IF(Configuration!$C$30="No","",IFERROR(IF(OR(AW123="Pending",AX123="Yes"),TRUE(),FALSE()),FALSE()))</f>
        <v>0</v>
      </c>
      <c r="CR123" s="50" t="b">
        <f aca="false">IF(Configuration!$C$31="No","",IFERROR(IF(AND(N(BG123)&gt;=Configuration!$C$52,N(AP123)&gt;=1),TRUE(),FALSE()),FALSE()))</f>
        <v>0</v>
      </c>
      <c r="CS123" s="50" t="b">
        <f aca="false">IF(Configuration!$C$32="No","",IFERROR(IF(AND(N(AR123)&gt;=1,OR(AG123&lt;&gt;"",AM123&lt;&gt;"")),TRUE(),FALSE()),FALSE()))</f>
        <v>0</v>
      </c>
      <c r="CT123" s="50" t="b">
        <f aca="false">IF(Configuration!$C$33="No","",IFERROR(IF(AG123&lt;&gt;"",TRUE(),FALSE()),FALSE()))</f>
        <v>0</v>
      </c>
      <c r="CU123" s="50" t="b">
        <f aca="false">IF(Configuration!$C$34="No","",IFERROR(IF(AX123="Yes",TRUE(),FALSE()),FALSE()))</f>
        <v>0</v>
      </c>
      <c r="CV123" s="50" t="b">
        <f aca="false">IF(Configuration!$C$35="No","",IFERROR(IF(OR(BO123="Partial",BO123="Full"),TRUE(),FALSE()),FALSE()))</f>
        <v>0</v>
      </c>
      <c r="CW123" s="50" t="b">
        <f aca="false">IF(Configuration!$C$36="No","",IFERROR(IF(BM123="Survived",TRUE(),FALSE()),FALSE()))</f>
        <v>0</v>
      </c>
      <c r="CX123" s="50" t="b">
        <f aca="false">IF(Configuration!$C$37="No","",IFERROR(IF(AND(BN123="Clean",BP123="None"),TRUE(),FALSE()),FALSE()))</f>
        <v>0</v>
      </c>
      <c r="CY123" s="50" t="b">
        <f aca="false">IF(Configuration!$C$38="No","",IFERROR(IF(N(BK123)&gt;=Configuration!$C$53,TRUE(),FALSE()),FALSE()))</f>
        <v>0</v>
      </c>
      <c r="CZ123" s="50" t="b">
        <f aca="false">IF(Configuration!$C$39="No","",IFERROR(IF(AND(N(BS123)&gt;=2,N(BF123)&gt;=2),TRUE(),FALSE()),FALSE()))</f>
        <v>0</v>
      </c>
      <c r="DA123" s="50" t="b">
        <f aca="false">IF(Configuration!$C$40="No","",IFERROR(IF(OR(N(BG123)&lt;=Configuration!$C$56,N(AY123)&lt;Configuration!$C$57,N(BH123)&lt;=Configuration!$C$58),TRUE(),FALSE()),FALSE()))</f>
        <v>1</v>
      </c>
      <c r="DB123" s="50" t="b">
        <f aca="false">IF(Configuration!$C$41="No","",IFERROR(IF(AND(N(AY123)&gt;=Configuration!$C$54,N(AY123)&lt;=Configuration!$C$55),TRUE(),FALSE()),FALSE()))</f>
        <v>0</v>
      </c>
      <c r="DC123" s="50" t="b">
        <f aca="false">IF(Configuration!$C$42="No","",IFERROR(IF(AND(AG123&lt;&gt;"",AJ123&lt;&gt;""),TRUE(),FALSE()),FALSE()))</f>
        <v>0</v>
      </c>
      <c r="DD123" s="51" t="n">
        <f aca="false">COUNTIF(BW123:DC123,TRUE())</f>
        <v>2</v>
      </c>
    </row>
    <row r="124" customFormat="false" ht="15" hidden="false" customHeight="true" outlineLevel="0" collapsed="false">
      <c r="A124" s="18" t="n">
        <v>85</v>
      </c>
      <c r="B124" s="44"/>
      <c r="C124" s="44"/>
      <c r="D124" s="44"/>
      <c r="E124" s="44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6" t="str">
        <f aca="false">IFERROR(IF(F124&lt;&gt;"",F124,""),"")</f>
        <v/>
      </c>
      <c r="AF124" s="46" t="str">
        <f aca="false">IFERROR(IF(G124&lt;&gt;"",G124,""),"")</f>
        <v/>
      </c>
      <c r="AG124" s="46" t="str">
        <f aca="false">IFERROR(IF(AA124&lt;&gt;"",AA124,IF(R124&lt;&gt;"",R124,"")),"")</f>
        <v/>
      </c>
      <c r="AH124" s="46" t="str">
        <f aca="false">IFERROR(IF(AB124&lt;&gt;"",AB124,IF(S124&lt;&gt;"",S124,"")),"")</f>
        <v/>
      </c>
      <c r="AI124" s="47"/>
      <c r="AJ124" s="47"/>
      <c r="AK124" s="47"/>
      <c r="AL124" s="47"/>
      <c r="AM124" s="47"/>
      <c r="AN124" s="47"/>
      <c r="AO124" s="47"/>
      <c r="AP124" s="47"/>
      <c r="AQ124" s="46" t="str">
        <f aca="false">IFERROR(IF(Y124&lt;&gt;"",VALUE(Y124),""),"")</f>
        <v/>
      </c>
      <c r="AR124" s="47"/>
      <c r="AS124" s="47"/>
      <c r="AT124" s="47"/>
      <c r="AU124" s="47"/>
      <c r="AV124" s="46" t="str">
        <f aca="false">IFERROR(IF(T124&lt;&gt;"",VALUE(T124),""),"")</f>
        <v/>
      </c>
      <c r="AW124" s="46" t="str">
        <f aca="false">IFERROR(IF(N124="","",IF(OR(ISNUMBER(SEARCH("grant",N124)),ISNUMBER(SEARCH("B",AC124))),"Granted",IF(OR(ISNUMBER(SEARCH("pend",N124)),ISNUMBER(SEARCH("A",AC124))),"Pending",IF(ISNUMBER(SEARCH("expir",N124)),"Expired",N124)))),"")</f>
        <v/>
      </c>
      <c r="AX124" s="47"/>
      <c r="AY124" s="46" t="str">
        <f aca="true">IFERROR(IF(M124&lt;&gt;"",ROUND(VALUE(M124),1),IF(L124&lt;&gt;"",ROUND(MAX(0,(DATEVALUE(TEXT(L124,"YYYY-MM-DD"))-TODAY())/365.25),1),"")),"")</f>
        <v/>
      </c>
      <c r="AZ124" s="46" t="str">
        <f aca="false">IFERROR(IF(O124&lt;&gt;"",O124,""),"")</f>
        <v/>
      </c>
      <c r="BA124" s="46" t="str">
        <f aca="false">IFERROR(IF(U124&lt;&gt;"",SUBSTITUTE(SUBSTITUTE(U124,"; ",", "),";",","),""),"")</f>
        <v/>
      </c>
      <c r="BB124" s="47"/>
      <c r="BC124" s="47"/>
      <c r="BD124" s="47"/>
      <c r="BE124" s="47"/>
      <c r="BF124" s="47"/>
      <c r="BG124" s="47"/>
      <c r="BH124" s="47"/>
      <c r="BI124" s="47"/>
      <c r="BJ124" s="47"/>
      <c r="BK124" s="46" t="str">
        <f aca="false">IFERROR(IF(W124&lt;&gt;"",VALUE(W124),""),"")</f>
        <v/>
      </c>
      <c r="BL124" s="46" t="str">
        <f aca="false">IFERROR(IF(X124&lt;&gt;"",VALUE(X124),""),"")</f>
        <v/>
      </c>
      <c r="BM124" s="46" t="str">
        <f aca="false">IFERROR(IF(AD124="","None",IF(ISNUMBER(SEARCH("surv",AD124)),"Survived",IF(ISNUMBER(SEARCH("pend",AD124)),"Pending",IF(ISNUMBER(SEARCH("yes",AD124)),"Pending","None")))),"None")</f>
        <v>None</v>
      </c>
      <c r="BN124" s="47"/>
      <c r="BO124" s="47"/>
      <c r="BP124" s="47"/>
      <c r="BQ124" s="47"/>
      <c r="BR124" s="47"/>
      <c r="BS124" s="47"/>
      <c r="BT124" s="47"/>
      <c r="BU124" s="48" t="n">
        <f aca="false">IFERROR(COUNTA(AE124:BT124)/42,0)</f>
        <v>0.30952380952381</v>
      </c>
      <c r="BV124" s="49"/>
      <c r="BW124" s="50" t="b">
        <f aca="false">IF(Configuration!$C$10="No","",IFERROR(IF(AG124&lt;&gt;"",TRUE(),FALSE()),FALSE()))</f>
        <v>0</v>
      </c>
      <c r="BX124" s="50" t="b">
        <f aca="false">IF(Configuration!$C$11="No","",IFERROR(IF(AND(N(AL124)&gt;=Configuration!$C$44,AM124&lt;&gt;""),TRUE(),FALSE()),FALSE()))</f>
        <v>0</v>
      </c>
      <c r="BY124" s="50" t="b">
        <f aca="false">IF(Configuration!$C$12="No","",IFERROR(IF(AJ124&lt;&gt;"",TRUE(),FALSE()),FALSE()))</f>
        <v>0</v>
      </c>
      <c r="BZ124" s="50" t="b">
        <f aca="false">IF(Configuration!$C$13="No","",IFERROR(IF(AI124&lt;&gt;"",TRUE(),FALSE()),FALSE()))</f>
        <v>0</v>
      </c>
      <c r="CA124" s="50" t="b">
        <f aca="false">IF(Configuration!$C$14="No","",IFERROR(IF(AK124&lt;&gt;"",TRUE(),FALSE()),FALSE()))</f>
        <v>0</v>
      </c>
      <c r="CB124" s="50" t="b">
        <f aca="false">IF(Configuration!$C$15="No","",IFERROR(IF(AND(OR(ISNUMBER(SEARCH("process",AG124)),ISNUMBER(SEARCH("fab",AG124)),ISNUMBER(SEARCH("manufac",AG124))),AO124="Method"),TRUE(),FALSE()),FALSE()))</f>
        <v>0</v>
      </c>
      <c r="CC124" s="50" t="b">
        <f aca="false">IF(Configuration!$C$16="No","",IFERROR(IF(AND(OR(ISNUMBER(SEARCH("material",AG124)),ISNUMBER(SEARCH("chem",AG124)),ISNUMBER(SEARCH("battery",AG124)),ISNUMBER(SEARCH("electrolyte",AG124)),ISNUMBER(SEARCH("polymer",AG124))),OR(AO124="Apparatus",AO124="Method")),TRUE(),FALSE()),FALSE()))</f>
        <v>0</v>
      </c>
      <c r="CD124" s="50" t="b">
        <f aca="false">IF(Configuration!$C$17="No","",IFERROR(IF(AND(OR(AI124="App",AI124="Middleware",AI124="Cloud"),OR(AO124="Method",AO124="CRM")),TRUE(),FALSE()),FALSE()))</f>
        <v>0</v>
      </c>
      <c r="CE124" s="50" t="b">
        <f aca="false">IF(Configuration!$C$18="No","",IFERROR(IF(N(AN124)&gt;=Configuration!$C$45,TRUE(),FALSE()),FALSE()))</f>
        <v>0</v>
      </c>
      <c r="CF124" s="50" t="b">
        <f aca="false">IF(Configuration!$C$19="No","",IFERROR(IF(BE124&lt;&gt;"",TRUE(),FALSE()),FALSE()))</f>
        <v>0</v>
      </c>
      <c r="CG124" s="50" t="b">
        <f aca="false">IF(Configuration!$C$20="No","",IFERROR(IF(AO124&lt;&gt;"",TRUE(),FALSE()),FALSE()))</f>
        <v>0</v>
      </c>
      <c r="CH124" s="50" t="b">
        <f aca="false">IF(Configuration!$C$21="No","",IFERROR(IF(OR(N(AS124)&gt;=Configuration!$C$46,N(AT124)&gt;=Configuration!$C$47),TRUE(),FALSE()),FALSE()))</f>
        <v>0</v>
      </c>
      <c r="CI124" s="50" t="b">
        <f aca="false">IF(Configuration!$C$22="No","",IFERROR(IF(BB124="Yes",TRUE(),FALSE()),FALSE()))</f>
        <v>0</v>
      </c>
      <c r="CJ124" s="50" t="b">
        <f aca="false">IF(Configuration!$C$23="No","",IFERROR(IF(N(AV124)&gt;=Configuration!$C$48,TRUE(),FALSE()),FALSE()))</f>
        <v>0</v>
      </c>
      <c r="CK124" s="50" t="b">
        <f aca="false">IF(Configuration!$C$24="No","",IFERROR(IF(N(AY124)&gt;0,TRUE(),FALSE()),FALSE()))</f>
        <v>0</v>
      </c>
      <c r="CL124" s="50" t="b">
        <f aca="false">IF(Configuration!$C$25="No","",IFERROR(IF(OR(N(AP124)=3,N(AP124)&lt;=1),TRUE(),FALSE()),FALSE()))</f>
        <v>1</v>
      </c>
      <c r="CM124" s="50" t="b">
        <f aca="false">IF(Configuration!$C$26="No","",IFERROR(IF(N(BF124)&gt;=Configuration!$C$49,TRUE(),FALSE()),FALSE()))</f>
        <v>0</v>
      </c>
      <c r="CN124" s="50" t="b">
        <f aca="false">IF(Configuration!$C$27="No","",IFERROR(IF(BD124&lt;&gt;"",TRUE(),FALSE()),FALSE()))</f>
        <v>0</v>
      </c>
      <c r="CO124" s="50" t="b">
        <f aca="false">IF(Configuration!$C$28="No","",IFERROR(IF(N(AU124)&gt;=Configuration!$C$50,TRUE(),FALSE()),FALSE()))</f>
        <v>0</v>
      </c>
      <c r="CP124" s="50" t="b">
        <f aca="false">IF(Configuration!$C$29="No","",IFERROR(IF(AND(N(AR124)&gt;=Configuration!$C$51,AG124&lt;&gt;""),TRUE(),FALSE()),FALSE()))</f>
        <v>0</v>
      </c>
      <c r="CQ124" s="50" t="b">
        <f aca="false">IF(Configuration!$C$30="No","",IFERROR(IF(OR(AW124="Pending",AX124="Yes"),TRUE(),FALSE()),FALSE()))</f>
        <v>0</v>
      </c>
      <c r="CR124" s="50" t="b">
        <f aca="false">IF(Configuration!$C$31="No","",IFERROR(IF(AND(N(BG124)&gt;=Configuration!$C$52,N(AP124)&gt;=1),TRUE(),FALSE()),FALSE()))</f>
        <v>0</v>
      </c>
      <c r="CS124" s="50" t="b">
        <f aca="false">IF(Configuration!$C$32="No","",IFERROR(IF(AND(N(AR124)&gt;=1,OR(AG124&lt;&gt;"",AM124&lt;&gt;"")),TRUE(),FALSE()),FALSE()))</f>
        <v>0</v>
      </c>
      <c r="CT124" s="50" t="b">
        <f aca="false">IF(Configuration!$C$33="No","",IFERROR(IF(AG124&lt;&gt;"",TRUE(),FALSE()),FALSE()))</f>
        <v>0</v>
      </c>
      <c r="CU124" s="50" t="b">
        <f aca="false">IF(Configuration!$C$34="No","",IFERROR(IF(AX124="Yes",TRUE(),FALSE()),FALSE()))</f>
        <v>0</v>
      </c>
      <c r="CV124" s="50" t="b">
        <f aca="false">IF(Configuration!$C$35="No","",IFERROR(IF(OR(BO124="Partial",BO124="Full"),TRUE(),FALSE()),FALSE()))</f>
        <v>0</v>
      </c>
      <c r="CW124" s="50" t="b">
        <f aca="false">IF(Configuration!$C$36="No","",IFERROR(IF(BM124="Survived",TRUE(),FALSE()),FALSE()))</f>
        <v>0</v>
      </c>
      <c r="CX124" s="50" t="b">
        <f aca="false">IF(Configuration!$C$37="No","",IFERROR(IF(AND(BN124="Clean",BP124="None"),TRUE(),FALSE()),FALSE()))</f>
        <v>0</v>
      </c>
      <c r="CY124" s="50" t="b">
        <f aca="false">IF(Configuration!$C$38="No","",IFERROR(IF(N(BK124)&gt;=Configuration!$C$53,TRUE(),FALSE()),FALSE()))</f>
        <v>0</v>
      </c>
      <c r="CZ124" s="50" t="b">
        <f aca="false">IF(Configuration!$C$39="No","",IFERROR(IF(AND(N(BS124)&gt;=2,N(BF124)&gt;=2),TRUE(),FALSE()),FALSE()))</f>
        <v>0</v>
      </c>
      <c r="DA124" s="50" t="b">
        <f aca="false">IF(Configuration!$C$40="No","",IFERROR(IF(OR(N(BG124)&lt;=Configuration!$C$56,N(AY124)&lt;Configuration!$C$57,N(BH124)&lt;=Configuration!$C$58),TRUE(),FALSE()),FALSE()))</f>
        <v>1</v>
      </c>
      <c r="DB124" s="50" t="b">
        <f aca="false">IF(Configuration!$C$41="No","",IFERROR(IF(AND(N(AY124)&gt;=Configuration!$C$54,N(AY124)&lt;=Configuration!$C$55),TRUE(),FALSE()),FALSE()))</f>
        <v>0</v>
      </c>
      <c r="DC124" s="50" t="b">
        <f aca="false">IF(Configuration!$C$42="No","",IFERROR(IF(AND(AG124&lt;&gt;"",AJ124&lt;&gt;""),TRUE(),FALSE()),FALSE()))</f>
        <v>0</v>
      </c>
      <c r="DD124" s="51" t="n">
        <f aca="false">COUNTIF(BW124:DC124,TRUE())</f>
        <v>2</v>
      </c>
    </row>
    <row r="125" customFormat="false" ht="15" hidden="false" customHeight="true" outlineLevel="0" collapsed="false">
      <c r="A125" s="18" t="n">
        <v>86</v>
      </c>
      <c r="B125" s="44"/>
      <c r="C125" s="44"/>
      <c r="D125" s="44"/>
      <c r="E125" s="44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6" t="str">
        <f aca="false">IFERROR(IF(F125&lt;&gt;"",F125,""),"")</f>
        <v/>
      </c>
      <c r="AF125" s="46" t="str">
        <f aca="false">IFERROR(IF(G125&lt;&gt;"",G125,""),"")</f>
        <v/>
      </c>
      <c r="AG125" s="46" t="str">
        <f aca="false">IFERROR(IF(AA125&lt;&gt;"",AA125,IF(R125&lt;&gt;"",R125,"")),"")</f>
        <v/>
      </c>
      <c r="AH125" s="46" t="str">
        <f aca="false">IFERROR(IF(AB125&lt;&gt;"",AB125,IF(S125&lt;&gt;"",S125,"")),"")</f>
        <v/>
      </c>
      <c r="AI125" s="47"/>
      <c r="AJ125" s="47"/>
      <c r="AK125" s="47"/>
      <c r="AL125" s="47"/>
      <c r="AM125" s="47"/>
      <c r="AN125" s="47"/>
      <c r="AO125" s="47"/>
      <c r="AP125" s="47"/>
      <c r="AQ125" s="46" t="str">
        <f aca="false">IFERROR(IF(Y125&lt;&gt;"",VALUE(Y125),""),"")</f>
        <v/>
      </c>
      <c r="AR125" s="47"/>
      <c r="AS125" s="47"/>
      <c r="AT125" s="47"/>
      <c r="AU125" s="47"/>
      <c r="AV125" s="46" t="str">
        <f aca="false">IFERROR(IF(T125&lt;&gt;"",VALUE(T125),""),"")</f>
        <v/>
      </c>
      <c r="AW125" s="46" t="str">
        <f aca="false">IFERROR(IF(N125="","",IF(OR(ISNUMBER(SEARCH("grant",N125)),ISNUMBER(SEARCH("B",AC125))),"Granted",IF(OR(ISNUMBER(SEARCH("pend",N125)),ISNUMBER(SEARCH("A",AC125))),"Pending",IF(ISNUMBER(SEARCH("expir",N125)),"Expired",N125)))),"")</f>
        <v/>
      </c>
      <c r="AX125" s="47"/>
      <c r="AY125" s="46" t="str">
        <f aca="true">IFERROR(IF(M125&lt;&gt;"",ROUND(VALUE(M125),1),IF(L125&lt;&gt;"",ROUND(MAX(0,(DATEVALUE(TEXT(L125,"YYYY-MM-DD"))-TODAY())/365.25),1),"")),"")</f>
        <v/>
      </c>
      <c r="AZ125" s="46" t="str">
        <f aca="false">IFERROR(IF(O125&lt;&gt;"",O125,""),"")</f>
        <v/>
      </c>
      <c r="BA125" s="46" t="str">
        <f aca="false">IFERROR(IF(U125&lt;&gt;"",SUBSTITUTE(SUBSTITUTE(U125,"; ",", "),";",","),""),"")</f>
        <v/>
      </c>
      <c r="BB125" s="47"/>
      <c r="BC125" s="47"/>
      <c r="BD125" s="47"/>
      <c r="BE125" s="47"/>
      <c r="BF125" s="47"/>
      <c r="BG125" s="47"/>
      <c r="BH125" s="47"/>
      <c r="BI125" s="47"/>
      <c r="BJ125" s="47"/>
      <c r="BK125" s="46" t="str">
        <f aca="false">IFERROR(IF(W125&lt;&gt;"",VALUE(W125),""),"")</f>
        <v/>
      </c>
      <c r="BL125" s="46" t="str">
        <f aca="false">IFERROR(IF(X125&lt;&gt;"",VALUE(X125),""),"")</f>
        <v/>
      </c>
      <c r="BM125" s="46" t="str">
        <f aca="false">IFERROR(IF(AD125="","None",IF(ISNUMBER(SEARCH("surv",AD125)),"Survived",IF(ISNUMBER(SEARCH("pend",AD125)),"Pending",IF(ISNUMBER(SEARCH("yes",AD125)),"Pending","None")))),"None")</f>
        <v>None</v>
      </c>
      <c r="BN125" s="47"/>
      <c r="BO125" s="47"/>
      <c r="BP125" s="47"/>
      <c r="BQ125" s="47"/>
      <c r="BR125" s="47"/>
      <c r="BS125" s="47"/>
      <c r="BT125" s="47"/>
      <c r="BU125" s="48" t="n">
        <f aca="false">IFERROR(COUNTA(AE125:BT125)/42,0)</f>
        <v>0.30952380952381</v>
      </c>
      <c r="BV125" s="49"/>
      <c r="BW125" s="50" t="b">
        <f aca="false">IF(Configuration!$C$10="No","",IFERROR(IF(AG125&lt;&gt;"",TRUE(),FALSE()),FALSE()))</f>
        <v>0</v>
      </c>
      <c r="BX125" s="50" t="b">
        <f aca="false">IF(Configuration!$C$11="No","",IFERROR(IF(AND(N(AL125)&gt;=Configuration!$C$44,AM125&lt;&gt;""),TRUE(),FALSE()),FALSE()))</f>
        <v>0</v>
      </c>
      <c r="BY125" s="50" t="b">
        <f aca="false">IF(Configuration!$C$12="No","",IFERROR(IF(AJ125&lt;&gt;"",TRUE(),FALSE()),FALSE()))</f>
        <v>0</v>
      </c>
      <c r="BZ125" s="50" t="b">
        <f aca="false">IF(Configuration!$C$13="No","",IFERROR(IF(AI125&lt;&gt;"",TRUE(),FALSE()),FALSE()))</f>
        <v>0</v>
      </c>
      <c r="CA125" s="50" t="b">
        <f aca="false">IF(Configuration!$C$14="No","",IFERROR(IF(AK125&lt;&gt;"",TRUE(),FALSE()),FALSE()))</f>
        <v>0</v>
      </c>
      <c r="CB125" s="50" t="b">
        <f aca="false">IF(Configuration!$C$15="No","",IFERROR(IF(AND(OR(ISNUMBER(SEARCH("process",AG125)),ISNUMBER(SEARCH("fab",AG125)),ISNUMBER(SEARCH("manufac",AG125))),AO125="Method"),TRUE(),FALSE()),FALSE()))</f>
        <v>0</v>
      </c>
      <c r="CC125" s="50" t="b">
        <f aca="false">IF(Configuration!$C$16="No","",IFERROR(IF(AND(OR(ISNUMBER(SEARCH("material",AG125)),ISNUMBER(SEARCH("chem",AG125)),ISNUMBER(SEARCH("battery",AG125)),ISNUMBER(SEARCH("electrolyte",AG125)),ISNUMBER(SEARCH("polymer",AG125))),OR(AO125="Apparatus",AO125="Method")),TRUE(),FALSE()),FALSE()))</f>
        <v>0</v>
      </c>
      <c r="CD125" s="50" t="b">
        <f aca="false">IF(Configuration!$C$17="No","",IFERROR(IF(AND(OR(AI125="App",AI125="Middleware",AI125="Cloud"),OR(AO125="Method",AO125="CRM")),TRUE(),FALSE()),FALSE()))</f>
        <v>0</v>
      </c>
      <c r="CE125" s="50" t="b">
        <f aca="false">IF(Configuration!$C$18="No","",IFERROR(IF(N(AN125)&gt;=Configuration!$C$45,TRUE(),FALSE()),FALSE()))</f>
        <v>0</v>
      </c>
      <c r="CF125" s="50" t="b">
        <f aca="false">IF(Configuration!$C$19="No","",IFERROR(IF(BE125&lt;&gt;"",TRUE(),FALSE()),FALSE()))</f>
        <v>0</v>
      </c>
      <c r="CG125" s="50" t="b">
        <f aca="false">IF(Configuration!$C$20="No","",IFERROR(IF(AO125&lt;&gt;"",TRUE(),FALSE()),FALSE()))</f>
        <v>0</v>
      </c>
      <c r="CH125" s="50" t="b">
        <f aca="false">IF(Configuration!$C$21="No","",IFERROR(IF(OR(N(AS125)&gt;=Configuration!$C$46,N(AT125)&gt;=Configuration!$C$47),TRUE(),FALSE()),FALSE()))</f>
        <v>0</v>
      </c>
      <c r="CI125" s="50" t="b">
        <f aca="false">IF(Configuration!$C$22="No","",IFERROR(IF(BB125="Yes",TRUE(),FALSE()),FALSE()))</f>
        <v>0</v>
      </c>
      <c r="CJ125" s="50" t="b">
        <f aca="false">IF(Configuration!$C$23="No","",IFERROR(IF(N(AV125)&gt;=Configuration!$C$48,TRUE(),FALSE()),FALSE()))</f>
        <v>0</v>
      </c>
      <c r="CK125" s="50" t="b">
        <f aca="false">IF(Configuration!$C$24="No","",IFERROR(IF(N(AY125)&gt;0,TRUE(),FALSE()),FALSE()))</f>
        <v>0</v>
      </c>
      <c r="CL125" s="50" t="b">
        <f aca="false">IF(Configuration!$C$25="No","",IFERROR(IF(OR(N(AP125)=3,N(AP125)&lt;=1),TRUE(),FALSE()),FALSE()))</f>
        <v>1</v>
      </c>
      <c r="CM125" s="50" t="b">
        <f aca="false">IF(Configuration!$C$26="No","",IFERROR(IF(N(BF125)&gt;=Configuration!$C$49,TRUE(),FALSE()),FALSE()))</f>
        <v>0</v>
      </c>
      <c r="CN125" s="50" t="b">
        <f aca="false">IF(Configuration!$C$27="No","",IFERROR(IF(BD125&lt;&gt;"",TRUE(),FALSE()),FALSE()))</f>
        <v>0</v>
      </c>
      <c r="CO125" s="50" t="b">
        <f aca="false">IF(Configuration!$C$28="No","",IFERROR(IF(N(AU125)&gt;=Configuration!$C$50,TRUE(),FALSE()),FALSE()))</f>
        <v>0</v>
      </c>
      <c r="CP125" s="50" t="b">
        <f aca="false">IF(Configuration!$C$29="No","",IFERROR(IF(AND(N(AR125)&gt;=Configuration!$C$51,AG125&lt;&gt;""),TRUE(),FALSE()),FALSE()))</f>
        <v>0</v>
      </c>
      <c r="CQ125" s="50" t="b">
        <f aca="false">IF(Configuration!$C$30="No","",IFERROR(IF(OR(AW125="Pending",AX125="Yes"),TRUE(),FALSE()),FALSE()))</f>
        <v>0</v>
      </c>
      <c r="CR125" s="50" t="b">
        <f aca="false">IF(Configuration!$C$31="No","",IFERROR(IF(AND(N(BG125)&gt;=Configuration!$C$52,N(AP125)&gt;=1),TRUE(),FALSE()),FALSE()))</f>
        <v>0</v>
      </c>
      <c r="CS125" s="50" t="b">
        <f aca="false">IF(Configuration!$C$32="No","",IFERROR(IF(AND(N(AR125)&gt;=1,OR(AG125&lt;&gt;"",AM125&lt;&gt;"")),TRUE(),FALSE()),FALSE()))</f>
        <v>0</v>
      </c>
      <c r="CT125" s="50" t="b">
        <f aca="false">IF(Configuration!$C$33="No","",IFERROR(IF(AG125&lt;&gt;"",TRUE(),FALSE()),FALSE()))</f>
        <v>0</v>
      </c>
      <c r="CU125" s="50" t="b">
        <f aca="false">IF(Configuration!$C$34="No","",IFERROR(IF(AX125="Yes",TRUE(),FALSE()),FALSE()))</f>
        <v>0</v>
      </c>
      <c r="CV125" s="50" t="b">
        <f aca="false">IF(Configuration!$C$35="No","",IFERROR(IF(OR(BO125="Partial",BO125="Full"),TRUE(),FALSE()),FALSE()))</f>
        <v>0</v>
      </c>
      <c r="CW125" s="50" t="b">
        <f aca="false">IF(Configuration!$C$36="No","",IFERROR(IF(BM125="Survived",TRUE(),FALSE()),FALSE()))</f>
        <v>0</v>
      </c>
      <c r="CX125" s="50" t="b">
        <f aca="false">IF(Configuration!$C$37="No","",IFERROR(IF(AND(BN125="Clean",BP125="None"),TRUE(),FALSE()),FALSE()))</f>
        <v>0</v>
      </c>
      <c r="CY125" s="50" t="b">
        <f aca="false">IF(Configuration!$C$38="No","",IFERROR(IF(N(BK125)&gt;=Configuration!$C$53,TRUE(),FALSE()),FALSE()))</f>
        <v>0</v>
      </c>
      <c r="CZ125" s="50" t="b">
        <f aca="false">IF(Configuration!$C$39="No","",IFERROR(IF(AND(N(BS125)&gt;=2,N(BF125)&gt;=2),TRUE(),FALSE()),FALSE()))</f>
        <v>0</v>
      </c>
      <c r="DA125" s="50" t="b">
        <f aca="false">IF(Configuration!$C$40="No","",IFERROR(IF(OR(N(BG125)&lt;=Configuration!$C$56,N(AY125)&lt;Configuration!$C$57,N(BH125)&lt;=Configuration!$C$58),TRUE(),FALSE()),FALSE()))</f>
        <v>1</v>
      </c>
      <c r="DB125" s="50" t="b">
        <f aca="false">IF(Configuration!$C$41="No","",IFERROR(IF(AND(N(AY125)&gt;=Configuration!$C$54,N(AY125)&lt;=Configuration!$C$55),TRUE(),FALSE()),FALSE()))</f>
        <v>0</v>
      </c>
      <c r="DC125" s="50" t="b">
        <f aca="false">IF(Configuration!$C$42="No","",IFERROR(IF(AND(AG125&lt;&gt;"",AJ125&lt;&gt;""),TRUE(),FALSE()),FALSE()))</f>
        <v>0</v>
      </c>
      <c r="DD125" s="51" t="n">
        <f aca="false">COUNTIF(BW125:DC125,TRUE())</f>
        <v>2</v>
      </c>
    </row>
    <row r="126" customFormat="false" ht="15" hidden="false" customHeight="true" outlineLevel="0" collapsed="false">
      <c r="A126" s="18" t="n">
        <v>87</v>
      </c>
      <c r="B126" s="44"/>
      <c r="C126" s="44"/>
      <c r="D126" s="44"/>
      <c r="E126" s="44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6" t="str">
        <f aca="false">IFERROR(IF(F126&lt;&gt;"",F126,""),"")</f>
        <v/>
      </c>
      <c r="AF126" s="46" t="str">
        <f aca="false">IFERROR(IF(G126&lt;&gt;"",G126,""),"")</f>
        <v/>
      </c>
      <c r="AG126" s="46" t="str">
        <f aca="false">IFERROR(IF(AA126&lt;&gt;"",AA126,IF(R126&lt;&gt;"",R126,"")),"")</f>
        <v/>
      </c>
      <c r="AH126" s="46" t="str">
        <f aca="false">IFERROR(IF(AB126&lt;&gt;"",AB126,IF(S126&lt;&gt;"",S126,"")),"")</f>
        <v/>
      </c>
      <c r="AI126" s="47"/>
      <c r="AJ126" s="47"/>
      <c r="AK126" s="47"/>
      <c r="AL126" s="47"/>
      <c r="AM126" s="47"/>
      <c r="AN126" s="47"/>
      <c r="AO126" s="47"/>
      <c r="AP126" s="47"/>
      <c r="AQ126" s="46" t="str">
        <f aca="false">IFERROR(IF(Y126&lt;&gt;"",VALUE(Y126),""),"")</f>
        <v/>
      </c>
      <c r="AR126" s="47"/>
      <c r="AS126" s="47"/>
      <c r="AT126" s="47"/>
      <c r="AU126" s="47"/>
      <c r="AV126" s="46" t="str">
        <f aca="false">IFERROR(IF(T126&lt;&gt;"",VALUE(T126),""),"")</f>
        <v/>
      </c>
      <c r="AW126" s="46" t="str">
        <f aca="false">IFERROR(IF(N126="","",IF(OR(ISNUMBER(SEARCH("grant",N126)),ISNUMBER(SEARCH("B",AC126))),"Granted",IF(OR(ISNUMBER(SEARCH("pend",N126)),ISNUMBER(SEARCH("A",AC126))),"Pending",IF(ISNUMBER(SEARCH("expir",N126)),"Expired",N126)))),"")</f>
        <v/>
      </c>
      <c r="AX126" s="47"/>
      <c r="AY126" s="46" t="str">
        <f aca="true">IFERROR(IF(M126&lt;&gt;"",ROUND(VALUE(M126),1),IF(L126&lt;&gt;"",ROUND(MAX(0,(DATEVALUE(TEXT(L126,"YYYY-MM-DD"))-TODAY())/365.25),1),"")),"")</f>
        <v/>
      </c>
      <c r="AZ126" s="46" t="str">
        <f aca="false">IFERROR(IF(O126&lt;&gt;"",O126,""),"")</f>
        <v/>
      </c>
      <c r="BA126" s="46" t="str">
        <f aca="false">IFERROR(IF(U126&lt;&gt;"",SUBSTITUTE(SUBSTITUTE(U126,"; ",", "),";",","),""),"")</f>
        <v/>
      </c>
      <c r="BB126" s="47"/>
      <c r="BC126" s="47"/>
      <c r="BD126" s="47"/>
      <c r="BE126" s="47"/>
      <c r="BF126" s="47"/>
      <c r="BG126" s="47"/>
      <c r="BH126" s="47"/>
      <c r="BI126" s="47"/>
      <c r="BJ126" s="47"/>
      <c r="BK126" s="46" t="str">
        <f aca="false">IFERROR(IF(W126&lt;&gt;"",VALUE(W126),""),"")</f>
        <v/>
      </c>
      <c r="BL126" s="46" t="str">
        <f aca="false">IFERROR(IF(X126&lt;&gt;"",VALUE(X126),""),"")</f>
        <v/>
      </c>
      <c r="BM126" s="46" t="str">
        <f aca="false">IFERROR(IF(AD126="","None",IF(ISNUMBER(SEARCH("surv",AD126)),"Survived",IF(ISNUMBER(SEARCH("pend",AD126)),"Pending",IF(ISNUMBER(SEARCH("yes",AD126)),"Pending","None")))),"None")</f>
        <v>None</v>
      </c>
      <c r="BN126" s="47"/>
      <c r="BO126" s="47"/>
      <c r="BP126" s="47"/>
      <c r="BQ126" s="47"/>
      <c r="BR126" s="47"/>
      <c r="BS126" s="47"/>
      <c r="BT126" s="47"/>
      <c r="BU126" s="48" t="n">
        <f aca="false">IFERROR(COUNTA(AE126:BT126)/42,0)</f>
        <v>0.30952380952381</v>
      </c>
      <c r="BV126" s="49"/>
      <c r="BW126" s="50" t="b">
        <f aca="false">IF(Configuration!$C$10="No","",IFERROR(IF(AG126&lt;&gt;"",TRUE(),FALSE()),FALSE()))</f>
        <v>0</v>
      </c>
      <c r="BX126" s="50" t="b">
        <f aca="false">IF(Configuration!$C$11="No","",IFERROR(IF(AND(N(AL126)&gt;=Configuration!$C$44,AM126&lt;&gt;""),TRUE(),FALSE()),FALSE()))</f>
        <v>0</v>
      </c>
      <c r="BY126" s="50" t="b">
        <f aca="false">IF(Configuration!$C$12="No","",IFERROR(IF(AJ126&lt;&gt;"",TRUE(),FALSE()),FALSE()))</f>
        <v>0</v>
      </c>
      <c r="BZ126" s="50" t="b">
        <f aca="false">IF(Configuration!$C$13="No","",IFERROR(IF(AI126&lt;&gt;"",TRUE(),FALSE()),FALSE()))</f>
        <v>0</v>
      </c>
      <c r="CA126" s="50" t="b">
        <f aca="false">IF(Configuration!$C$14="No","",IFERROR(IF(AK126&lt;&gt;"",TRUE(),FALSE()),FALSE()))</f>
        <v>0</v>
      </c>
      <c r="CB126" s="50" t="b">
        <f aca="false">IF(Configuration!$C$15="No","",IFERROR(IF(AND(OR(ISNUMBER(SEARCH("process",AG126)),ISNUMBER(SEARCH("fab",AG126)),ISNUMBER(SEARCH("manufac",AG126))),AO126="Method"),TRUE(),FALSE()),FALSE()))</f>
        <v>0</v>
      </c>
      <c r="CC126" s="50" t="b">
        <f aca="false">IF(Configuration!$C$16="No","",IFERROR(IF(AND(OR(ISNUMBER(SEARCH("material",AG126)),ISNUMBER(SEARCH("chem",AG126)),ISNUMBER(SEARCH("battery",AG126)),ISNUMBER(SEARCH("electrolyte",AG126)),ISNUMBER(SEARCH("polymer",AG126))),OR(AO126="Apparatus",AO126="Method")),TRUE(),FALSE()),FALSE()))</f>
        <v>0</v>
      </c>
      <c r="CD126" s="50" t="b">
        <f aca="false">IF(Configuration!$C$17="No","",IFERROR(IF(AND(OR(AI126="App",AI126="Middleware",AI126="Cloud"),OR(AO126="Method",AO126="CRM")),TRUE(),FALSE()),FALSE()))</f>
        <v>0</v>
      </c>
      <c r="CE126" s="50" t="b">
        <f aca="false">IF(Configuration!$C$18="No","",IFERROR(IF(N(AN126)&gt;=Configuration!$C$45,TRUE(),FALSE()),FALSE()))</f>
        <v>0</v>
      </c>
      <c r="CF126" s="50" t="b">
        <f aca="false">IF(Configuration!$C$19="No","",IFERROR(IF(BE126&lt;&gt;"",TRUE(),FALSE()),FALSE()))</f>
        <v>0</v>
      </c>
      <c r="CG126" s="50" t="b">
        <f aca="false">IF(Configuration!$C$20="No","",IFERROR(IF(AO126&lt;&gt;"",TRUE(),FALSE()),FALSE()))</f>
        <v>0</v>
      </c>
      <c r="CH126" s="50" t="b">
        <f aca="false">IF(Configuration!$C$21="No","",IFERROR(IF(OR(N(AS126)&gt;=Configuration!$C$46,N(AT126)&gt;=Configuration!$C$47),TRUE(),FALSE()),FALSE()))</f>
        <v>0</v>
      </c>
      <c r="CI126" s="50" t="b">
        <f aca="false">IF(Configuration!$C$22="No","",IFERROR(IF(BB126="Yes",TRUE(),FALSE()),FALSE()))</f>
        <v>0</v>
      </c>
      <c r="CJ126" s="50" t="b">
        <f aca="false">IF(Configuration!$C$23="No","",IFERROR(IF(N(AV126)&gt;=Configuration!$C$48,TRUE(),FALSE()),FALSE()))</f>
        <v>0</v>
      </c>
      <c r="CK126" s="50" t="b">
        <f aca="false">IF(Configuration!$C$24="No","",IFERROR(IF(N(AY126)&gt;0,TRUE(),FALSE()),FALSE()))</f>
        <v>0</v>
      </c>
      <c r="CL126" s="50" t="b">
        <f aca="false">IF(Configuration!$C$25="No","",IFERROR(IF(OR(N(AP126)=3,N(AP126)&lt;=1),TRUE(),FALSE()),FALSE()))</f>
        <v>1</v>
      </c>
      <c r="CM126" s="50" t="b">
        <f aca="false">IF(Configuration!$C$26="No","",IFERROR(IF(N(BF126)&gt;=Configuration!$C$49,TRUE(),FALSE()),FALSE()))</f>
        <v>0</v>
      </c>
      <c r="CN126" s="50" t="b">
        <f aca="false">IF(Configuration!$C$27="No","",IFERROR(IF(BD126&lt;&gt;"",TRUE(),FALSE()),FALSE()))</f>
        <v>0</v>
      </c>
      <c r="CO126" s="50" t="b">
        <f aca="false">IF(Configuration!$C$28="No","",IFERROR(IF(N(AU126)&gt;=Configuration!$C$50,TRUE(),FALSE()),FALSE()))</f>
        <v>0</v>
      </c>
      <c r="CP126" s="50" t="b">
        <f aca="false">IF(Configuration!$C$29="No","",IFERROR(IF(AND(N(AR126)&gt;=Configuration!$C$51,AG126&lt;&gt;""),TRUE(),FALSE()),FALSE()))</f>
        <v>0</v>
      </c>
      <c r="CQ126" s="50" t="b">
        <f aca="false">IF(Configuration!$C$30="No","",IFERROR(IF(OR(AW126="Pending",AX126="Yes"),TRUE(),FALSE()),FALSE()))</f>
        <v>0</v>
      </c>
      <c r="CR126" s="50" t="b">
        <f aca="false">IF(Configuration!$C$31="No","",IFERROR(IF(AND(N(BG126)&gt;=Configuration!$C$52,N(AP126)&gt;=1),TRUE(),FALSE()),FALSE()))</f>
        <v>0</v>
      </c>
      <c r="CS126" s="50" t="b">
        <f aca="false">IF(Configuration!$C$32="No","",IFERROR(IF(AND(N(AR126)&gt;=1,OR(AG126&lt;&gt;"",AM126&lt;&gt;"")),TRUE(),FALSE()),FALSE()))</f>
        <v>0</v>
      </c>
      <c r="CT126" s="50" t="b">
        <f aca="false">IF(Configuration!$C$33="No","",IFERROR(IF(AG126&lt;&gt;"",TRUE(),FALSE()),FALSE()))</f>
        <v>0</v>
      </c>
      <c r="CU126" s="50" t="b">
        <f aca="false">IF(Configuration!$C$34="No","",IFERROR(IF(AX126="Yes",TRUE(),FALSE()),FALSE()))</f>
        <v>0</v>
      </c>
      <c r="CV126" s="50" t="b">
        <f aca="false">IF(Configuration!$C$35="No","",IFERROR(IF(OR(BO126="Partial",BO126="Full"),TRUE(),FALSE()),FALSE()))</f>
        <v>0</v>
      </c>
      <c r="CW126" s="50" t="b">
        <f aca="false">IF(Configuration!$C$36="No","",IFERROR(IF(BM126="Survived",TRUE(),FALSE()),FALSE()))</f>
        <v>0</v>
      </c>
      <c r="CX126" s="50" t="b">
        <f aca="false">IF(Configuration!$C$37="No","",IFERROR(IF(AND(BN126="Clean",BP126="None"),TRUE(),FALSE()),FALSE()))</f>
        <v>0</v>
      </c>
      <c r="CY126" s="50" t="b">
        <f aca="false">IF(Configuration!$C$38="No","",IFERROR(IF(N(BK126)&gt;=Configuration!$C$53,TRUE(),FALSE()),FALSE()))</f>
        <v>0</v>
      </c>
      <c r="CZ126" s="50" t="b">
        <f aca="false">IF(Configuration!$C$39="No","",IFERROR(IF(AND(N(BS126)&gt;=2,N(BF126)&gt;=2),TRUE(),FALSE()),FALSE()))</f>
        <v>0</v>
      </c>
      <c r="DA126" s="50" t="b">
        <f aca="false">IF(Configuration!$C$40="No","",IFERROR(IF(OR(N(BG126)&lt;=Configuration!$C$56,N(AY126)&lt;Configuration!$C$57,N(BH126)&lt;=Configuration!$C$58),TRUE(),FALSE()),FALSE()))</f>
        <v>1</v>
      </c>
      <c r="DB126" s="50" t="b">
        <f aca="false">IF(Configuration!$C$41="No","",IFERROR(IF(AND(N(AY126)&gt;=Configuration!$C$54,N(AY126)&lt;=Configuration!$C$55),TRUE(),FALSE()),FALSE()))</f>
        <v>0</v>
      </c>
      <c r="DC126" s="50" t="b">
        <f aca="false">IF(Configuration!$C$42="No","",IFERROR(IF(AND(AG126&lt;&gt;"",AJ126&lt;&gt;""),TRUE(),FALSE()),FALSE()))</f>
        <v>0</v>
      </c>
      <c r="DD126" s="51" t="n">
        <f aca="false">COUNTIF(BW126:DC126,TRUE())</f>
        <v>2</v>
      </c>
    </row>
    <row r="127" customFormat="false" ht="15" hidden="false" customHeight="true" outlineLevel="0" collapsed="false">
      <c r="A127" s="18" t="n">
        <v>88</v>
      </c>
      <c r="B127" s="44"/>
      <c r="C127" s="44"/>
      <c r="D127" s="44"/>
      <c r="E127" s="44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6" t="str">
        <f aca="false">IFERROR(IF(F127&lt;&gt;"",F127,""),"")</f>
        <v/>
      </c>
      <c r="AF127" s="46" t="str">
        <f aca="false">IFERROR(IF(G127&lt;&gt;"",G127,""),"")</f>
        <v/>
      </c>
      <c r="AG127" s="46" t="str">
        <f aca="false">IFERROR(IF(AA127&lt;&gt;"",AA127,IF(R127&lt;&gt;"",R127,"")),"")</f>
        <v/>
      </c>
      <c r="AH127" s="46" t="str">
        <f aca="false">IFERROR(IF(AB127&lt;&gt;"",AB127,IF(S127&lt;&gt;"",S127,"")),"")</f>
        <v/>
      </c>
      <c r="AI127" s="47"/>
      <c r="AJ127" s="47"/>
      <c r="AK127" s="47"/>
      <c r="AL127" s="47"/>
      <c r="AM127" s="47"/>
      <c r="AN127" s="47"/>
      <c r="AO127" s="47"/>
      <c r="AP127" s="47"/>
      <c r="AQ127" s="46" t="str">
        <f aca="false">IFERROR(IF(Y127&lt;&gt;"",VALUE(Y127),""),"")</f>
        <v/>
      </c>
      <c r="AR127" s="47"/>
      <c r="AS127" s="47"/>
      <c r="AT127" s="47"/>
      <c r="AU127" s="47"/>
      <c r="AV127" s="46" t="str">
        <f aca="false">IFERROR(IF(T127&lt;&gt;"",VALUE(T127),""),"")</f>
        <v/>
      </c>
      <c r="AW127" s="46" t="str">
        <f aca="false">IFERROR(IF(N127="","",IF(OR(ISNUMBER(SEARCH("grant",N127)),ISNUMBER(SEARCH("B",AC127))),"Granted",IF(OR(ISNUMBER(SEARCH("pend",N127)),ISNUMBER(SEARCH("A",AC127))),"Pending",IF(ISNUMBER(SEARCH("expir",N127)),"Expired",N127)))),"")</f>
        <v/>
      </c>
      <c r="AX127" s="47"/>
      <c r="AY127" s="46" t="str">
        <f aca="true">IFERROR(IF(M127&lt;&gt;"",ROUND(VALUE(M127),1),IF(L127&lt;&gt;"",ROUND(MAX(0,(DATEVALUE(TEXT(L127,"YYYY-MM-DD"))-TODAY())/365.25),1),"")),"")</f>
        <v/>
      </c>
      <c r="AZ127" s="46" t="str">
        <f aca="false">IFERROR(IF(O127&lt;&gt;"",O127,""),"")</f>
        <v/>
      </c>
      <c r="BA127" s="46" t="str">
        <f aca="false">IFERROR(IF(U127&lt;&gt;"",SUBSTITUTE(SUBSTITUTE(U127,"; ",", "),";",","),""),"")</f>
        <v/>
      </c>
      <c r="BB127" s="47"/>
      <c r="BC127" s="47"/>
      <c r="BD127" s="47"/>
      <c r="BE127" s="47"/>
      <c r="BF127" s="47"/>
      <c r="BG127" s="47"/>
      <c r="BH127" s="47"/>
      <c r="BI127" s="47"/>
      <c r="BJ127" s="47"/>
      <c r="BK127" s="46" t="str">
        <f aca="false">IFERROR(IF(W127&lt;&gt;"",VALUE(W127),""),"")</f>
        <v/>
      </c>
      <c r="BL127" s="46" t="str">
        <f aca="false">IFERROR(IF(X127&lt;&gt;"",VALUE(X127),""),"")</f>
        <v/>
      </c>
      <c r="BM127" s="46" t="str">
        <f aca="false">IFERROR(IF(AD127="","None",IF(ISNUMBER(SEARCH("surv",AD127)),"Survived",IF(ISNUMBER(SEARCH("pend",AD127)),"Pending",IF(ISNUMBER(SEARCH("yes",AD127)),"Pending","None")))),"None")</f>
        <v>None</v>
      </c>
      <c r="BN127" s="47"/>
      <c r="BO127" s="47"/>
      <c r="BP127" s="47"/>
      <c r="BQ127" s="47"/>
      <c r="BR127" s="47"/>
      <c r="BS127" s="47"/>
      <c r="BT127" s="47"/>
      <c r="BU127" s="48" t="n">
        <f aca="false">IFERROR(COUNTA(AE127:BT127)/42,0)</f>
        <v>0.30952380952381</v>
      </c>
      <c r="BV127" s="49"/>
      <c r="BW127" s="50" t="b">
        <f aca="false">IF(Configuration!$C$10="No","",IFERROR(IF(AG127&lt;&gt;"",TRUE(),FALSE()),FALSE()))</f>
        <v>0</v>
      </c>
      <c r="BX127" s="50" t="b">
        <f aca="false">IF(Configuration!$C$11="No","",IFERROR(IF(AND(N(AL127)&gt;=Configuration!$C$44,AM127&lt;&gt;""),TRUE(),FALSE()),FALSE()))</f>
        <v>0</v>
      </c>
      <c r="BY127" s="50" t="b">
        <f aca="false">IF(Configuration!$C$12="No","",IFERROR(IF(AJ127&lt;&gt;"",TRUE(),FALSE()),FALSE()))</f>
        <v>0</v>
      </c>
      <c r="BZ127" s="50" t="b">
        <f aca="false">IF(Configuration!$C$13="No","",IFERROR(IF(AI127&lt;&gt;"",TRUE(),FALSE()),FALSE()))</f>
        <v>0</v>
      </c>
      <c r="CA127" s="50" t="b">
        <f aca="false">IF(Configuration!$C$14="No","",IFERROR(IF(AK127&lt;&gt;"",TRUE(),FALSE()),FALSE()))</f>
        <v>0</v>
      </c>
      <c r="CB127" s="50" t="b">
        <f aca="false">IF(Configuration!$C$15="No","",IFERROR(IF(AND(OR(ISNUMBER(SEARCH("process",AG127)),ISNUMBER(SEARCH("fab",AG127)),ISNUMBER(SEARCH("manufac",AG127))),AO127="Method"),TRUE(),FALSE()),FALSE()))</f>
        <v>0</v>
      </c>
      <c r="CC127" s="50" t="b">
        <f aca="false">IF(Configuration!$C$16="No","",IFERROR(IF(AND(OR(ISNUMBER(SEARCH("material",AG127)),ISNUMBER(SEARCH("chem",AG127)),ISNUMBER(SEARCH("battery",AG127)),ISNUMBER(SEARCH("electrolyte",AG127)),ISNUMBER(SEARCH("polymer",AG127))),OR(AO127="Apparatus",AO127="Method")),TRUE(),FALSE()),FALSE()))</f>
        <v>0</v>
      </c>
      <c r="CD127" s="50" t="b">
        <f aca="false">IF(Configuration!$C$17="No","",IFERROR(IF(AND(OR(AI127="App",AI127="Middleware",AI127="Cloud"),OR(AO127="Method",AO127="CRM")),TRUE(),FALSE()),FALSE()))</f>
        <v>0</v>
      </c>
      <c r="CE127" s="50" t="b">
        <f aca="false">IF(Configuration!$C$18="No","",IFERROR(IF(N(AN127)&gt;=Configuration!$C$45,TRUE(),FALSE()),FALSE()))</f>
        <v>0</v>
      </c>
      <c r="CF127" s="50" t="b">
        <f aca="false">IF(Configuration!$C$19="No","",IFERROR(IF(BE127&lt;&gt;"",TRUE(),FALSE()),FALSE()))</f>
        <v>0</v>
      </c>
      <c r="CG127" s="50" t="b">
        <f aca="false">IF(Configuration!$C$20="No","",IFERROR(IF(AO127&lt;&gt;"",TRUE(),FALSE()),FALSE()))</f>
        <v>0</v>
      </c>
      <c r="CH127" s="50" t="b">
        <f aca="false">IF(Configuration!$C$21="No","",IFERROR(IF(OR(N(AS127)&gt;=Configuration!$C$46,N(AT127)&gt;=Configuration!$C$47),TRUE(),FALSE()),FALSE()))</f>
        <v>0</v>
      </c>
      <c r="CI127" s="50" t="b">
        <f aca="false">IF(Configuration!$C$22="No","",IFERROR(IF(BB127="Yes",TRUE(),FALSE()),FALSE()))</f>
        <v>0</v>
      </c>
      <c r="CJ127" s="50" t="b">
        <f aca="false">IF(Configuration!$C$23="No","",IFERROR(IF(N(AV127)&gt;=Configuration!$C$48,TRUE(),FALSE()),FALSE()))</f>
        <v>0</v>
      </c>
      <c r="CK127" s="50" t="b">
        <f aca="false">IF(Configuration!$C$24="No","",IFERROR(IF(N(AY127)&gt;0,TRUE(),FALSE()),FALSE()))</f>
        <v>0</v>
      </c>
      <c r="CL127" s="50" t="b">
        <f aca="false">IF(Configuration!$C$25="No","",IFERROR(IF(OR(N(AP127)=3,N(AP127)&lt;=1),TRUE(),FALSE()),FALSE()))</f>
        <v>1</v>
      </c>
      <c r="CM127" s="50" t="b">
        <f aca="false">IF(Configuration!$C$26="No","",IFERROR(IF(N(BF127)&gt;=Configuration!$C$49,TRUE(),FALSE()),FALSE()))</f>
        <v>0</v>
      </c>
      <c r="CN127" s="50" t="b">
        <f aca="false">IF(Configuration!$C$27="No","",IFERROR(IF(BD127&lt;&gt;"",TRUE(),FALSE()),FALSE()))</f>
        <v>0</v>
      </c>
      <c r="CO127" s="50" t="b">
        <f aca="false">IF(Configuration!$C$28="No","",IFERROR(IF(N(AU127)&gt;=Configuration!$C$50,TRUE(),FALSE()),FALSE()))</f>
        <v>0</v>
      </c>
      <c r="CP127" s="50" t="b">
        <f aca="false">IF(Configuration!$C$29="No","",IFERROR(IF(AND(N(AR127)&gt;=Configuration!$C$51,AG127&lt;&gt;""),TRUE(),FALSE()),FALSE()))</f>
        <v>0</v>
      </c>
      <c r="CQ127" s="50" t="b">
        <f aca="false">IF(Configuration!$C$30="No","",IFERROR(IF(OR(AW127="Pending",AX127="Yes"),TRUE(),FALSE()),FALSE()))</f>
        <v>0</v>
      </c>
      <c r="CR127" s="50" t="b">
        <f aca="false">IF(Configuration!$C$31="No","",IFERROR(IF(AND(N(BG127)&gt;=Configuration!$C$52,N(AP127)&gt;=1),TRUE(),FALSE()),FALSE()))</f>
        <v>0</v>
      </c>
      <c r="CS127" s="50" t="b">
        <f aca="false">IF(Configuration!$C$32="No","",IFERROR(IF(AND(N(AR127)&gt;=1,OR(AG127&lt;&gt;"",AM127&lt;&gt;"")),TRUE(),FALSE()),FALSE()))</f>
        <v>0</v>
      </c>
      <c r="CT127" s="50" t="b">
        <f aca="false">IF(Configuration!$C$33="No","",IFERROR(IF(AG127&lt;&gt;"",TRUE(),FALSE()),FALSE()))</f>
        <v>0</v>
      </c>
      <c r="CU127" s="50" t="b">
        <f aca="false">IF(Configuration!$C$34="No","",IFERROR(IF(AX127="Yes",TRUE(),FALSE()),FALSE()))</f>
        <v>0</v>
      </c>
      <c r="CV127" s="50" t="b">
        <f aca="false">IF(Configuration!$C$35="No","",IFERROR(IF(OR(BO127="Partial",BO127="Full"),TRUE(),FALSE()),FALSE()))</f>
        <v>0</v>
      </c>
      <c r="CW127" s="50" t="b">
        <f aca="false">IF(Configuration!$C$36="No","",IFERROR(IF(BM127="Survived",TRUE(),FALSE()),FALSE()))</f>
        <v>0</v>
      </c>
      <c r="CX127" s="50" t="b">
        <f aca="false">IF(Configuration!$C$37="No","",IFERROR(IF(AND(BN127="Clean",BP127="None"),TRUE(),FALSE()),FALSE()))</f>
        <v>0</v>
      </c>
      <c r="CY127" s="50" t="b">
        <f aca="false">IF(Configuration!$C$38="No","",IFERROR(IF(N(BK127)&gt;=Configuration!$C$53,TRUE(),FALSE()),FALSE()))</f>
        <v>0</v>
      </c>
      <c r="CZ127" s="50" t="b">
        <f aca="false">IF(Configuration!$C$39="No","",IFERROR(IF(AND(N(BS127)&gt;=2,N(BF127)&gt;=2),TRUE(),FALSE()),FALSE()))</f>
        <v>0</v>
      </c>
      <c r="DA127" s="50" t="b">
        <f aca="false">IF(Configuration!$C$40="No","",IFERROR(IF(OR(N(BG127)&lt;=Configuration!$C$56,N(AY127)&lt;Configuration!$C$57,N(BH127)&lt;=Configuration!$C$58),TRUE(),FALSE()),FALSE()))</f>
        <v>1</v>
      </c>
      <c r="DB127" s="50" t="b">
        <f aca="false">IF(Configuration!$C$41="No","",IFERROR(IF(AND(N(AY127)&gt;=Configuration!$C$54,N(AY127)&lt;=Configuration!$C$55),TRUE(),FALSE()),FALSE()))</f>
        <v>0</v>
      </c>
      <c r="DC127" s="50" t="b">
        <f aca="false">IF(Configuration!$C$42="No","",IFERROR(IF(AND(AG127&lt;&gt;"",AJ127&lt;&gt;""),TRUE(),FALSE()),FALSE()))</f>
        <v>0</v>
      </c>
      <c r="DD127" s="51" t="n">
        <f aca="false">COUNTIF(BW127:DC127,TRUE())</f>
        <v>2</v>
      </c>
    </row>
    <row r="128" customFormat="false" ht="15" hidden="false" customHeight="true" outlineLevel="0" collapsed="false">
      <c r="A128" s="18" t="n">
        <v>89</v>
      </c>
      <c r="B128" s="44"/>
      <c r="C128" s="44"/>
      <c r="D128" s="44"/>
      <c r="E128" s="44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6" t="str">
        <f aca="false">IFERROR(IF(F128&lt;&gt;"",F128,""),"")</f>
        <v/>
      </c>
      <c r="AF128" s="46" t="str">
        <f aca="false">IFERROR(IF(G128&lt;&gt;"",G128,""),"")</f>
        <v/>
      </c>
      <c r="AG128" s="46" t="str">
        <f aca="false">IFERROR(IF(AA128&lt;&gt;"",AA128,IF(R128&lt;&gt;"",R128,"")),"")</f>
        <v/>
      </c>
      <c r="AH128" s="46" t="str">
        <f aca="false">IFERROR(IF(AB128&lt;&gt;"",AB128,IF(S128&lt;&gt;"",S128,"")),"")</f>
        <v/>
      </c>
      <c r="AI128" s="47"/>
      <c r="AJ128" s="47"/>
      <c r="AK128" s="47"/>
      <c r="AL128" s="47"/>
      <c r="AM128" s="47"/>
      <c r="AN128" s="47"/>
      <c r="AO128" s="47"/>
      <c r="AP128" s="47"/>
      <c r="AQ128" s="46" t="str">
        <f aca="false">IFERROR(IF(Y128&lt;&gt;"",VALUE(Y128),""),"")</f>
        <v/>
      </c>
      <c r="AR128" s="47"/>
      <c r="AS128" s="47"/>
      <c r="AT128" s="47"/>
      <c r="AU128" s="47"/>
      <c r="AV128" s="46" t="str">
        <f aca="false">IFERROR(IF(T128&lt;&gt;"",VALUE(T128),""),"")</f>
        <v/>
      </c>
      <c r="AW128" s="46" t="str">
        <f aca="false">IFERROR(IF(N128="","",IF(OR(ISNUMBER(SEARCH("grant",N128)),ISNUMBER(SEARCH("B",AC128))),"Granted",IF(OR(ISNUMBER(SEARCH("pend",N128)),ISNUMBER(SEARCH("A",AC128))),"Pending",IF(ISNUMBER(SEARCH("expir",N128)),"Expired",N128)))),"")</f>
        <v/>
      </c>
      <c r="AX128" s="47"/>
      <c r="AY128" s="46" t="str">
        <f aca="true">IFERROR(IF(M128&lt;&gt;"",ROUND(VALUE(M128),1),IF(L128&lt;&gt;"",ROUND(MAX(0,(DATEVALUE(TEXT(L128,"YYYY-MM-DD"))-TODAY())/365.25),1),"")),"")</f>
        <v/>
      </c>
      <c r="AZ128" s="46" t="str">
        <f aca="false">IFERROR(IF(O128&lt;&gt;"",O128,""),"")</f>
        <v/>
      </c>
      <c r="BA128" s="46" t="str">
        <f aca="false">IFERROR(IF(U128&lt;&gt;"",SUBSTITUTE(SUBSTITUTE(U128,"; ",", "),";",","),""),"")</f>
        <v/>
      </c>
      <c r="BB128" s="47"/>
      <c r="BC128" s="47"/>
      <c r="BD128" s="47"/>
      <c r="BE128" s="47"/>
      <c r="BF128" s="47"/>
      <c r="BG128" s="47"/>
      <c r="BH128" s="47"/>
      <c r="BI128" s="47"/>
      <c r="BJ128" s="47"/>
      <c r="BK128" s="46" t="str">
        <f aca="false">IFERROR(IF(W128&lt;&gt;"",VALUE(W128),""),"")</f>
        <v/>
      </c>
      <c r="BL128" s="46" t="str">
        <f aca="false">IFERROR(IF(X128&lt;&gt;"",VALUE(X128),""),"")</f>
        <v/>
      </c>
      <c r="BM128" s="46" t="str">
        <f aca="false">IFERROR(IF(AD128="","None",IF(ISNUMBER(SEARCH("surv",AD128)),"Survived",IF(ISNUMBER(SEARCH("pend",AD128)),"Pending",IF(ISNUMBER(SEARCH("yes",AD128)),"Pending","None")))),"None")</f>
        <v>None</v>
      </c>
      <c r="BN128" s="47"/>
      <c r="BO128" s="47"/>
      <c r="BP128" s="47"/>
      <c r="BQ128" s="47"/>
      <c r="BR128" s="47"/>
      <c r="BS128" s="47"/>
      <c r="BT128" s="47"/>
      <c r="BU128" s="48" t="n">
        <f aca="false">IFERROR(COUNTA(AE128:BT128)/42,0)</f>
        <v>0.30952380952381</v>
      </c>
      <c r="BV128" s="49"/>
      <c r="BW128" s="50" t="b">
        <f aca="false">IF(Configuration!$C$10="No","",IFERROR(IF(AG128&lt;&gt;"",TRUE(),FALSE()),FALSE()))</f>
        <v>0</v>
      </c>
      <c r="BX128" s="50" t="b">
        <f aca="false">IF(Configuration!$C$11="No","",IFERROR(IF(AND(N(AL128)&gt;=Configuration!$C$44,AM128&lt;&gt;""),TRUE(),FALSE()),FALSE()))</f>
        <v>0</v>
      </c>
      <c r="BY128" s="50" t="b">
        <f aca="false">IF(Configuration!$C$12="No","",IFERROR(IF(AJ128&lt;&gt;"",TRUE(),FALSE()),FALSE()))</f>
        <v>0</v>
      </c>
      <c r="BZ128" s="50" t="b">
        <f aca="false">IF(Configuration!$C$13="No","",IFERROR(IF(AI128&lt;&gt;"",TRUE(),FALSE()),FALSE()))</f>
        <v>0</v>
      </c>
      <c r="CA128" s="50" t="b">
        <f aca="false">IF(Configuration!$C$14="No","",IFERROR(IF(AK128&lt;&gt;"",TRUE(),FALSE()),FALSE()))</f>
        <v>0</v>
      </c>
      <c r="CB128" s="50" t="b">
        <f aca="false">IF(Configuration!$C$15="No","",IFERROR(IF(AND(OR(ISNUMBER(SEARCH("process",AG128)),ISNUMBER(SEARCH("fab",AG128)),ISNUMBER(SEARCH("manufac",AG128))),AO128="Method"),TRUE(),FALSE()),FALSE()))</f>
        <v>0</v>
      </c>
      <c r="CC128" s="50" t="b">
        <f aca="false">IF(Configuration!$C$16="No","",IFERROR(IF(AND(OR(ISNUMBER(SEARCH("material",AG128)),ISNUMBER(SEARCH("chem",AG128)),ISNUMBER(SEARCH("battery",AG128)),ISNUMBER(SEARCH("electrolyte",AG128)),ISNUMBER(SEARCH("polymer",AG128))),OR(AO128="Apparatus",AO128="Method")),TRUE(),FALSE()),FALSE()))</f>
        <v>0</v>
      </c>
      <c r="CD128" s="50" t="b">
        <f aca="false">IF(Configuration!$C$17="No","",IFERROR(IF(AND(OR(AI128="App",AI128="Middleware",AI128="Cloud"),OR(AO128="Method",AO128="CRM")),TRUE(),FALSE()),FALSE()))</f>
        <v>0</v>
      </c>
      <c r="CE128" s="50" t="b">
        <f aca="false">IF(Configuration!$C$18="No","",IFERROR(IF(N(AN128)&gt;=Configuration!$C$45,TRUE(),FALSE()),FALSE()))</f>
        <v>0</v>
      </c>
      <c r="CF128" s="50" t="b">
        <f aca="false">IF(Configuration!$C$19="No","",IFERROR(IF(BE128&lt;&gt;"",TRUE(),FALSE()),FALSE()))</f>
        <v>0</v>
      </c>
      <c r="CG128" s="50" t="b">
        <f aca="false">IF(Configuration!$C$20="No","",IFERROR(IF(AO128&lt;&gt;"",TRUE(),FALSE()),FALSE()))</f>
        <v>0</v>
      </c>
      <c r="CH128" s="50" t="b">
        <f aca="false">IF(Configuration!$C$21="No","",IFERROR(IF(OR(N(AS128)&gt;=Configuration!$C$46,N(AT128)&gt;=Configuration!$C$47),TRUE(),FALSE()),FALSE()))</f>
        <v>0</v>
      </c>
      <c r="CI128" s="50" t="b">
        <f aca="false">IF(Configuration!$C$22="No","",IFERROR(IF(BB128="Yes",TRUE(),FALSE()),FALSE()))</f>
        <v>0</v>
      </c>
      <c r="CJ128" s="50" t="b">
        <f aca="false">IF(Configuration!$C$23="No","",IFERROR(IF(N(AV128)&gt;=Configuration!$C$48,TRUE(),FALSE()),FALSE()))</f>
        <v>0</v>
      </c>
      <c r="CK128" s="50" t="b">
        <f aca="false">IF(Configuration!$C$24="No","",IFERROR(IF(N(AY128)&gt;0,TRUE(),FALSE()),FALSE()))</f>
        <v>0</v>
      </c>
      <c r="CL128" s="50" t="b">
        <f aca="false">IF(Configuration!$C$25="No","",IFERROR(IF(OR(N(AP128)=3,N(AP128)&lt;=1),TRUE(),FALSE()),FALSE()))</f>
        <v>1</v>
      </c>
      <c r="CM128" s="50" t="b">
        <f aca="false">IF(Configuration!$C$26="No","",IFERROR(IF(N(BF128)&gt;=Configuration!$C$49,TRUE(),FALSE()),FALSE()))</f>
        <v>0</v>
      </c>
      <c r="CN128" s="50" t="b">
        <f aca="false">IF(Configuration!$C$27="No","",IFERROR(IF(BD128&lt;&gt;"",TRUE(),FALSE()),FALSE()))</f>
        <v>0</v>
      </c>
      <c r="CO128" s="50" t="b">
        <f aca="false">IF(Configuration!$C$28="No","",IFERROR(IF(N(AU128)&gt;=Configuration!$C$50,TRUE(),FALSE()),FALSE()))</f>
        <v>0</v>
      </c>
      <c r="CP128" s="50" t="b">
        <f aca="false">IF(Configuration!$C$29="No","",IFERROR(IF(AND(N(AR128)&gt;=Configuration!$C$51,AG128&lt;&gt;""),TRUE(),FALSE()),FALSE()))</f>
        <v>0</v>
      </c>
      <c r="CQ128" s="50" t="b">
        <f aca="false">IF(Configuration!$C$30="No","",IFERROR(IF(OR(AW128="Pending",AX128="Yes"),TRUE(),FALSE()),FALSE()))</f>
        <v>0</v>
      </c>
      <c r="CR128" s="50" t="b">
        <f aca="false">IF(Configuration!$C$31="No","",IFERROR(IF(AND(N(BG128)&gt;=Configuration!$C$52,N(AP128)&gt;=1),TRUE(),FALSE()),FALSE()))</f>
        <v>0</v>
      </c>
      <c r="CS128" s="50" t="b">
        <f aca="false">IF(Configuration!$C$32="No","",IFERROR(IF(AND(N(AR128)&gt;=1,OR(AG128&lt;&gt;"",AM128&lt;&gt;"")),TRUE(),FALSE()),FALSE()))</f>
        <v>0</v>
      </c>
      <c r="CT128" s="50" t="b">
        <f aca="false">IF(Configuration!$C$33="No","",IFERROR(IF(AG128&lt;&gt;"",TRUE(),FALSE()),FALSE()))</f>
        <v>0</v>
      </c>
      <c r="CU128" s="50" t="b">
        <f aca="false">IF(Configuration!$C$34="No","",IFERROR(IF(AX128="Yes",TRUE(),FALSE()),FALSE()))</f>
        <v>0</v>
      </c>
      <c r="CV128" s="50" t="b">
        <f aca="false">IF(Configuration!$C$35="No","",IFERROR(IF(OR(BO128="Partial",BO128="Full"),TRUE(),FALSE()),FALSE()))</f>
        <v>0</v>
      </c>
      <c r="CW128" s="50" t="b">
        <f aca="false">IF(Configuration!$C$36="No","",IFERROR(IF(BM128="Survived",TRUE(),FALSE()),FALSE()))</f>
        <v>0</v>
      </c>
      <c r="CX128" s="50" t="b">
        <f aca="false">IF(Configuration!$C$37="No","",IFERROR(IF(AND(BN128="Clean",BP128="None"),TRUE(),FALSE()),FALSE()))</f>
        <v>0</v>
      </c>
      <c r="CY128" s="50" t="b">
        <f aca="false">IF(Configuration!$C$38="No","",IFERROR(IF(N(BK128)&gt;=Configuration!$C$53,TRUE(),FALSE()),FALSE()))</f>
        <v>0</v>
      </c>
      <c r="CZ128" s="50" t="b">
        <f aca="false">IF(Configuration!$C$39="No","",IFERROR(IF(AND(N(BS128)&gt;=2,N(BF128)&gt;=2),TRUE(),FALSE()),FALSE()))</f>
        <v>0</v>
      </c>
      <c r="DA128" s="50" t="b">
        <f aca="false">IF(Configuration!$C$40="No","",IFERROR(IF(OR(N(BG128)&lt;=Configuration!$C$56,N(AY128)&lt;Configuration!$C$57,N(BH128)&lt;=Configuration!$C$58),TRUE(),FALSE()),FALSE()))</f>
        <v>1</v>
      </c>
      <c r="DB128" s="50" t="b">
        <f aca="false">IF(Configuration!$C$41="No","",IFERROR(IF(AND(N(AY128)&gt;=Configuration!$C$54,N(AY128)&lt;=Configuration!$C$55),TRUE(),FALSE()),FALSE()))</f>
        <v>0</v>
      </c>
      <c r="DC128" s="50" t="b">
        <f aca="false">IF(Configuration!$C$42="No","",IFERROR(IF(AND(AG128&lt;&gt;"",AJ128&lt;&gt;""),TRUE(),FALSE()),FALSE()))</f>
        <v>0</v>
      </c>
      <c r="DD128" s="51" t="n">
        <f aca="false">COUNTIF(BW128:DC128,TRUE())</f>
        <v>2</v>
      </c>
    </row>
    <row r="129" customFormat="false" ht="15" hidden="false" customHeight="true" outlineLevel="0" collapsed="false">
      <c r="A129" s="18" t="n">
        <v>90</v>
      </c>
      <c r="B129" s="44"/>
      <c r="C129" s="44"/>
      <c r="D129" s="44"/>
      <c r="E129" s="44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6" t="str">
        <f aca="false">IFERROR(IF(F129&lt;&gt;"",F129,""),"")</f>
        <v/>
      </c>
      <c r="AF129" s="46" t="str">
        <f aca="false">IFERROR(IF(G129&lt;&gt;"",G129,""),"")</f>
        <v/>
      </c>
      <c r="AG129" s="46" t="str">
        <f aca="false">IFERROR(IF(AA129&lt;&gt;"",AA129,IF(R129&lt;&gt;"",R129,"")),"")</f>
        <v/>
      </c>
      <c r="AH129" s="46" t="str">
        <f aca="false">IFERROR(IF(AB129&lt;&gt;"",AB129,IF(S129&lt;&gt;"",S129,"")),"")</f>
        <v/>
      </c>
      <c r="AI129" s="47"/>
      <c r="AJ129" s="47"/>
      <c r="AK129" s="47"/>
      <c r="AL129" s="47"/>
      <c r="AM129" s="47"/>
      <c r="AN129" s="47"/>
      <c r="AO129" s="47"/>
      <c r="AP129" s="47"/>
      <c r="AQ129" s="46" t="str">
        <f aca="false">IFERROR(IF(Y129&lt;&gt;"",VALUE(Y129),""),"")</f>
        <v/>
      </c>
      <c r="AR129" s="47"/>
      <c r="AS129" s="47"/>
      <c r="AT129" s="47"/>
      <c r="AU129" s="47"/>
      <c r="AV129" s="46" t="str">
        <f aca="false">IFERROR(IF(T129&lt;&gt;"",VALUE(T129),""),"")</f>
        <v/>
      </c>
      <c r="AW129" s="46" t="str">
        <f aca="false">IFERROR(IF(N129="","",IF(OR(ISNUMBER(SEARCH("grant",N129)),ISNUMBER(SEARCH("B",AC129))),"Granted",IF(OR(ISNUMBER(SEARCH("pend",N129)),ISNUMBER(SEARCH("A",AC129))),"Pending",IF(ISNUMBER(SEARCH("expir",N129)),"Expired",N129)))),"")</f>
        <v/>
      </c>
      <c r="AX129" s="47"/>
      <c r="AY129" s="46" t="str">
        <f aca="true">IFERROR(IF(M129&lt;&gt;"",ROUND(VALUE(M129),1),IF(L129&lt;&gt;"",ROUND(MAX(0,(DATEVALUE(TEXT(L129,"YYYY-MM-DD"))-TODAY())/365.25),1),"")),"")</f>
        <v/>
      </c>
      <c r="AZ129" s="46" t="str">
        <f aca="false">IFERROR(IF(O129&lt;&gt;"",O129,""),"")</f>
        <v/>
      </c>
      <c r="BA129" s="46" t="str">
        <f aca="false">IFERROR(IF(U129&lt;&gt;"",SUBSTITUTE(SUBSTITUTE(U129,"; ",", "),";",","),""),"")</f>
        <v/>
      </c>
      <c r="BB129" s="47"/>
      <c r="BC129" s="47"/>
      <c r="BD129" s="47"/>
      <c r="BE129" s="47"/>
      <c r="BF129" s="47"/>
      <c r="BG129" s="47"/>
      <c r="BH129" s="47"/>
      <c r="BI129" s="47"/>
      <c r="BJ129" s="47"/>
      <c r="BK129" s="46" t="str">
        <f aca="false">IFERROR(IF(W129&lt;&gt;"",VALUE(W129),""),"")</f>
        <v/>
      </c>
      <c r="BL129" s="46" t="str">
        <f aca="false">IFERROR(IF(X129&lt;&gt;"",VALUE(X129),""),"")</f>
        <v/>
      </c>
      <c r="BM129" s="46" t="str">
        <f aca="false">IFERROR(IF(AD129="","None",IF(ISNUMBER(SEARCH("surv",AD129)),"Survived",IF(ISNUMBER(SEARCH("pend",AD129)),"Pending",IF(ISNUMBER(SEARCH("yes",AD129)),"Pending","None")))),"None")</f>
        <v>None</v>
      </c>
      <c r="BN129" s="47"/>
      <c r="BO129" s="47"/>
      <c r="BP129" s="47"/>
      <c r="BQ129" s="47"/>
      <c r="BR129" s="47"/>
      <c r="BS129" s="47"/>
      <c r="BT129" s="47"/>
      <c r="BU129" s="48" t="n">
        <f aca="false">IFERROR(COUNTA(AE129:BT129)/42,0)</f>
        <v>0.30952380952381</v>
      </c>
      <c r="BV129" s="49"/>
      <c r="BW129" s="50" t="b">
        <f aca="false">IF(Configuration!$C$10="No","",IFERROR(IF(AG129&lt;&gt;"",TRUE(),FALSE()),FALSE()))</f>
        <v>0</v>
      </c>
      <c r="BX129" s="50" t="b">
        <f aca="false">IF(Configuration!$C$11="No","",IFERROR(IF(AND(N(AL129)&gt;=Configuration!$C$44,AM129&lt;&gt;""),TRUE(),FALSE()),FALSE()))</f>
        <v>0</v>
      </c>
      <c r="BY129" s="50" t="b">
        <f aca="false">IF(Configuration!$C$12="No","",IFERROR(IF(AJ129&lt;&gt;"",TRUE(),FALSE()),FALSE()))</f>
        <v>0</v>
      </c>
      <c r="BZ129" s="50" t="b">
        <f aca="false">IF(Configuration!$C$13="No","",IFERROR(IF(AI129&lt;&gt;"",TRUE(),FALSE()),FALSE()))</f>
        <v>0</v>
      </c>
      <c r="CA129" s="50" t="b">
        <f aca="false">IF(Configuration!$C$14="No","",IFERROR(IF(AK129&lt;&gt;"",TRUE(),FALSE()),FALSE()))</f>
        <v>0</v>
      </c>
      <c r="CB129" s="50" t="b">
        <f aca="false">IF(Configuration!$C$15="No","",IFERROR(IF(AND(OR(ISNUMBER(SEARCH("process",AG129)),ISNUMBER(SEARCH("fab",AG129)),ISNUMBER(SEARCH("manufac",AG129))),AO129="Method"),TRUE(),FALSE()),FALSE()))</f>
        <v>0</v>
      </c>
      <c r="CC129" s="50" t="b">
        <f aca="false">IF(Configuration!$C$16="No","",IFERROR(IF(AND(OR(ISNUMBER(SEARCH("material",AG129)),ISNUMBER(SEARCH("chem",AG129)),ISNUMBER(SEARCH("battery",AG129)),ISNUMBER(SEARCH("electrolyte",AG129)),ISNUMBER(SEARCH("polymer",AG129))),OR(AO129="Apparatus",AO129="Method")),TRUE(),FALSE()),FALSE()))</f>
        <v>0</v>
      </c>
      <c r="CD129" s="50" t="b">
        <f aca="false">IF(Configuration!$C$17="No","",IFERROR(IF(AND(OR(AI129="App",AI129="Middleware",AI129="Cloud"),OR(AO129="Method",AO129="CRM")),TRUE(),FALSE()),FALSE()))</f>
        <v>0</v>
      </c>
      <c r="CE129" s="50" t="b">
        <f aca="false">IF(Configuration!$C$18="No","",IFERROR(IF(N(AN129)&gt;=Configuration!$C$45,TRUE(),FALSE()),FALSE()))</f>
        <v>0</v>
      </c>
      <c r="CF129" s="50" t="b">
        <f aca="false">IF(Configuration!$C$19="No","",IFERROR(IF(BE129&lt;&gt;"",TRUE(),FALSE()),FALSE()))</f>
        <v>0</v>
      </c>
      <c r="CG129" s="50" t="b">
        <f aca="false">IF(Configuration!$C$20="No","",IFERROR(IF(AO129&lt;&gt;"",TRUE(),FALSE()),FALSE()))</f>
        <v>0</v>
      </c>
      <c r="CH129" s="50" t="b">
        <f aca="false">IF(Configuration!$C$21="No","",IFERROR(IF(OR(N(AS129)&gt;=Configuration!$C$46,N(AT129)&gt;=Configuration!$C$47),TRUE(),FALSE()),FALSE()))</f>
        <v>0</v>
      </c>
      <c r="CI129" s="50" t="b">
        <f aca="false">IF(Configuration!$C$22="No","",IFERROR(IF(BB129="Yes",TRUE(),FALSE()),FALSE()))</f>
        <v>0</v>
      </c>
      <c r="CJ129" s="50" t="b">
        <f aca="false">IF(Configuration!$C$23="No","",IFERROR(IF(N(AV129)&gt;=Configuration!$C$48,TRUE(),FALSE()),FALSE()))</f>
        <v>0</v>
      </c>
      <c r="CK129" s="50" t="b">
        <f aca="false">IF(Configuration!$C$24="No","",IFERROR(IF(N(AY129)&gt;0,TRUE(),FALSE()),FALSE()))</f>
        <v>0</v>
      </c>
      <c r="CL129" s="50" t="b">
        <f aca="false">IF(Configuration!$C$25="No","",IFERROR(IF(OR(N(AP129)=3,N(AP129)&lt;=1),TRUE(),FALSE()),FALSE()))</f>
        <v>1</v>
      </c>
      <c r="CM129" s="50" t="b">
        <f aca="false">IF(Configuration!$C$26="No","",IFERROR(IF(N(BF129)&gt;=Configuration!$C$49,TRUE(),FALSE()),FALSE()))</f>
        <v>0</v>
      </c>
      <c r="CN129" s="50" t="b">
        <f aca="false">IF(Configuration!$C$27="No","",IFERROR(IF(BD129&lt;&gt;"",TRUE(),FALSE()),FALSE()))</f>
        <v>0</v>
      </c>
      <c r="CO129" s="50" t="b">
        <f aca="false">IF(Configuration!$C$28="No","",IFERROR(IF(N(AU129)&gt;=Configuration!$C$50,TRUE(),FALSE()),FALSE()))</f>
        <v>0</v>
      </c>
      <c r="CP129" s="50" t="b">
        <f aca="false">IF(Configuration!$C$29="No","",IFERROR(IF(AND(N(AR129)&gt;=Configuration!$C$51,AG129&lt;&gt;""),TRUE(),FALSE()),FALSE()))</f>
        <v>0</v>
      </c>
      <c r="CQ129" s="50" t="b">
        <f aca="false">IF(Configuration!$C$30="No","",IFERROR(IF(OR(AW129="Pending",AX129="Yes"),TRUE(),FALSE()),FALSE()))</f>
        <v>0</v>
      </c>
      <c r="CR129" s="50" t="b">
        <f aca="false">IF(Configuration!$C$31="No","",IFERROR(IF(AND(N(BG129)&gt;=Configuration!$C$52,N(AP129)&gt;=1),TRUE(),FALSE()),FALSE()))</f>
        <v>0</v>
      </c>
      <c r="CS129" s="50" t="b">
        <f aca="false">IF(Configuration!$C$32="No","",IFERROR(IF(AND(N(AR129)&gt;=1,OR(AG129&lt;&gt;"",AM129&lt;&gt;"")),TRUE(),FALSE()),FALSE()))</f>
        <v>0</v>
      </c>
      <c r="CT129" s="50" t="b">
        <f aca="false">IF(Configuration!$C$33="No","",IFERROR(IF(AG129&lt;&gt;"",TRUE(),FALSE()),FALSE()))</f>
        <v>0</v>
      </c>
      <c r="CU129" s="50" t="b">
        <f aca="false">IF(Configuration!$C$34="No","",IFERROR(IF(AX129="Yes",TRUE(),FALSE()),FALSE()))</f>
        <v>0</v>
      </c>
      <c r="CV129" s="50" t="b">
        <f aca="false">IF(Configuration!$C$35="No","",IFERROR(IF(OR(BO129="Partial",BO129="Full"),TRUE(),FALSE()),FALSE()))</f>
        <v>0</v>
      </c>
      <c r="CW129" s="50" t="b">
        <f aca="false">IF(Configuration!$C$36="No","",IFERROR(IF(BM129="Survived",TRUE(),FALSE()),FALSE()))</f>
        <v>0</v>
      </c>
      <c r="CX129" s="50" t="b">
        <f aca="false">IF(Configuration!$C$37="No","",IFERROR(IF(AND(BN129="Clean",BP129="None"),TRUE(),FALSE()),FALSE()))</f>
        <v>0</v>
      </c>
      <c r="CY129" s="50" t="b">
        <f aca="false">IF(Configuration!$C$38="No","",IFERROR(IF(N(BK129)&gt;=Configuration!$C$53,TRUE(),FALSE()),FALSE()))</f>
        <v>0</v>
      </c>
      <c r="CZ129" s="50" t="b">
        <f aca="false">IF(Configuration!$C$39="No","",IFERROR(IF(AND(N(BS129)&gt;=2,N(BF129)&gt;=2),TRUE(),FALSE()),FALSE()))</f>
        <v>0</v>
      </c>
      <c r="DA129" s="50" t="b">
        <f aca="false">IF(Configuration!$C$40="No","",IFERROR(IF(OR(N(BG129)&lt;=Configuration!$C$56,N(AY129)&lt;Configuration!$C$57,N(BH129)&lt;=Configuration!$C$58),TRUE(),FALSE()),FALSE()))</f>
        <v>1</v>
      </c>
      <c r="DB129" s="50" t="b">
        <f aca="false">IF(Configuration!$C$41="No","",IFERROR(IF(AND(N(AY129)&gt;=Configuration!$C$54,N(AY129)&lt;=Configuration!$C$55),TRUE(),FALSE()),FALSE()))</f>
        <v>0</v>
      </c>
      <c r="DC129" s="50" t="b">
        <f aca="false">IF(Configuration!$C$42="No","",IFERROR(IF(AND(AG129&lt;&gt;"",AJ129&lt;&gt;""),TRUE(),FALSE()),FALSE()))</f>
        <v>0</v>
      </c>
      <c r="DD129" s="51" t="n">
        <f aca="false">COUNTIF(BW129:DC129,TRUE())</f>
        <v>2</v>
      </c>
    </row>
    <row r="130" customFormat="false" ht="15" hidden="false" customHeight="true" outlineLevel="0" collapsed="false">
      <c r="A130" s="18" t="n">
        <v>91</v>
      </c>
      <c r="B130" s="44"/>
      <c r="C130" s="44"/>
      <c r="D130" s="44"/>
      <c r="E130" s="44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6" t="str">
        <f aca="false">IFERROR(IF(F130&lt;&gt;"",F130,""),"")</f>
        <v/>
      </c>
      <c r="AF130" s="46" t="str">
        <f aca="false">IFERROR(IF(G130&lt;&gt;"",G130,""),"")</f>
        <v/>
      </c>
      <c r="AG130" s="46" t="str">
        <f aca="false">IFERROR(IF(AA130&lt;&gt;"",AA130,IF(R130&lt;&gt;"",R130,"")),"")</f>
        <v/>
      </c>
      <c r="AH130" s="46" t="str">
        <f aca="false">IFERROR(IF(AB130&lt;&gt;"",AB130,IF(S130&lt;&gt;"",S130,"")),"")</f>
        <v/>
      </c>
      <c r="AI130" s="47"/>
      <c r="AJ130" s="47"/>
      <c r="AK130" s="47"/>
      <c r="AL130" s="47"/>
      <c r="AM130" s="47"/>
      <c r="AN130" s="47"/>
      <c r="AO130" s="47"/>
      <c r="AP130" s="47"/>
      <c r="AQ130" s="46" t="str">
        <f aca="false">IFERROR(IF(Y130&lt;&gt;"",VALUE(Y130),""),"")</f>
        <v/>
      </c>
      <c r="AR130" s="47"/>
      <c r="AS130" s="47"/>
      <c r="AT130" s="47"/>
      <c r="AU130" s="47"/>
      <c r="AV130" s="46" t="str">
        <f aca="false">IFERROR(IF(T130&lt;&gt;"",VALUE(T130),""),"")</f>
        <v/>
      </c>
      <c r="AW130" s="46" t="str">
        <f aca="false">IFERROR(IF(N130="","",IF(OR(ISNUMBER(SEARCH("grant",N130)),ISNUMBER(SEARCH("B",AC130))),"Granted",IF(OR(ISNUMBER(SEARCH("pend",N130)),ISNUMBER(SEARCH("A",AC130))),"Pending",IF(ISNUMBER(SEARCH("expir",N130)),"Expired",N130)))),"")</f>
        <v/>
      </c>
      <c r="AX130" s="47"/>
      <c r="AY130" s="46" t="str">
        <f aca="true">IFERROR(IF(M130&lt;&gt;"",ROUND(VALUE(M130),1),IF(L130&lt;&gt;"",ROUND(MAX(0,(DATEVALUE(TEXT(L130,"YYYY-MM-DD"))-TODAY())/365.25),1),"")),"")</f>
        <v/>
      </c>
      <c r="AZ130" s="46" t="str">
        <f aca="false">IFERROR(IF(O130&lt;&gt;"",O130,""),"")</f>
        <v/>
      </c>
      <c r="BA130" s="46" t="str">
        <f aca="false">IFERROR(IF(U130&lt;&gt;"",SUBSTITUTE(SUBSTITUTE(U130,"; ",", "),";",","),""),"")</f>
        <v/>
      </c>
      <c r="BB130" s="47"/>
      <c r="BC130" s="47"/>
      <c r="BD130" s="47"/>
      <c r="BE130" s="47"/>
      <c r="BF130" s="47"/>
      <c r="BG130" s="47"/>
      <c r="BH130" s="47"/>
      <c r="BI130" s="47"/>
      <c r="BJ130" s="47"/>
      <c r="BK130" s="46" t="str">
        <f aca="false">IFERROR(IF(W130&lt;&gt;"",VALUE(W130),""),"")</f>
        <v/>
      </c>
      <c r="BL130" s="46" t="str">
        <f aca="false">IFERROR(IF(X130&lt;&gt;"",VALUE(X130),""),"")</f>
        <v/>
      </c>
      <c r="BM130" s="46" t="str">
        <f aca="false">IFERROR(IF(AD130="","None",IF(ISNUMBER(SEARCH("surv",AD130)),"Survived",IF(ISNUMBER(SEARCH("pend",AD130)),"Pending",IF(ISNUMBER(SEARCH("yes",AD130)),"Pending","None")))),"None")</f>
        <v>None</v>
      </c>
      <c r="BN130" s="47"/>
      <c r="BO130" s="47"/>
      <c r="BP130" s="47"/>
      <c r="BQ130" s="47"/>
      <c r="BR130" s="47"/>
      <c r="BS130" s="47"/>
      <c r="BT130" s="47"/>
      <c r="BU130" s="48" t="n">
        <f aca="false">IFERROR(COUNTA(AE130:BT130)/42,0)</f>
        <v>0.30952380952381</v>
      </c>
      <c r="BV130" s="49"/>
      <c r="BW130" s="50" t="b">
        <f aca="false">IF(Configuration!$C$10="No","",IFERROR(IF(AG130&lt;&gt;"",TRUE(),FALSE()),FALSE()))</f>
        <v>0</v>
      </c>
      <c r="BX130" s="50" t="b">
        <f aca="false">IF(Configuration!$C$11="No","",IFERROR(IF(AND(N(AL130)&gt;=Configuration!$C$44,AM130&lt;&gt;""),TRUE(),FALSE()),FALSE()))</f>
        <v>0</v>
      </c>
      <c r="BY130" s="50" t="b">
        <f aca="false">IF(Configuration!$C$12="No","",IFERROR(IF(AJ130&lt;&gt;"",TRUE(),FALSE()),FALSE()))</f>
        <v>0</v>
      </c>
      <c r="BZ130" s="50" t="b">
        <f aca="false">IF(Configuration!$C$13="No","",IFERROR(IF(AI130&lt;&gt;"",TRUE(),FALSE()),FALSE()))</f>
        <v>0</v>
      </c>
      <c r="CA130" s="50" t="b">
        <f aca="false">IF(Configuration!$C$14="No","",IFERROR(IF(AK130&lt;&gt;"",TRUE(),FALSE()),FALSE()))</f>
        <v>0</v>
      </c>
      <c r="CB130" s="50" t="b">
        <f aca="false">IF(Configuration!$C$15="No","",IFERROR(IF(AND(OR(ISNUMBER(SEARCH("process",AG130)),ISNUMBER(SEARCH("fab",AG130)),ISNUMBER(SEARCH("manufac",AG130))),AO130="Method"),TRUE(),FALSE()),FALSE()))</f>
        <v>0</v>
      </c>
      <c r="CC130" s="50" t="b">
        <f aca="false">IF(Configuration!$C$16="No","",IFERROR(IF(AND(OR(ISNUMBER(SEARCH("material",AG130)),ISNUMBER(SEARCH("chem",AG130)),ISNUMBER(SEARCH("battery",AG130)),ISNUMBER(SEARCH("electrolyte",AG130)),ISNUMBER(SEARCH("polymer",AG130))),OR(AO130="Apparatus",AO130="Method")),TRUE(),FALSE()),FALSE()))</f>
        <v>0</v>
      </c>
      <c r="CD130" s="50" t="b">
        <f aca="false">IF(Configuration!$C$17="No","",IFERROR(IF(AND(OR(AI130="App",AI130="Middleware",AI130="Cloud"),OR(AO130="Method",AO130="CRM")),TRUE(),FALSE()),FALSE()))</f>
        <v>0</v>
      </c>
      <c r="CE130" s="50" t="b">
        <f aca="false">IF(Configuration!$C$18="No","",IFERROR(IF(N(AN130)&gt;=Configuration!$C$45,TRUE(),FALSE()),FALSE()))</f>
        <v>0</v>
      </c>
      <c r="CF130" s="50" t="b">
        <f aca="false">IF(Configuration!$C$19="No","",IFERROR(IF(BE130&lt;&gt;"",TRUE(),FALSE()),FALSE()))</f>
        <v>0</v>
      </c>
      <c r="CG130" s="50" t="b">
        <f aca="false">IF(Configuration!$C$20="No","",IFERROR(IF(AO130&lt;&gt;"",TRUE(),FALSE()),FALSE()))</f>
        <v>0</v>
      </c>
      <c r="CH130" s="50" t="b">
        <f aca="false">IF(Configuration!$C$21="No","",IFERROR(IF(OR(N(AS130)&gt;=Configuration!$C$46,N(AT130)&gt;=Configuration!$C$47),TRUE(),FALSE()),FALSE()))</f>
        <v>0</v>
      </c>
      <c r="CI130" s="50" t="b">
        <f aca="false">IF(Configuration!$C$22="No","",IFERROR(IF(BB130="Yes",TRUE(),FALSE()),FALSE()))</f>
        <v>0</v>
      </c>
      <c r="CJ130" s="50" t="b">
        <f aca="false">IF(Configuration!$C$23="No","",IFERROR(IF(N(AV130)&gt;=Configuration!$C$48,TRUE(),FALSE()),FALSE()))</f>
        <v>0</v>
      </c>
      <c r="CK130" s="50" t="b">
        <f aca="false">IF(Configuration!$C$24="No","",IFERROR(IF(N(AY130)&gt;0,TRUE(),FALSE()),FALSE()))</f>
        <v>0</v>
      </c>
      <c r="CL130" s="50" t="b">
        <f aca="false">IF(Configuration!$C$25="No","",IFERROR(IF(OR(N(AP130)=3,N(AP130)&lt;=1),TRUE(),FALSE()),FALSE()))</f>
        <v>1</v>
      </c>
      <c r="CM130" s="50" t="b">
        <f aca="false">IF(Configuration!$C$26="No","",IFERROR(IF(N(BF130)&gt;=Configuration!$C$49,TRUE(),FALSE()),FALSE()))</f>
        <v>0</v>
      </c>
      <c r="CN130" s="50" t="b">
        <f aca="false">IF(Configuration!$C$27="No","",IFERROR(IF(BD130&lt;&gt;"",TRUE(),FALSE()),FALSE()))</f>
        <v>0</v>
      </c>
      <c r="CO130" s="50" t="b">
        <f aca="false">IF(Configuration!$C$28="No","",IFERROR(IF(N(AU130)&gt;=Configuration!$C$50,TRUE(),FALSE()),FALSE()))</f>
        <v>0</v>
      </c>
      <c r="CP130" s="50" t="b">
        <f aca="false">IF(Configuration!$C$29="No","",IFERROR(IF(AND(N(AR130)&gt;=Configuration!$C$51,AG130&lt;&gt;""),TRUE(),FALSE()),FALSE()))</f>
        <v>0</v>
      </c>
      <c r="CQ130" s="50" t="b">
        <f aca="false">IF(Configuration!$C$30="No","",IFERROR(IF(OR(AW130="Pending",AX130="Yes"),TRUE(),FALSE()),FALSE()))</f>
        <v>0</v>
      </c>
      <c r="CR130" s="50" t="b">
        <f aca="false">IF(Configuration!$C$31="No","",IFERROR(IF(AND(N(BG130)&gt;=Configuration!$C$52,N(AP130)&gt;=1),TRUE(),FALSE()),FALSE()))</f>
        <v>0</v>
      </c>
      <c r="CS130" s="50" t="b">
        <f aca="false">IF(Configuration!$C$32="No","",IFERROR(IF(AND(N(AR130)&gt;=1,OR(AG130&lt;&gt;"",AM130&lt;&gt;"")),TRUE(),FALSE()),FALSE()))</f>
        <v>0</v>
      </c>
      <c r="CT130" s="50" t="b">
        <f aca="false">IF(Configuration!$C$33="No","",IFERROR(IF(AG130&lt;&gt;"",TRUE(),FALSE()),FALSE()))</f>
        <v>0</v>
      </c>
      <c r="CU130" s="50" t="b">
        <f aca="false">IF(Configuration!$C$34="No","",IFERROR(IF(AX130="Yes",TRUE(),FALSE()),FALSE()))</f>
        <v>0</v>
      </c>
      <c r="CV130" s="50" t="b">
        <f aca="false">IF(Configuration!$C$35="No","",IFERROR(IF(OR(BO130="Partial",BO130="Full"),TRUE(),FALSE()),FALSE()))</f>
        <v>0</v>
      </c>
      <c r="CW130" s="50" t="b">
        <f aca="false">IF(Configuration!$C$36="No","",IFERROR(IF(BM130="Survived",TRUE(),FALSE()),FALSE()))</f>
        <v>0</v>
      </c>
      <c r="CX130" s="50" t="b">
        <f aca="false">IF(Configuration!$C$37="No","",IFERROR(IF(AND(BN130="Clean",BP130="None"),TRUE(),FALSE()),FALSE()))</f>
        <v>0</v>
      </c>
      <c r="CY130" s="50" t="b">
        <f aca="false">IF(Configuration!$C$38="No","",IFERROR(IF(N(BK130)&gt;=Configuration!$C$53,TRUE(),FALSE()),FALSE()))</f>
        <v>0</v>
      </c>
      <c r="CZ130" s="50" t="b">
        <f aca="false">IF(Configuration!$C$39="No","",IFERROR(IF(AND(N(BS130)&gt;=2,N(BF130)&gt;=2),TRUE(),FALSE()),FALSE()))</f>
        <v>0</v>
      </c>
      <c r="DA130" s="50" t="b">
        <f aca="false">IF(Configuration!$C$40="No","",IFERROR(IF(OR(N(BG130)&lt;=Configuration!$C$56,N(AY130)&lt;Configuration!$C$57,N(BH130)&lt;=Configuration!$C$58),TRUE(),FALSE()),FALSE()))</f>
        <v>1</v>
      </c>
      <c r="DB130" s="50" t="b">
        <f aca="false">IF(Configuration!$C$41="No","",IFERROR(IF(AND(N(AY130)&gt;=Configuration!$C$54,N(AY130)&lt;=Configuration!$C$55),TRUE(),FALSE()),FALSE()))</f>
        <v>0</v>
      </c>
      <c r="DC130" s="50" t="b">
        <f aca="false">IF(Configuration!$C$42="No","",IFERROR(IF(AND(AG130&lt;&gt;"",AJ130&lt;&gt;""),TRUE(),FALSE()),FALSE()))</f>
        <v>0</v>
      </c>
      <c r="DD130" s="51" t="n">
        <f aca="false">COUNTIF(BW130:DC130,TRUE())</f>
        <v>2</v>
      </c>
    </row>
    <row r="131" customFormat="false" ht="15" hidden="false" customHeight="true" outlineLevel="0" collapsed="false">
      <c r="A131" s="18" t="n">
        <v>92</v>
      </c>
      <c r="B131" s="44"/>
      <c r="C131" s="44"/>
      <c r="D131" s="44"/>
      <c r="E131" s="44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6" t="str">
        <f aca="false">IFERROR(IF(F131&lt;&gt;"",F131,""),"")</f>
        <v/>
      </c>
      <c r="AF131" s="46" t="str">
        <f aca="false">IFERROR(IF(G131&lt;&gt;"",G131,""),"")</f>
        <v/>
      </c>
      <c r="AG131" s="46" t="str">
        <f aca="false">IFERROR(IF(AA131&lt;&gt;"",AA131,IF(R131&lt;&gt;"",R131,"")),"")</f>
        <v/>
      </c>
      <c r="AH131" s="46" t="str">
        <f aca="false">IFERROR(IF(AB131&lt;&gt;"",AB131,IF(S131&lt;&gt;"",S131,"")),"")</f>
        <v/>
      </c>
      <c r="AI131" s="47"/>
      <c r="AJ131" s="47"/>
      <c r="AK131" s="47"/>
      <c r="AL131" s="47"/>
      <c r="AM131" s="47"/>
      <c r="AN131" s="47"/>
      <c r="AO131" s="47"/>
      <c r="AP131" s="47"/>
      <c r="AQ131" s="46" t="str">
        <f aca="false">IFERROR(IF(Y131&lt;&gt;"",VALUE(Y131),""),"")</f>
        <v/>
      </c>
      <c r="AR131" s="47"/>
      <c r="AS131" s="47"/>
      <c r="AT131" s="47"/>
      <c r="AU131" s="47"/>
      <c r="AV131" s="46" t="str">
        <f aca="false">IFERROR(IF(T131&lt;&gt;"",VALUE(T131),""),"")</f>
        <v/>
      </c>
      <c r="AW131" s="46" t="str">
        <f aca="false">IFERROR(IF(N131="","",IF(OR(ISNUMBER(SEARCH("grant",N131)),ISNUMBER(SEARCH("B",AC131))),"Granted",IF(OR(ISNUMBER(SEARCH("pend",N131)),ISNUMBER(SEARCH("A",AC131))),"Pending",IF(ISNUMBER(SEARCH("expir",N131)),"Expired",N131)))),"")</f>
        <v/>
      </c>
      <c r="AX131" s="47"/>
      <c r="AY131" s="46" t="str">
        <f aca="true">IFERROR(IF(M131&lt;&gt;"",ROUND(VALUE(M131),1),IF(L131&lt;&gt;"",ROUND(MAX(0,(DATEVALUE(TEXT(L131,"YYYY-MM-DD"))-TODAY())/365.25),1),"")),"")</f>
        <v/>
      </c>
      <c r="AZ131" s="46" t="str">
        <f aca="false">IFERROR(IF(O131&lt;&gt;"",O131,""),"")</f>
        <v/>
      </c>
      <c r="BA131" s="46" t="str">
        <f aca="false">IFERROR(IF(U131&lt;&gt;"",SUBSTITUTE(SUBSTITUTE(U131,"; ",", "),";",","),""),"")</f>
        <v/>
      </c>
      <c r="BB131" s="47"/>
      <c r="BC131" s="47"/>
      <c r="BD131" s="47"/>
      <c r="BE131" s="47"/>
      <c r="BF131" s="47"/>
      <c r="BG131" s="47"/>
      <c r="BH131" s="47"/>
      <c r="BI131" s="47"/>
      <c r="BJ131" s="47"/>
      <c r="BK131" s="46" t="str">
        <f aca="false">IFERROR(IF(W131&lt;&gt;"",VALUE(W131),""),"")</f>
        <v/>
      </c>
      <c r="BL131" s="46" t="str">
        <f aca="false">IFERROR(IF(X131&lt;&gt;"",VALUE(X131),""),"")</f>
        <v/>
      </c>
      <c r="BM131" s="46" t="str">
        <f aca="false">IFERROR(IF(AD131="","None",IF(ISNUMBER(SEARCH("surv",AD131)),"Survived",IF(ISNUMBER(SEARCH("pend",AD131)),"Pending",IF(ISNUMBER(SEARCH("yes",AD131)),"Pending","None")))),"None")</f>
        <v>None</v>
      </c>
      <c r="BN131" s="47"/>
      <c r="BO131" s="47"/>
      <c r="BP131" s="47"/>
      <c r="BQ131" s="47"/>
      <c r="BR131" s="47"/>
      <c r="BS131" s="47"/>
      <c r="BT131" s="47"/>
      <c r="BU131" s="48" t="n">
        <f aca="false">IFERROR(COUNTA(AE131:BT131)/42,0)</f>
        <v>0.30952380952381</v>
      </c>
      <c r="BV131" s="49"/>
      <c r="BW131" s="50" t="b">
        <f aca="false">IF(Configuration!$C$10="No","",IFERROR(IF(AG131&lt;&gt;"",TRUE(),FALSE()),FALSE()))</f>
        <v>0</v>
      </c>
      <c r="BX131" s="50" t="b">
        <f aca="false">IF(Configuration!$C$11="No","",IFERROR(IF(AND(N(AL131)&gt;=Configuration!$C$44,AM131&lt;&gt;""),TRUE(),FALSE()),FALSE()))</f>
        <v>0</v>
      </c>
      <c r="BY131" s="50" t="b">
        <f aca="false">IF(Configuration!$C$12="No","",IFERROR(IF(AJ131&lt;&gt;"",TRUE(),FALSE()),FALSE()))</f>
        <v>0</v>
      </c>
      <c r="BZ131" s="50" t="b">
        <f aca="false">IF(Configuration!$C$13="No","",IFERROR(IF(AI131&lt;&gt;"",TRUE(),FALSE()),FALSE()))</f>
        <v>0</v>
      </c>
      <c r="CA131" s="50" t="b">
        <f aca="false">IF(Configuration!$C$14="No","",IFERROR(IF(AK131&lt;&gt;"",TRUE(),FALSE()),FALSE()))</f>
        <v>0</v>
      </c>
      <c r="CB131" s="50" t="b">
        <f aca="false">IF(Configuration!$C$15="No","",IFERROR(IF(AND(OR(ISNUMBER(SEARCH("process",AG131)),ISNUMBER(SEARCH("fab",AG131)),ISNUMBER(SEARCH("manufac",AG131))),AO131="Method"),TRUE(),FALSE()),FALSE()))</f>
        <v>0</v>
      </c>
      <c r="CC131" s="50" t="b">
        <f aca="false">IF(Configuration!$C$16="No","",IFERROR(IF(AND(OR(ISNUMBER(SEARCH("material",AG131)),ISNUMBER(SEARCH("chem",AG131)),ISNUMBER(SEARCH("battery",AG131)),ISNUMBER(SEARCH("electrolyte",AG131)),ISNUMBER(SEARCH("polymer",AG131))),OR(AO131="Apparatus",AO131="Method")),TRUE(),FALSE()),FALSE()))</f>
        <v>0</v>
      </c>
      <c r="CD131" s="50" t="b">
        <f aca="false">IF(Configuration!$C$17="No","",IFERROR(IF(AND(OR(AI131="App",AI131="Middleware",AI131="Cloud"),OR(AO131="Method",AO131="CRM")),TRUE(),FALSE()),FALSE()))</f>
        <v>0</v>
      </c>
      <c r="CE131" s="50" t="b">
        <f aca="false">IF(Configuration!$C$18="No","",IFERROR(IF(N(AN131)&gt;=Configuration!$C$45,TRUE(),FALSE()),FALSE()))</f>
        <v>0</v>
      </c>
      <c r="CF131" s="50" t="b">
        <f aca="false">IF(Configuration!$C$19="No","",IFERROR(IF(BE131&lt;&gt;"",TRUE(),FALSE()),FALSE()))</f>
        <v>0</v>
      </c>
      <c r="CG131" s="50" t="b">
        <f aca="false">IF(Configuration!$C$20="No","",IFERROR(IF(AO131&lt;&gt;"",TRUE(),FALSE()),FALSE()))</f>
        <v>0</v>
      </c>
      <c r="CH131" s="50" t="b">
        <f aca="false">IF(Configuration!$C$21="No","",IFERROR(IF(OR(N(AS131)&gt;=Configuration!$C$46,N(AT131)&gt;=Configuration!$C$47),TRUE(),FALSE()),FALSE()))</f>
        <v>0</v>
      </c>
      <c r="CI131" s="50" t="b">
        <f aca="false">IF(Configuration!$C$22="No","",IFERROR(IF(BB131="Yes",TRUE(),FALSE()),FALSE()))</f>
        <v>0</v>
      </c>
      <c r="CJ131" s="50" t="b">
        <f aca="false">IF(Configuration!$C$23="No","",IFERROR(IF(N(AV131)&gt;=Configuration!$C$48,TRUE(),FALSE()),FALSE()))</f>
        <v>0</v>
      </c>
      <c r="CK131" s="50" t="b">
        <f aca="false">IF(Configuration!$C$24="No","",IFERROR(IF(N(AY131)&gt;0,TRUE(),FALSE()),FALSE()))</f>
        <v>0</v>
      </c>
      <c r="CL131" s="50" t="b">
        <f aca="false">IF(Configuration!$C$25="No","",IFERROR(IF(OR(N(AP131)=3,N(AP131)&lt;=1),TRUE(),FALSE()),FALSE()))</f>
        <v>1</v>
      </c>
      <c r="CM131" s="50" t="b">
        <f aca="false">IF(Configuration!$C$26="No","",IFERROR(IF(N(BF131)&gt;=Configuration!$C$49,TRUE(),FALSE()),FALSE()))</f>
        <v>0</v>
      </c>
      <c r="CN131" s="50" t="b">
        <f aca="false">IF(Configuration!$C$27="No","",IFERROR(IF(BD131&lt;&gt;"",TRUE(),FALSE()),FALSE()))</f>
        <v>0</v>
      </c>
      <c r="CO131" s="50" t="b">
        <f aca="false">IF(Configuration!$C$28="No","",IFERROR(IF(N(AU131)&gt;=Configuration!$C$50,TRUE(),FALSE()),FALSE()))</f>
        <v>0</v>
      </c>
      <c r="CP131" s="50" t="b">
        <f aca="false">IF(Configuration!$C$29="No","",IFERROR(IF(AND(N(AR131)&gt;=Configuration!$C$51,AG131&lt;&gt;""),TRUE(),FALSE()),FALSE()))</f>
        <v>0</v>
      </c>
      <c r="CQ131" s="50" t="b">
        <f aca="false">IF(Configuration!$C$30="No","",IFERROR(IF(OR(AW131="Pending",AX131="Yes"),TRUE(),FALSE()),FALSE()))</f>
        <v>0</v>
      </c>
      <c r="CR131" s="50" t="b">
        <f aca="false">IF(Configuration!$C$31="No","",IFERROR(IF(AND(N(BG131)&gt;=Configuration!$C$52,N(AP131)&gt;=1),TRUE(),FALSE()),FALSE()))</f>
        <v>0</v>
      </c>
      <c r="CS131" s="50" t="b">
        <f aca="false">IF(Configuration!$C$32="No","",IFERROR(IF(AND(N(AR131)&gt;=1,OR(AG131&lt;&gt;"",AM131&lt;&gt;"")),TRUE(),FALSE()),FALSE()))</f>
        <v>0</v>
      </c>
      <c r="CT131" s="50" t="b">
        <f aca="false">IF(Configuration!$C$33="No","",IFERROR(IF(AG131&lt;&gt;"",TRUE(),FALSE()),FALSE()))</f>
        <v>0</v>
      </c>
      <c r="CU131" s="50" t="b">
        <f aca="false">IF(Configuration!$C$34="No","",IFERROR(IF(AX131="Yes",TRUE(),FALSE()),FALSE()))</f>
        <v>0</v>
      </c>
      <c r="CV131" s="50" t="b">
        <f aca="false">IF(Configuration!$C$35="No","",IFERROR(IF(OR(BO131="Partial",BO131="Full"),TRUE(),FALSE()),FALSE()))</f>
        <v>0</v>
      </c>
      <c r="CW131" s="50" t="b">
        <f aca="false">IF(Configuration!$C$36="No","",IFERROR(IF(BM131="Survived",TRUE(),FALSE()),FALSE()))</f>
        <v>0</v>
      </c>
      <c r="CX131" s="50" t="b">
        <f aca="false">IF(Configuration!$C$37="No","",IFERROR(IF(AND(BN131="Clean",BP131="None"),TRUE(),FALSE()),FALSE()))</f>
        <v>0</v>
      </c>
      <c r="CY131" s="50" t="b">
        <f aca="false">IF(Configuration!$C$38="No","",IFERROR(IF(N(BK131)&gt;=Configuration!$C$53,TRUE(),FALSE()),FALSE()))</f>
        <v>0</v>
      </c>
      <c r="CZ131" s="50" t="b">
        <f aca="false">IF(Configuration!$C$39="No","",IFERROR(IF(AND(N(BS131)&gt;=2,N(BF131)&gt;=2),TRUE(),FALSE()),FALSE()))</f>
        <v>0</v>
      </c>
      <c r="DA131" s="50" t="b">
        <f aca="false">IF(Configuration!$C$40="No","",IFERROR(IF(OR(N(BG131)&lt;=Configuration!$C$56,N(AY131)&lt;Configuration!$C$57,N(BH131)&lt;=Configuration!$C$58),TRUE(),FALSE()),FALSE()))</f>
        <v>1</v>
      </c>
      <c r="DB131" s="50" t="b">
        <f aca="false">IF(Configuration!$C$41="No","",IFERROR(IF(AND(N(AY131)&gt;=Configuration!$C$54,N(AY131)&lt;=Configuration!$C$55),TRUE(),FALSE()),FALSE()))</f>
        <v>0</v>
      </c>
      <c r="DC131" s="50" t="b">
        <f aca="false">IF(Configuration!$C$42="No","",IFERROR(IF(AND(AG131&lt;&gt;"",AJ131&lt;&gt;""),TRUE(),FALSE()),FALSE()))</f>
        <v>0</v>
      </c>
      <c r="DD131" s="51" t="n">
        <f aca="false">COUNTIF(BW131:DC131,TRUE())</f>
        <v>2</v>
      </c>
    </row>
    <row r="132" customFormat="false" ht="15" hidden="false" customHeight="true" outlineLevel="0" collapsed="false">
      <c r="A132" s="18" t="n">
        <v>93</v>
      </c>
      <c r="B132" s="44"/>
      <c r="C132" s="44"/>
      <c r="D132" s="44"/>
      <c r="E132" s="44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6" t="str">
        <f aca="false">IFERROR(IF(F132&lt;&gt;"",F132,""),"")</f>
        <v/>
      </c>
      <c r="AF132" s="46" t="str">
        <f aca="false">IFERROR(IF(G132&lt;&gt;"",G132,""),"")</f>
        <v/>
      </c>
      <c r="AG132" s="46" t="str">
        <f aca="false">IFERROR(IF(AA132&lt;&gt;"",AA132,IF(R132&lt;&gt;"",R132,"")),"")</f>
        <v/>
      </c>
      <c r="AH132" s="46" t="str">
        <f aca="false">IFERROR(IF(AB132&lt;&gt;"",AB132,IF(S132&lt;&gt;"",S132,"")),"")</f>
        <v/>
      </c>
      <c r="AI132" s="47"/>
      <c r="AJ132" s="47"/>
      <c r="AK132" s="47"/>
      <c r="AL132" s="47"/>
      <c r="AM132" s="47"/>
      <c r="AN132" s="47"/>
      <c r="AO132" s="47"/>
      <c r="AP132" s="47"/>
      <c r="AQ132" s="46" t="str">
        <f aca="false">IFERROR(IF(Y132&lt;&gt;"",VALUE(Y132),""),"")</f>
        <v/>
      </c>
      <c r="AR132" s="47"/>
      <c r="AS132" s="47"/>
      <c r="AT132" s="47"/>
      <c r="AU132" s="47"/>
      <c r="AV132" s="46" t="str">
        <f aca="false">IFERROR(IF(T132&lt;&gt;"",VALUE(T132),""),"")</f>
        <v/>
      </c>
      <c r="AW132" s="46" t="str">
        <f aca="false">IFERROR(IF(N132="","",IF(OR(ISNUMBER(SEARCH("grant",N132)),ISNUMBER(SEARCH("B",AC132))),"Granted",IF(OR(ISNUMBER(SEARCH("pend",N132)),ISNUMBER(SEARCH("A",AC132))),"Pending",IF(ISNUMBER(SEARCH("expir",N132)),"Expired",N132)))),"")</f>
        <v/>
      </c>
      <c r="AX132" s="47"/>
      <c r="AY132" s="46" t="str">
        <f aca="true">IFERROR(IF(M132&lt;&gt;"",ROUND(VALUE(M132),1),IF(L132&lt;&gt;"",ROUND(MAX(0,(DATEVALUE(TEXT(L132,"YYYY-MM-DD"))-TODAY())/365.25),1),"")),"")</f>
        <v/>
      </c>
      <c r="AZ132" s="46" t="str">
        <f aca="false">IFERROR(IF(O132&lt;&gt;"",O132,""),"")</f>
        <v/>
      </c>
      <c r="BA132" s="46" t="str">
        <f aca="false">IFERROR(IF(U132&lt;&gt;"",SUBSTITUTE(SUBSTITUTE(U132,"; ",", "),";",","),""),"")</f>
        <v/>
      </c>
      <c r="BB132" s="47"/>
      <c r="BC132" s="47"/>
      <c r="BD132" s="47"/>
      <c r="BE132" s="47"/>
      <c r="BF132" s="47"/>
      <c r="BG132" s="47"/>
      <c r="BH132" s="47"/>
      <c r="BI132" s="47"/>
      <c r="BJ132" s="47"/>
      <c r="BK132" s="46" t="str">
        <f aca="false">IFERROR(IF(W132&lt;&gt;"",VALUE(W132),""),"")</f>
        <v/>
      </c>
      <c r="BL132" s="46" t="str">
        <f aca="false">IFERROR(IF(X132&lt;&gt;"",VALUE(X132),""),"")</f>
        <v/>
      </c>
      <c r="BM132" s="46" t="str">
        <f aca="false">IFERROR(IF(AD132="","None",IF(ISNUMBER(SEARCH("surv",AD132)),"Survived",IF(ISNUMBER(SEARCH("pend",AD132)),"Pending",IF(ISNUMBER(SEARCH("yes",AD132)),"Pending","None")))),"None")</f>
        <v>None</v>
      </c>
      <c r="BN132" s="47"/>
      <c r="BO132" s="47"/>
      <c r="BP132" s="47"/>
      <c r="BQ132" s="47"/>
      <c r="BR132" s="47"/>
      <c r="BS132" s="47"/>
      <c r="BT132" s="47"/>
      <c r="BU132" s="48" t="n">
        <f aca="false">IFERROR(COUNTA(AE132:BT132)/42,0)</f>
        <v>0.30952380952381</v>
      </c>
      <c r="BV132" s="49"/>
      <c r="BW132" s="50" t="b">
        <f aca="false">IF(Configuration!$C$10="No","",IFERROR(IF(AG132&lt;&gt;"",TRUE(),FALSE()),FALSE()))</f>
        <v>0</v>
      </c>
      <c r="BX132" s="50" t="b">
        <f aca="false">IF(Configuration!$C$11="No","",IFERROR(IF(AND(N(AL132)&gt;=Configuration!$C$44,AM132&lt;&gt;""),TRUE(),FALSE()),FALSE()))</f>
        <v>0</v>
      </c>
      <c r="BY132" s="50" t="b">
        <f aca="false">IF(Configuration!$C$12="No","",IFERROR(IF(AJ132&lt;&gt;"",TRUE(),FALSE()),FALSE()))</f>
        <v>0</v>
      </c>
      <c r="BZ132" s="50" t="b">
        <f aca="false">IF(Configuration!$C$13="No","",IFERROR(IF(AI132&lt;&gt;"",TRUE(),FALSE()),FALSE()))</f>
        <v>0</v>
      </c>
      <c r="CA132" s="50" t="b">
        <f aca="false">IF(Configuration!$C$14="No","",IFERROR(IF(AK132&lt;&gt;"",TRUE(),FALSE()),FALSE()))</f>
        <v>0</v>
      </c>
      <c r="CB132" s="50" t="b">
        <f aca="false">IF(Configuration!$C$15="No","",IFERROR(IF(AND(OR(ISNUMBER(SEARCH("process",AG132)),ISNUMBER(SEARCH("fab",AG132)),ISNUMBER(SEARCH("manufac",AG132))),AO132="Method"),TRUE(),FALSE()),FALSE()))</f>
        <v>0</v>
      </c>
      <c r="CC132" s="50" t="b">
        <f aca="false">IF(Configuration!$C$16="No","",IFERROR(IF(AND(OR(ISNUMBER(SEARCH("material",AG132)),ISNUMBER(SEARCH("chem",AG132)),ISNUMBER(SEARCH("battery",AG132)),ISNUMBER(SEARCH("electrolyte",AG132)),ISNUMBER(SEARCH("polymer",AG132))),OR(AO132="Apparatus",AO132="Method")),TRUE(),FALSE()),FALSE()))</f>
        <v>0</v>
      </c>
      <c r="CD132" s="50" t="b">
        <f aca="false">IF(Configuration!$C$17="No","",IFERROR(IF(AND(OR(AI132="App",AI132="Middleware",AI132="Cloud"),OR(AO132="Method",AO132="CRM")),TRUE(),FALSE()),FALSE()))</f>
        <v>0</v>
      </c>
      <c r="CE132" s="50" t="b">
        <f aca="false">IF(Configuration!$C$18="No","",IFERROR(IF(N(AN132)&gt;=Configuration!$C$45,TRUE(),FALSE()),FALSE()))</f>
        <v>0</v>
      </c>
      <c r="CF132" s="50" t="b">
        <f aca="false">IF(Configuration!$C$19="No","",IFERROR(IF(BE132&lt;&gt;"",TRUE(),FALSE()),FALSE()))</f>
        <v>0</v>
      </c>
      <c r="CG132" s="50" t="b">
        <f aca="false">IF(Configuration!$C$20="No","",IFERROR(IF(AO132&lt;&gt;"",TRUE(),FALSE()),FALSE()))</f>
        <v>0</v>
      </c>
      <c r="CH132" s="50" t="b">
        <f aca="false">IF(Configuration!$C$21="No","",IFERROR(IF(OR(N(AS132)&gt;=Configuration!$C$46,N(AT132)&gt;=Configuration!$C$47),TRUE(),FALSE()),FALSE()))</f>
        <v>0</v>
      </c>
      <c r="CI132" s="50" t="b">
        <f aca="false">IF(Configuration!$C$22="No","",IFERROR(IF(BB132="Yes",TRUE(),FALSE()),FALSE()))</f>
        <v>0</v>
      </c>
      <c r="CJ132" s="50" t="b">
        <f aca="false">IF(Configuration!$C$23="No","",IFERROR(IF(N(AV132)&gt;=Configuration!$C$48,TRUE(),FALSE()),FALSE()))</f>
        <v>0</v>
      </c>
      <c r="CK132" s="50" t="b">
        <f aca="false">IF(Configuration!$C$24="No","",IFERROR(IF(N(AY132)&gt;0,TRUE(),FALSE()),FALSE()))</f>
        <v>0</v>
      </c>
      <c r="CL132" s="50" t="b">
        <f aca="false">IF(Configuration!$C$25="No","",IFERROR(IF(OR(N(AP132)=3,N(AP132)&lt;=1),TRUE(),FALSE()),FALSE()))</f>
        <v>1</v>
      </c>
      <c r="CM132" s="50" t="b">
        <f aca="false">IF(Configuration!$C$26="No","",IFERROR(IF(N(BF132)&gt;=Configuration!$C$49,TRUE(),FALSE()),FALSE()))</f>
        <v>0</v>
      </c>
      <c r="CN132" s="50" t="b">
        <f aca="false">IF(Configuration!$C$27="No","",IFERROR(IF(BD132&lt;&gt;"",TRUE(),FALSE()),FALSE()))</f>
        <v>0</v>
      </c>
      <c r="CO132" s="50" t="b">
        <f aca="false">IF(Configuration!$C$28="No","",IFERROR(IF(N(AU132)&gt;=Configuration!$C$50,TRUE(),FALSE()),FALSE()))</f>
        <v>0</v>
      </c>
      <c r="CP132" s="50" t="b">
        <f aca="false">IF(Configuration!$C$29="No","",IFERROR(IF(AND(N(AR132)&gt;=Configuration!$C$51,AG132&lt;&gt;""),TRUE(),FALSE()),FALSE()))</f>
        <v>0</v>
      </c>
      <c r="CQ132" s="50" t="b">
        <f aca="false">IF(Configuration!$C$30="No","",IFERROR(IF(OR(AW132="Pending",AX132="Yes"),TRUE(),FALSE()),FALSE()))</f>
        <v>0</v>
      </c>
      <c r="CR132" s="50" t="b">
        <f aca="false">IF(Configuration!$C$31="No","",IFERROR(IF(AND(N(BG132)&gt;=Configuration!$C$52,N(AP132)&gt;=1),TRUE(),FALSE()),FALSE()))</f>
        <v>0</v>
      </c>
      <c r="CS132" s="50" t="b">
        <f aca="false">IF(Configuration!$C$32="No","",IFERROR(IF(AND(N(AR132)&gt;=1,OR(AG132&lt;&gt;"",AM132&lt;&gt;"")),TRUE(),FALSE()),FALSE()))</f>
        <v>0</v>
      </c>
      <c r="CT132" s="50" t="b">
        <f aca="false">IF(Configuration!$C$33="No","",IFERROR(IF(AG132&lt;&gt;"",TRUE(),FALSE()),FALSE()))</f>
        <v>0</v>
      </c>
      <c r="CU132" s="50" t="b">
        <f aca="false">IF(Configuration!$C$34="No","",IFERROR(IF(AX132="Yes",TRUE(),FALSE()),FALSE()))</f>
        <v>0</v>
      </c>
      <c r="CV132" s="50" t="b">
        <f aca="false">IF(Configuration!$C$35="No","",IFERROR(IF(OR(BO132="Partial",BO132="Full"),TRUE(),FALSE()),FALSE()))</f>
        <v>0</v>
      </c>
      <c r="CW132" s="50" t="b">
        <f aca="false">IF(Configuration!$C$36="No","",IFERROR(IF(BM132="Survived",TRUE(),FALSE()),FALSE()))</f>
        <v>0</v>
      </c>
      <c r="CX132" s="50" t="b">
        <f aca="false">IF(Configuration!$C$37="No","",IFERROR(IF(AND(BN132="Clean",BP132="None"),TRUE(),FALSE()),FALSE()))</f>
        <v>0</v>
      </c>
      <c r="CY132" s="50" t="b">
        <f aca="false">IF(Configuration!$C$38="No","",IFERROR(IF(N(BK132)&gt;=Configuration!$C$53,TRUE(),FALSE()),FALSE()))</f>
        <v>0</v>
      </c>
      <c r="CZ132" s="50" t="b">
        <f aca="false">IF(Configuration!$C$39="No","",IFERROR(IF(AND(N(BS132)&gt;=2,N(BF132)&gt;=2),TRUE(),FALSE()),FALSE()))</f>
        <v>0</v>
      </c>
      <c r="DA132" s="50" t="b">
        <f aca="false">IF(Configuration!$C$40="No","",IFERROR(IF(OR(N(BG132)&lt;=Configuration!$C$56,N(AY132)&lt;Configuration!$C$57,N(BH132)&lt;=Configuration!$C$58),TRUE(),FALSE()),FALSE()))</f>
        <v>1</v>
      </c>
      <c r="DB132" s="50" t="b">
        <f aca="false">IF(Configuration!$C$41="No","",IFERROR(IF(AND(N(AY132)&gt;=Configuration!$C$54,N(AY132)&lt;=Configuration!$C$55),TRUE(),FALSE()),FALSE()))</f>
        <v>0</v>
      </c>
      <c r="DC132" s="50" t="b">
        <f aca="false">IF(Configuration!$C$42="No","",IFERROR(IF(AND(AG132&lt;&gt;"",AJ132&lt;&gt;""),TRUE(),FALSE()),FALSE()))</f>
        <v>0</v>
      </c>
      <c r="DD132" s="51" t="n">
        <f aca="false">COUNTIF(BW132:DC132,TRUE())</f>
        <v>2</v>
      </c>
    </row>
    <row r="133" customFormat="false" ht="15" hidden="false" customHeight="true" outlineLevel="0" collapsed="false">
      <c r="A133" s="18" t="n">
        <v>94</v>
      </c>
      <c r="B133" s="44"/>
      <c r="C133" s="44"/>
      <c r="D133" s="44"/>
      <c r="E133" s="44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6" t="str">
        <f aca="false">IFERROR(IF(F133&lt;&gt;"",F133,""),"")</f>
        <v/>
      </c>
      <c r="AF133" s="46" t="str">
        <f aca="false">IFERROR(IF(G133&lt;&gt;"",G133,""),"")</f>
        <v/>
      </c>
      <c r="AG133" s="46" t="str">
        <f aca="false">IFERROR(IF(AA133&lt;&gt;"",AA133,IF(R133&lt;&gt;"",R133,"")),"")</f>
        <v/>
      </c>
      <c r="AH133" s="46" t="str">
        <f aca="false">IFERROR(IF(AB133&lt;&gt;"",AB133,IF(S133&lt;&gt;"",S133,"")),"")</f>
        <v/>
      </c>
      <c r="AI133" s="47"/>
      <c r="AJ133" s="47"/>
      <c r="AK133" s="47"/>
      <c r="AL133" s="47"/>
      <c r="AM133" s="47"/>
      <c r="AN133" s="47"/>
      <c r="AO133" s="47"/>
      <c r="AP133" s="47"/>
      <c r="AQ133" s="46" t="str">
        <f aca="false">IFERROR(IF(Y133&lt;&gt;"",VALUE(Y133),""),"")</f>
        <v/>
      </c>
      <c r="AR133" s="47"/>
      <c r="AS133" s="47"/>
      <c r="AT133" s="47"/>
      <c r="AU133" s="47"/>
      <c r="AV133" s="46" t="str">
        <f aca="false">IFERROR(IF(T133&lt;&gt;"",VALUE(T133),""),"")</f>
        <v/>
      </c>
      <c r="AW133" s="46" t="str">
        <f aca="false">IFERROR(IF(N133="","",IF(OR(ISNUMBER(SEARCH("grant",N133)),ISNUMBER(SEARCH("B",AC133))),"Granted",IF(OR(ISNUMBER(SEARCH("pend",N133)),ISNUMBER(SEARCH("A",AC133))),"Pending",IF(ISNUMBER(SEARCH("expir",N133)),"Expired",N133)))),"")</f>
        <v/>
      </c>
      <c r="AX133" s="47"/>
      <c r="AY133" s="46" t="str">
        <f aca="true">IFERROR(IF(M133&lt;&gt;"",ROUND(VALUE(M133),1),IF(L133&lt;&gt;"",ROUND(MAX(0,(DATEVALUE(TEXT(L133,"YYYY-MM-DD"))-TODAY())/365.25),1),"")),"")</f>
        <v/>
      </c>
      <c r="AZ133" s="46" t="str">
        <f aca="false">IFERROR(IF(O133&lt;&gt;"",O133,""),"")</f>
        <v/>
      </c>
      <c r="BA133" s="46" t="str">
        <f aca="false">IFERROR(IF(U133&lt;&gt;"",SUBSTITUTE(SUBSTITUTE(U133,"; ",", "),";",","),""),"")</f>
        <v/>
      </c>
      <c r="BB133" s="47"/>
      <c r="BC133" s="47"/>
      <c r="BD133" s="47"/>
      <c r="BE133" s="47"/>
      <c r="BF133" s="47"/>
      <c r="BG133" s="47"/>
      <c r="BH133" s="47"/>
      <c r="BI133" s="47"/>
      <c r="BJ133" s="47"/>
      <c r="BK133" s="46" t="str">
        <f aca="false">IFERROR(IF(W133&lt;&gt;"",VALUE(W133),""),"")</f>
        <v/>
      </c>
      <c r="BL133" s="46" t="str">
        <f aca="false">IFERROR(IF(X133&lt;&gt;"",VALUE(X133),""),"")</f>
        <v/>
      </c>
      <c r="BM133" s="46" t="str">
        <f aca="false">IFERROR(IF(AD133="","None",IF(ISNUMBER(SEARCH("surv",AD133)),"Survived",IF(ISNUMBER(SEARCH("pend",AD133)),"Pending",IF(ISNUMBER(SEARCH("yes",AD133)),"Pending","None")))),"None")</f>
        <v>None</v>
      </c>
      <c r="BN133" s="47"/>
      <c r="BO133" s="47"/>
      <c r="BP133" s="47"/>
      <c r="BQ133" s="47"/>
      <c r="BR133" s="47"/>
      <c r="BS133" s="47"/>
      <c r="BT133" s="47"/>
      <c r="BU133" s="48" t="n">
        <f aca="false">IFERROR(COUNTA(AE133:BT133)/42,0)</f>
        <v>0.30952380952381</v>
      </c>
      <c r="BV133" s="49"/>
      <c r="BW133" s="50" t="b">
        <f aca="false">IF(Configuration!$C$10="No","",IFERROR(IF(AG133&lt;&gt;"",TRUE(),FALSE()),FALSE()))</f>
        <v>0</v>
      </c>
      <c r="BX133" s="50" t="b">
        <f aca="false">IF(Configuration!$C$11="No","",IFERROR(IF(AND(N(AL133)&gt;=Configuration!$C$44,AM133&lt;&gt;""),TRUE(),FALSE()),FALSE()))</f>
        <v>0</v>
      </c>
      <c r="BY133" s="50" t="b">
        <f aca="false">IF(Configuration!$C$12="No","",IFERROR(IF(AJ133&lt;&gt;"",TRUE(),FALSE()),FALSE()))</f>
        <v>0</v>
      </c>
      <c r="BZ133" s="50" t="b">
        <f aca="false">IF(Configuration!$C$13="No","",IFERROR(IF(AI133&lt;&gt;"",TRUE(),FALSE()),FALSE()))</f>
        <v>0</v>
      </c>
      <c r="CA133" s="50" t="b">
        <f aca="false">IF(Configuration!$C$14="No","",IFERROR(IF(AK133&lt;&gt;"",TRUE(),FALSE()),FALSE()))</f>
        <v>0</v>
      </c>
      <c r="CB133" s="50" t="b">
        <f aca="false">IF(Configuration!$C$15="No","",IFERROR(IF(AND(OR(ISNUMBER(SEARCH("process",AG133)),ISNUMBER(SEARCH("fab",AG133)),ISNUMBER(SEARCH("manufac",AG133))),AO133="Method"),TRUE(),FALSE()),FALSE()))</f>
        <v>0</v>
      </c>
      <c r="CC133" s="50" t="b">
        <f aca="false">IF(Configuration!$C$16="No","",IFERROR(IF(AND(OR(ISNUMBER(SEARCH("material",AG133)),ISNUMBER(SEARCH("chem",AG133)),ISNUMBER(SEARCH("battery",AG133)),ISNUMBER(SEARCH("electrolyte",AG133)),ISNUMBER(SEARCH("polymer",AG133))),OR(AO133="Apparatus",AO133="Method")),TRUE(),FALSE()),FALSE()))</f>
        <v>0</v>
      </c>
      <c r="CD133" s="50" t="b">
        <f aca="false">IF(Configuration!$C$17="No","",IFERROR(IF(AND(OR(AI133="App",AI133="Middleware",AI133="Cloud"),OR(AO133="Method",AO133="CRM")),TRUE(),FALSE()),FALSE()))</f>
        <v>0</v>
      </c>
      <c r="CE133" s="50" t="b">
        <f aca="false">IF(Configuration!$C$18="No","",IFERROR(IF(N(AN133)&gt;=Configuration!$C$45,TRUE(),FALSE()),FALSE()))</f>
        <v>0</v>
      </c>
      <c r="CF133" s="50" t="b">
        <f aca="false">IF(Configuration!$C$19="No","",IFERROR(IF(BE133&lt;&gt;"",TRUE(),FALSE()),FALSE()))</f>
        <v>0</v>
      </c>
      <c r="CG133" s="50" t="b">
        <f aca="false">IF(Configuration!$C$20="No","",IFERROR(IF(AO133&lt;&gt;"",TRUE(),FALSE()),FALSE()))</f>
        <v>0</v>
      </c>
      <c r="CH133" s="50" t="b">
        <f aca="false">IF(Configuration!$C$21="No","",IFERROR(IF(OR(N(AS133)&gt;=Configuration!$C$46,N(AT133)&gt;=Configuration!$C$47),TRUE(),FALSE()),FALSE()))</f>
        <v>0</v>
      </c>
      <c r="CI133" s="50" t="b">
        <f aca="false">IF(Configuration!$C$22="No","",IFERROR(IF(BB133="Yes",TRUE(),FALSE()),FALSE()))</f>
        <v>0</v>
      </c>
      <c r="CJ133" s="50" t="b">
        <f aca="false">IF(Configuration!$C$23="No","",IFERROR(IF(N(AV133)&gt;=Configuration!$C$48,TRUE(),FALSE()),FALSE()))</f>
        <v>0</v>
      </c>
      <c r="CK133" s="50" t="b">
        <f aca="false">IF(Configuration!$C$24="No","",IFERROR(IF(N(AY133)&gt;0,TRUE(),FALSE()),FALSE()))</f>
        <v>0</v>
      </c>
      <c r="CL133" s="50" t="b">
        <f aca="false">IF(Configuration!$C$25="No","",IFERROR(IF(OR(N(AP133)=3,N(AP133)&lt;=1),TRUE(),FALSE()),FALSE()))</f>
        <v>1</v>
      </c>
      <c r="CM133" s="50" t="b">
        <f aca="false">IF(Configuration!$C$26="No","",IFERROR(IF(N(BF133)&gt;=Configuration!$C$49,TRUE(),FALSE()),FALSE()))</f>
        <v>0</v>
      </c>
      <c r="CN133" s="50" t="b">
        <f aca="false">IF(Configuration!$C$27="No","",IFERROR(IF(BD133&lt;&gt;"",TRUE(),FALSE()),FALSE()))</f>
        <v>0</v>
      </c>
      <c r="CO133" s="50" t="b">
        <f aca="false">IF(Configuration!$C$28="No","",IFERROR(IF(N(AU133)&gt;=Configuration!$C$50,TRUE(),FALSE()),FALSE()))</f>
        <v>0</v>
      </c>
      <c r="CP133" s="50" t="b">
        <f aca="false">IF(Configuration!$C$29="No","",IFERROR(IF(AND(N(AR133)&gt;=Configuration!$C$51,AG133&lt;&gt;""),TRUE(),FALSE()),FALSE()))</f>
        <v>0</v>
      </c>
      <c r="CQ133" s="50" t="b">
        <f aca="false">IF(Configuration!$C$30="No","",IFERROR(IF(OR(AW133="Pending",AX133="Yes"),TRUE(),FALSE()),FALSE()))</f>
        <v>0</v>
      </c>
      <c r="CR133" s="50" t="b">
        <f aca="false">IF(Configuration!$C$31="No","",IFERROR(IF(AND(N(BG133)&gt;=Configuration!$C$52,N(AP133)&gt;=1),TRUE(),FALSE()),FALSE()))</f>
        <v>0</v>
      </c>
      <c r="CS133" s="50" t="b">
        <f aca="false">IF(Configuration!$C$32="No","",IFERROR(IF(AND(N(AR133)&gt;=1,OR(AG133&lt;&gt;"",AM133&lt;&gt;"")),TRUE(),FALSE()),FALSE()))</f>
        <v>0</v>
      </c>
      <c r="CT133" s="50" t="b">
        <f aca="false">IF(Configuration!$C$33="No","",IFERROR(IF(AG133&lt;&gt;"",TRUE(),FALSE()),FALSE()))</f>
        <v>0</v>
      </c>
      <c r="CU133" s="50" t="b">
        <f aca="false">IF(Configuration!$C$34="No","",IFERROR(IF(AX133="Yes",TRUE(),FALSE()),FALSE()))</f>
        <v>0</v>
      </c>
      <c r="CV133" s="50" t="b">
        <f aca="false">IF(Configuration!$C$35="No","",IFERROR(IF(OR(BO133="Partial",BO133="Full"),TRUE(),FALSE()),FALSE()))</f>
        <v>0</v>
      </c>
      <c r="CW133" s="50" t="b">
        <f aca="false">IF(Configuration!$C$36="No","",IFERROR(IF(BM133="Survived",TRUE(),FALSE()),FALSE()))</f>
        <v>0</v>
      </c>
      <c r="CX133" s="50" t="b">
        <f aca="false">IF(Configuration!$C$37="No","",IFERROR(IF(AND(BN133="Clean",BP133="None"),TRUE(),FALSE()),FALSE()))</f>
        <v>0</v>
      </c>
      <c r="CY133" s="50" t="b">
        <f aca="false">IF(Configuration!$C$38="No","",IFERROR(IF(N(BK133)&gt;=Configuration!$C$53,TRUE(),FALSE()),FALSE()))</f>
        <v>0</v>
      </c>
      <c r="CZ133" s="50" t="b">
        <f aca="false">IF(Configuration!$C$39="No","",IFERROR(IF(AND(N(BS133)&gt;=2,N(BF133)&gt;=2),TRUE(),FALSE()),FALSE()))</f>
        <v>0</v>
      </c>
      <c r="DA133" s="50" t="b">
        <f aca="false">IF(Configuration!$C$40="No","",IFERROR(IF(OR(N(BG133)&lt;=Configuration!$C$56,N(AY133)&lt;Configuration!$C$57,N(BH133)&lt;=Configuration!$C$58),TRUE(),FALSE()),FALSE()))</f>
        <v>1</v>
      </c>
      <c r="DB133" s="50" t="b">
        <f aca="false">IF(Configuration!$C$41="No","",IFERROR(IF(AND(N(AY133)&gt;=Configuration!$C$54,N(AY133)&lt;=Configuration!$C$55),TRUE(),FALSE()),FALSE()))</f>
        <v>0</v>
      </c>
      <c r="DC133" s="50" t="b">
        <f aca="false">IF(Configuration!$C$42="No","",IFERROR(IF(AND(AG133&lt;&gt;"",AJ133&lt;&gt;""),TRUE(),FALSE()),FALSE()))</f>
        <v>0</v>
      </c>
      <c r="DD133" s="51" t="n">
        <f aca="false">COUNTIF(BW133:DC133,TRUE())</f>
        <v>2</v>
      </c>
    </row>
    <row r="134" customFormat="false" ht="15" hidden="false" customHeight="true" outlineLevel="0" collapsed="false">
      <c r="A134" s="18" t="n">
        <v>95</v>
      </c>
      <c r="B134" s="44"/>
      <c r="C134" s="44"/>
      <c r="D134" s="44"/>
      <c r="E134" s="44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6" t="str">
        <f aca="false">IFERROR(IF(F134&lt;&gt;"",F134,""),"")</f>
        <v/>
      </c>
      <c r="AF134" s="46" t="str">
        <f aca="false">IFERROR(IF(G134&lt;&gt;"",G134,""),"")</f>
        <v/>
      </c>
      <c r="AG134" s="46" t="str">
        <f aca="false">IFERROR(IF(AA134&lt;&gt;"",AA134,IF(R134&lt;&gt;"",R134,"")),"")</f>
        <v/>
      </c>
      <c r="AH134" s="46" t="str">
        <f aca="false">IFERROR(IF(AB134&lt;&gt;"",AB134,IF(S134&lt;&gt;"",S134,"")),"")</f>
        <v/>
      </c>
      <c r="AI134" s="47"/>
      <c r="AJ134" s="47"/>
      <c r="AK134" s="47"/>
      <c r="AL134" s="47"/>
      <c r="AM134" s="47"/>
      <c r="AN134" s="47"/>
      <c r="AO134" s="47"/>
      <c r="AP134" s="47"/>
      <c r="AQ134" s="46" t="str">
        <f aca="false">IFERROR(IF(Y134&lt;&gt;"",VALUE(Y134),""),"")</f>
        <v/>
      </c>
      <c r="AR134" s="47"/>
      <c r="AS134" s="47"/>
      <c r="AT134" s="47"/>
      <c r="AU134" s="47"/>
      <c r="AV134" s="46" t="str">
        <f aca="false">IFERROR(IF(T134&lt;&gt;"",VALUE(T134),""),"")</f>
        <v/>
      </c>
      <c r="AW134" s="46" t="str">
        <f aca="false">IFERROR(IF(N134="","",IF(OR(ISNUMBER(SEARCH("grant",N134)),ISNUMBER(SEARCH("B",AC134))),"Granted",IF(OR(ISNUMBER(SEARCH("pend",N134)),ISNUMBER(SEARCH("A",AC134))),"Pending",IF(ISNUMBER(SEARCH("expir",N134)),"Expired",N134)))),"")</f>
        <v/>
      </c>
      <c r="AX134" s="47"/>
      <c r="AY134" s="46" t="str">
        <f aca="true">IFERROR(IF(M134&lt;&gt;"",ROUND(VALUE(M134),1),IF(L134&lt;&gt;"",ROUND(MAX(0,(DATEVALUE(TEXT(L134,"YYYY-MM-DD"))-TODAY())/365.25),1),"")),"")</f>
        <v/>
      </c>
      <c r="AZ134" s="46" t="str">
        <f aca="false">IFERROR(IF(O134&lt;&gt;"",O134,""),"")</f>
        <v/>
      </c>
      <c r="BA134" s="46" t="str">
        <f aca="false">IFERROR(IF(U134&lt;&gt;"",SUBSTITUTE(SUBSTITUTE(U134,"; ",", "),";",","),""),"")</f>
        <v/>
      </c>
      <c r="BB134" s="47"/>
      <c r="BC134" s="47"/>
      <c r="BD134" s="47"/>
      <c r="BE134" s="47"/>
      <c r="BF134" s="47"/>
      <c r="BG134" s="47"/>
      <c r="BH134" s="47"/>
      <c r="BI134" s="47"/>
      <c r="BJ134" s="47"/>
      <c r="BK134" s="46" t="str">
        <f aca="false">IFERROR(IF(W134&lt;&gt;"",VALUE(W134),""),"")</f>
        <v/>
      </c>
      <c r="BL134" s="46" t="str">
        <f aca="false">IFERROR(IF(X134&lt;&gt;"",VALUE(X134),""),"")</f>
        <v/>
      </c>
      <c r="BM134" s="46" t="str">
        <f aca="false">IFERROR(IF(AD134="","None",IF(ISNUMBER(SEARCH("surv",AD134)),"Survived",IF(ISNUMBER(SEARCH("pend",AD134)),"Pending",IF(ISNUMBER(SEARCH("yes",AD134)),"Pending","None")))),"None")</f>
        <v>None</v>
      </c>
      <c r="BN134" s="47"/>
      <c r="BO134" s="47"/>
      <c r="BP134" s="47"/>
      <c r="BQ134" s="47"/>
      <c r="BR134" s="47"/>
      <c r="BS134" s="47"/>
      <c r="BT134" s="47"/>
      <c r="BU134" s="48" t="n">
        <f aca="false">IFERROR(COUNTA(AE134:BT134)/42,0)</f>
        <v>0.30952380952381</v>
      </c>
      <c r="BV134" s="49"/>
      <c r="BW134" s="50" t="b">
        <f aca="false">IF(Configuration!$C$10="No","",IFERROR(IF(AG134&lt;&gt;"",TRUE(),FALSE()),FALSE()))</f>
        <v>0</v>
      </c>
      <c r="BX134" s="50" t="b">
        <f aca="false">IF(Configuration!$C$11="No","",IFERROR(IF(AND(N(AL134)&gt;=Configuration!$C$44,AM134&lt;&gt;""),TRUE(),FALSE()),FALSE()))</f>
        <v>0</v>
      </c>
      <c r="BY134" s="50" t="b">
        <f aca="false">IF(Configuration!$C$12="No","",IFERROR(IF(AJ134&lt;&gt;"",TRUE(),FALSE()),FALSE()))</f>
        <v>0</v>
      </c>
      <c r="BZ134" s="50" t="b">
        <f aca="false">IF(Configuration!$C$13="No","",IFERROR(IF(AI134&lt;&gt;"",TRUE(),FALSE()),FALSE()))</f>
        <v>0</v>
      </c>
      <c r="CA134" s="50" t="b">
        <f aca="false">IF(Configuration!$C$14="No","",IFERROR(IF(AK134&lt;&gt;"",TRUE(),FALSE()),FALSE()))</f>
        <v>0</v>
      </c>
      <c r="CB134" s="50" t="b">
        <f aca="false">IF(Configuration!$C$15="No","",IFERROR(IF(AND(OR(ISNUMBER(SEARCH("process",AG134)),ISNUMBER(SEARCH("fab",AG134)),ISNUMBER(SEARCH("manufac",AG134))),AO134="Method"),TRUE(),FALSE()),FALSE()))</f>
        <v>0</v>
      </c>
      <c r="CC134" s="50" t="b">
        <f aca="false">IF(Configuration!$C$16="No","",IFERROR(IF(AND(OR(ISNUMBER(SEARCH("material",AG134)),ISNUMBER(SEARCH("chem",AG134)),ISNUMBER(SEARCH("battery",AG134)),ISNUMBER(SEARCH("electrolyte",AG134)),ISNUMBER(SEARCH("polymer",AG134))),OR(AO134="Apparatus",AO134="Method")),TRUE(),FALSE()),FALSE()))</f>
        <v>0</v>
      </c>
      <c r="CD134" s="50" t="b">
        <f aca="false">IF(Configuration!$C$17="No","",IFERROR(IF(AND(OR(AI134="App",AI134="Middleware",AI134="Cloud"),OR(AO134="Method",AO134="CRM")),TRUE(),FALSE()),FALSE()))</f>
        <v>0</v>
      </c>
      <c r="CE134" s="50" t="b">
        <f aca="false">IF(Configuration!$C$18="No","",IFERROR(IF(N(AN134)&gt;=Configuration!$C$45,TRUE(),FALSE()),FALSE()))</f>
        <v>0</v>
      </c>
      <c r="CF134" s="50" t="b">
        <f aca="false">IF(Configuration!$C$19="No","",IFERROR(IF(BE134&lt;&gt;"",TRUE(),FALSE()),FALSE()))</f>
        <v>0</v>
      </c>
      <c r="CG134" s="50" t="b">
        <f aca="false">IF(Configuration!$C$20="No","",IFERROR(IF(AO134&lt;&gt;"",TRUE(),FALSE()),FALSE()))</f>
        <v>0</v>
      </c>
      <c r="CH134" s="50" t="b">
        <f aca="false">IF(Configuration!$C$21="No","",IFERROR(IF(OR(N(AS134)&gt;=Configuration!$C$46,N(AT134)&gt;=Configuration!$C$47),TRUE(),FALSE()),FALSE()))</f>
        <v>0</v>
      </c>
      <c r="CI134" s="50" t="b">
        <f aca="false">IF(Configuration!$C$22="No","",IFERROR(IF(BB134="Yes",TRUE(),FALSE()),FALSE()))</f>
        <v>0</v>
      </c>
      <c r="CJ134" s="50" t="b">
        <f aca="false">IF(Configuration!$C$23="No","",IFERROR(IF(N(AV134)&gt;=Configuration!$C$48,TRUE(),FALSE()),FALSE()))</f>
        <v>0</v>
      </c>
      <c r="CK134" s="50" t="b">
        <f aca="false">IF(Configuration!$C$24="No","",IFERROR(IF(N(AY134)&gt;0,TRUE(),FALSE()),FALSE()))</f>
        <v>0</v>
      </c>
      <c r="CL134" s="50" t="b">
        <f aca="false">IF(Configuration!$C$25="No","",IFERROR(IF(OR(N(AP134)=3,N(AP134)&lt;=1),TRUE(),FALSE()),FALSE()))</f>
        <v>1</v>
      </c>
      <c r="CM134" s="50" t="b">
        <f aca="false">IF(Configuration!$C$26="No","",IFERROR(IF(N(BF134)&gt;=Configuration!$C$49,TRUE(),FALSE()),FALSE()))</f>
        <v>0</v>
      </c>
      <c r="CN134" s="50" t="b">
        <f aca="false">IF(Configuration!$C$27="No","",IFERROR(IF(BD134&lt;&gt;"",TRUE(),FALSE()),FALSE()))</f>
        <v>0</v>
      </c>
      <c r="CO134" s="50" t="b">
        <f aca="false">IF(Configuration!$C$28="No","",IFERROR(IF(N(AU134)&gt;=Configuration!$C$50,TRUE(),FALSE()),FALSE()))</f>
        <v>0</v>
      </c>
      <c r="CP134" s="50" t="b">
        <f aca="false">IF(Configuration!$C$29="No","",IFERROR(IF(AND(N(AR134)&gt;=Configuration!$C$51,AG134&lt;&gt;""),TRUE(),FALSE()),FALSE()))</f>
        <v>0</v>
      </c>
      <c r="CQ134" s="50" t="b">
        <f aca="false">IF(Configuration!$C$30="No","",IFERROR(IF(OR(AW134="Pending",AX134="Yes"),TRUE(),FALSE()),FALSE()))</f>
        <v>0</v>
      </c>
      <c r="CR134" s="50" t="b">
        <f aca="false">IF(Configuration!$C$31="No","",IFERROR(IF(AND(N(BG134)&gt;=Configuration!$C$52,N(AP134)&gt;=1),TRUE(),FALSE()),FALSE()))</f>
        <v>0</v>
      </c>
      <c r="CS134" s="50" t="b">
        <f aca="false">IF(Configuration!$C$32="No","",IFERROR(IF(AND(N(AR134)&gt;=1,OR(AG134&lt;&gt;"",AM134&lt;&gt;"")),TRUE(),FALSE()),FALSE()))</f>
        <v>0</v>
      </c>
      <c r="CT134" s="50" t="b">
        <f aca="false">IF(Configuration!$C$33="No","",IFERROR(IF(AG134&lt;&gt;"",TRUE(),FALSE()),FALSE()))</f>
        <v>0</v>
      </c>
      <c r="CU134" s="50" t="b">
        <f aca="false">IF(Configuration!$C$34="No","",IFERROR(IF(AX134="Yes",TRUE(),FALSE()),FALSE()))</f>
        <v>0</v>
      </c>
      <c r="CV134" s="50" t="b">
        <f aca="false">IF(Configuration!$C$35="No","",IFERROR(IF(OR(BO134="Partial",BO134="Full"),TRUE(),FALSE()),FALSE()))</f>
        <v>0</v>
      </c>
      <c r="CW134" s="50" t="b">
        <f aca="false">IF(Configuration!$C$36="No","",IFERROR(IF(BM134="Survived",TRUE(),FALSE()),FALSE()))</f>
        <v>0</v>
      </c>
      <c r="CX134" s="50" t="b">
        <f aca="false">IF(Configuration!$C$37="No","",IFERROR(IF(AND(BN134="Clean",BP134="None"),TRUE(),FALSE()),FALSE()))</f>
        <v>0</v>
      </c>
      <c r="CY134" s="50" t="b">
        <f aca="false">IF(Configuration!$C$38="No","",IFERROR(IF(N(BK134)&gt;=Configuration!$C$53,TRUE(),FALSE()),FALSE()))</f>
        <v>0</v>
      </c>
      <c r="CZ134" s="50" t="b">
        <f aca="false">IF(Configuration!$C$39="No","",IFERROR(IF(AND(N(BS134)&gt;=2,N(BF134)&gt;=2),TRUE(),FALSE()),FALSE()))</f>
        <v>0</v>
      </c>
      <c r="DA134" s="50" t="b">
        <f aca="false">IF(Configuration!$C$40="No","",IFERROR(IF(OR(N(BG134)&lt;=Configuration!$C$56,N(AY134)&lt;Configuration!$C$57,N(BH134)&lt;=Configuration!$C$58),TRUE(),FALSE()),FALSE()))</f>
        <v>1</v>
      </c>
      <c r="DB134" s="50" t="b">
        <f aca="false">IF(Configuration!$C$41="No","",IFERROR(IF(AND(N(AY134)&gt;=Configuration!$C$54,N(AY134)&lt;=Configuration!$C$55),TRUE(),FALSE()),FALSE()))</f>
        <v>0</v>
      </c>
      <c r="DC134" s="50" t="b">
        <f aca="false">IF(Configuration!$C$42="No","",IFERROR(IF(AND(AG134&lt;&gt;"",AJ134&lt;&gt;""),TRUE(),FALSE()),FALSE()))</f>
        <v>0</v>
      </c>
      <c r="DD134" s="51" t="n">
        <f aca="false">COUNTIF(BW134:DC134,TRUE())</f>
        <v>2</v>
      </c>
    </row>
    <row r="135" customFormat="false" ht="15" hidden="false" customHeight="true" outlineLevel="0" collapsed="false">
      <c r="A135" s="18" t="n">
        <v>96</v>
      </c>
      <c r="B135" s="44"/>
      <c r="C135" s="44"/>
      <c r="D135" s="44"/>
      <c r="E135" s="44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6" t="str">
        <f aca="false">IFERROR(IF(F135&lt;&gt;"",F135,""),"")</f>
        <v/>
      </c>
      <c r="AF135" s="46" t="str">
        <f aca="false">IFERROR(IF(G135&lt;&gt;"",G135,""),"")</f>
        <v/>
      </c>
      <c r="AG135" s="46" t="str">
        <f aca="false">IFERROR(IF(AA135&lt;&gt;"",AA135,IF(R135&lt;&gt;"",R135,"")),"")</f>
        <v/>
      </c>
      <c r="AH135" s="46" t="str">
        <f aca="false">IFERROR(IF(AB135&lt;&gt;"",AB135,IF(S135&lt;&gt;"",S135,"")),"")</f>
        <v/>
      </c>
      <c r="AI135" s="47"/>
      <c r="AJ135" s="47"/>
      <c r="AK135" s="47"/>
      <c r="AL135" s="47"/>
      <c r="AM135" s="47"/>
      <c r="AN135" s="47"/>
      <c r="AO135" s="47"/>
      <c r="AP135" s="47"/>
      <c r="AQ135" s="46" t="str">
        <f aca="false">IFERROR(IF(Y135&lt;&gt;"",VALUE(Y135),""),"")</f>
        <v/>
      </c>
      <c r="AR135" s="47"/>
      <c r="AS135" s="47"/>
      <c r="AT135" s="47"/>
      <c r="AU135" s="47"/>
      <c r="AV135" s="46" t="str">
        <f aca="false">IFERROR(IF(T135&lt;&gt;"",VALUE(T135),""),"")</f>
        <v/>
      </c>
      <c r="AW135" s="46" t="str">
        <f aca="false">IFERROR(IF(N135="","",IF(OR(ISNUMBER(SEARCH("grant",N135)),ISNUMBER(SEARCH("B",AC135))),"Granted",IF(OR(ISNUMBER(SEARCH("pend",N135)),ISNUMBER(SEARCH("A",AC135))),"Pending",IF(ISNUMBER(SEARCH("expir",N135)),"Expired",N135)))),"")</f>
        <v/>
      </c>
      <c r="AX135" s="47"/>
      <c r="AY135" s="46" t="str">
        <f aca="true">IFERROR(IF(M135&lt;&gt;"",ROUND(VALUE(M135),1),IF(L135&lt;&gt;"",ROUND(MAX(0,(DATEVALUE(TEXT(L135,"YYYY-MM-DD"))-TODAY())/365.25),1),"")),"")</f>
        <v/>
      </c>
      <c r="AZ135" s="46" t="str">
        <f aca="false">IFERROR(IF(O135&lt;&gt;"",O135,""),"")</f>
        <v/>
      </c>
      <c r="BA135" s="46" t="str">
        <f aca="false">IFERROR(IF(U135&lt;&gt;"",SUBSTITUTE(SUBSTITUTE(U135,"; ",", "),";",","),""),"")</f>
        <v/>
      </c>
      <c r="BB135" s="47"/>
      <c r="BC135" s="47"/>
      <c r="BD135" s="47"/>
      <c r="BE135" s="47"/>
      <c r="BF135" s="47"/>
      <c r="BG135" s="47"/>
      <c r="BH135" s="47"/>
      <c r="BI135" s="47"/>
      <c r="BJ135" s="47"/>
      <c r="BK135" s="46" t="str">
        <f aca="false">IFERROR(IF(W135&lt;&gt;"",VALUE(W135),""),"")</f>
        <v/>
      </c>
      <c r="BL135" s="46" t="str">
        <f aca="false">IFERROR(IF(X135&lt;&gt;"",VALUE(X135),""),"")</f>
        <v/>
      </c>
      <c r="BM135" s="46" t="str">
        <f aca="false">IFERROR(IF(AD135="","None",IF(ISNUMBER(SEARCH("surv",AD135)),"Survived",IF(ISNUMBER(SEARCH("pend",AD135)),"Pending",IF(ISNUMBER(SEARCH("yes",AD135)),"Pending","None")))),"None")</f>
        <v>None</v>
      </c>
      <c r="BN135" s="47"/>
      <c r="BO135" s="47"/>
      <c r="BP135" s="47"/>
      <c r="BQ135" s="47"/>
      <c r="BR135" s="47"/>
      <c r="BS135" s="47"/>
      <c r="BT135" s="47"/>
      <c r="BU135" s="48" t="n">
        <f aca="false">IFERROR(COUNTA(AE135:BT135)/42,0)</f>
        <v>0.30952380952381</v>
      </c>
      <c r="BV135" s="49"/>
      <c r="BW135" s="50" t="b">
        <f aca="false">IF(Configuration!$C$10="No","",IFERROR(IF(AG135&lt;&gt;"",TRUE(),FALSE()),FALSE()))</f>
        <v>0</v>
      </c>
      <c r="BX135" s="50" t="b">
        <f aca="false">IF(Configuration!$C$11="No","",IFERROR(IF(AND(N(AL135)&gt;=Configuration!$C$44,AM135&lt;&gt;""),TRUE(),FALSE()),FALSE()))</f>
        <v>0</v>
      </c>
      <c r="BY135" s="50" t="b">
        <f aca="false">IF(Configuration!$C$12="No","",IFERROR(IF(AJ135&lt;&gt;"",TRUE(),FALSE()),FALSE()))</f>
        <v>0</v>
      </c>
      <c r="BZ135" s="50" t="b">
        <f aca="false">IF(Configuration!$C$13="No","",IFERROR(IF(AI135&lt;&gt;"",TRUE(),FALSE()),FALSE()))</f>
        <v>0</v>
      </c>
      <c r="CA135" s="50" t="b">
        <f aca="false">IF(Configuration!$C$14="No","",IFERROR(IF(AK135&lt;&gt;"",TRUE(),FALSE()),FALSE()))</f>
        <v>0</v>
      </c>
      <c r="CB135" s="50" t="b">
        <f aca="false">IF(Configuration!$C$15="No","",IFERROR(IF(AND(OR(ISNUMBER(SEARCH("process",AG135)),ISNUMBER(SEARCH("fab",AG135)),ISNUMBER(SEARCH("manufac",AG135))),AO135="Method"),TRUE(),FALSE()),FALSE()))</f>
        <v>0</v>
      </c>
      <c r="CC135" s="50" t="b">
        <f aca="false">IF(Configuration!$C$16="No","",IFERROR(IF(AND(OR(ISNUMBER(SEARCH("material",AG135)),ISNUMBER(SEARCH("chem",AG135)),ISNUMBER(SEARCH("battery",AG135)),ISNUMBER(SEARCH("electrolyte",AG135)),ISNUMBER(SEARCH("polymer",AG135))),OR(AO135="Apparatus",AO135="Method")),TRUE(),FALSE()),FALSE()))</f>
        <v>0</v>
      </c>
      <c r="CD135" s="50" t="b">
        <f aca="false">IF(Configuration!$C$17="No","",IFERROR(IF(AND(OR(AI135="App",AI135="Middleware",AI135="Cloud"),OR(AO135="Method",AO135="CRM")),TRUE(),FALSE()),FALSE()))</f>
        <v>0</v>
      </c>
      <c r="CE135" s="50" t="b">
        <f aca="false">IF(Configuration!$C$18="No","",IFERROR(IF(N(AN135)&gt;=Configuration!$C$45,TRUE(),FALSE()),FALSE()))</f>
        <v>0</v>
      </c>
      <c r="CF135" s="50" t="b">
        <f aca="false">IF(Configuration!$C$19="No","",IFERROR(IF(BE135&lt;&gt;"",TRUE(),FALSE()),FALSE()))</f>
        <v>0</v>
      </c>
      <c r="CG135" s="50" t="b">
        <f aca="false">IF(Configuration!$C$20="No","",IFERROR(IF(AO135&lt;&gt;"",TRUE(),FALSE()),FALSE()))</f>
        <v>0</v>
      </c>
      <c r="CH135" s="50" t="b">
        <f aca="false">IF(Configuration!$C$21="No","",IFERROR(IF(OR(N(AS135)&gt;=Configuration!$C$46,N(AT135)&gt;=Configuration!$C$47),TRUE(),FALSE()),FALSE()))</f>
        <v>0</v>
      </c>
      <c r="CI135" s="50" t="b">
        <f aca="false">IF(Configuration!$C$22="No","",IFERROR(IF(BB135="Yes",TRUE(),FALSE()),FALSE()))</f>
        <v>0</v>
      </c>
      <c r="CJ135" s="50" t="b">
        <f aca="false">IF(Configuration!$C$23="No","",IFERROR(IF(N(AV135)&gt;=Configuration!$C$48,TRUE(),FALSE()),FALSE()))</f>
        <v>0</v>
      </c>
      <c r="CK135" s="50" t="b">
        <f aca="false">IF(Configuration!$C$24="No","",IFERROR(IF(N(AY135)&gt;0,TRUE(),FALSE()),FALSE()))</f>
        <v>0</v>
      </c>
      <c r="CL135" s="50" t="b">
        <f aca="false">IF(Configuration!$C$25="No","",IFERROR(IF(OR(N(AP135)=3,N(AP135)&lt;=1),TRUE(),FALSE()),FALSE()))</f>
        <v>1</v>
      </c>
      <c r="CM135" s="50" t="b">
        <f aca="false">IF(Configuration!$C$26="No","",IFERROR(IF(N(BF135)&gt;=Configuration!$C$49,TRUE(),FALSE()),FALSE()))</f>
        <v>0</v>
      </c>
      <c r="CN135" s="50" t="b">
        <f aca="false">IF(Configuration!$C$27="No","",IFERROR(IF(BD135&lt;&gt;"",TRUE(),FALSE()),FALSE()))</f>
        <v>0</v>
      </c>
      <c r="CO135" s="50" t="b">
        <f aca="false">IF(Configuration!$C$28="No","",IFERROR(IF(N(AU135)&gt;=Configuration!$C$50,TRUE(),FALSE()),FALSE()))</f>
        <v>0</v>
      </c>
      <c r="CP135" s="50" t="b">
        <f aca="false">IF(Configuration!$C$29="No","",IFERROR(IF(AND(N(AR135)&gt;=Configuration!$C$51,AG135&lt;&gt;""),TRUE(),FALSE()),FALSE()))</f>
        <v>0</v>
      </c>
      <c r="CQ135" s="50" t="b">
        <f aca="false">IF(Configuration!$C$30="No","",IFERROR(IF(OR(AW135="Pending",AX135="Yes"),TRUE(),FALSE()),FALSE()))</f>
        <v>0</v>
      </c>
      <c r="CR135" s="50" t="b">
        <f aca="false">IF(Configuration!$C$31="No","",IFERROR(IF(AND(N(BG135)&gt;=Configuration!$C$52,N(AP135)&gt;=1),TRUE(),FALSE()),FALSE()))</f>
        <v>0</v>
      </c>
      <c r="CS135" s="50" t="b">
        <f aca="false">IF(Configuration!$C$32="No","",IFERROR(IF(AND(N(AR135)&gt;=1,OR(AG135&lt;&gt;"",AM135&lt;&gt;"")),TRUE(),FALSE()),FALSE()))</f>
        <v>0</v>
      </c>
      <c r="CT135" s="50" t="b">
        <f aca="false">IF(Configuration!$C$33="No","",IFERROR(IF(AG135&lt;&gt;"",TRUE(),FALSE()),FALSE()))</f>
        <v>0</v>
      </c>
      <c r="CU135" s="50" t="b">
        <f aca="false">IF(Configuration!$C$34="No","",IFERROR(IF(AX135="Yes",TRUE(),FALSE()),FALSE()))</f>
        <v>0</v>
      </c>
      <c r="CV135" s="50" t="b">
        <f aca="false">IF(Configuration!$C$35="No","",IFERROR(IF(OR(BO135="Partial",BO135="Full"),TRUE(),FALSE()),FALSE()))</f>
        <v>0</v>
      </c>
      <c r="CW135" s="50" t="b">
        <f aca="false">IF(Configuration!$C$36="No","",IFERROR(IF(BM135="Survived",TRUE(),FALSE()),FALSE()))</f>
        <v>0</v>
      </c>
      <c r="CX135" s="50" t="b">
        <f aca="false">IF(Configuration!$C$37="No","",IFERROR(IF(AND(BN135="Clean",BP135="None"),TRUE(),FALSE()),FALSE()))</f>
        <v>0</v>
      </c>
      <c r="CY135" s="50" t="b">
        <f aca="false">IF(Configuration!$C$38="No","",IFERROR(IF(N(BK135)&gt;=Configuration!$C$53,TRUE(),FALSE()),FALSE()))</f>
        <v>0</v>
      </c>
      <c r="CZ135" s="50" t="b">
        <f aca="false">IF(Configuration!$C$39="No","",IFERROR(IF(AND(N(BS135)&gt;=2,N(BF135)&gt;=2),TRUE(),FALSE()),FALSE()))</f>
        <v>0</v>
      </c>
      <c r="DA135" s="50" t="b">
        <f aca="false">IF(Configuration!$C$40="No","",IFERROR(IF(OR(N(BG135)&lt;=Configuration!$C$56,N(AY135)&lt;Configuration!$C$57,N(BH135)&lt;=Configuration!$C$58),TRUE(),FALSE()),FALSE()))</f>
        <v>1</v>
      </c>
      <c r="DB135" s="50" t="b">
        <f aca="false">IF(Configuration!$C$41="No","",IFERROR(IF(AND(N(AY135)&gt;=Configuration!$C$54,N(AY135)&lt;=Configuration!$C$55),TRUE(),FALSE()),FALSE()))</f>
        <v>0</v>
      </c>
      <c r="DC135" s="50" t="b">
        <f aca="false">IF(Configuration!$C$42="No","",IFERROR(IF(AND(AG135&lt;&gt;"",AJ135&lt;&gt;""),TRUE(),FALSE()),FALSE()))</f>
        <v>0</v>
      </c>
      <c r="DD135" s="51" t="n">
        <f aca="false">COUNTIF(BW135:DC135,TRUE())</f>
        <v>2</v>
      </c>
    </row>
    <row r="136" customFormat="false" ht="15" hidden="false" customHeight="true" outlineLevel="0" collapsed="false">
      <c r="A136" s="18" t="n">
        <v>97</v>
      </c>
      <c r="B136" s="44"/>
      <c r="C136" s="44"/>
      <c r="D136" s="44"/>
      <c r="E136" s="44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6" t="str">
        <f aca="false">IFERROR(IF(F136&lt;&gt;"",F136,""),"")</f>
        <v/>
      </c>
      <c r="AF136" s="46" t="str">
        <f aca="false">IFERROR(IF(G136&lt;&gt;"",G136,""),"")</f>
        <v/>
      </c>
      <c r="AG136" s="46" t="str">
        <f aca="false">IFERROR(IF(AA136&lt;&gt;"",AA136,IF(R136&lt;&gt;"",R136,"")),"")</f>
        <v/>
      </c>
      <c r="AH136" s="46" t="str">
        <f aca="false">IFERROR(IF(AB136&lt;&gt;"",AB136,IF(S136&lt;&gt;"",S136,"")),"")</f>
        <v/>
      </c>
      <c r="AI136" s="47"/>
      <c r="AJ136" s="47"/>
      <c r="AK136" s="47"/>
      <c r="AL136" s="47"/>
      <c r="AM136" s="47"/>
      <c r="AN136" s="47"/>
      <c r="AO136" s="47"/>
      <c r="AP136" s="47"/>
      <c r="AQ136" s="46" t="str">
        <f aca="false">IFERROR(IF(Y136&lt;&gt;"",VALUE(Y136),""),"")</f>
        <v/>
      </c>
      <c r="AR136" s="47"/>
      <c r="AS136" s="47"/>
      <c r="AT136" s="47"/>
      <c r="AU136" s="47"/>
      <c r="AV136" s="46" t="str">
        <f aca="false">IFERROR(IF(T136&lt;&gt;"",VALUE(T136),""),"")</f>
        <v/>
      </c>
      <c r="AW136" s="46" t="str">
        <f aca="false">IFERROR(IF(N136="","",IF(OR(ISNUMBER(SEARCH("grant",N136)),ISNUMBER(SEARCH("B",AC136))),"Granted",IF(OR(ISNUMBER(SEARCH("pend",N136)),ISNUMBER(SEARCH("A",AC136))),"Pending",IF(ISNUMBER(SEARCH("expir",N136)),"Expired",N136)))),"")</f>
        <v/>
      </c>
      <c r="AX136" s="47"/>
      <c r="AY136" s="46" t="str">
        <f aca="true">IFERROR(IF(M136&lt;&gt;"",ROUND(VALUE(M136),1),IF(L136&lt;&gt;"",ROUND(MAX(0,(DATEVALUE(TEXT(L136,"YYYY-MM-DD"))-TODAY())/365.25),1),"")),"")</f>
        <v/>
      </c>
      <c r="AZ136" s="46" t="str">
        <f aca="false">IFERROR(IF(O136&lt;&gt;"",O136,""),"")</f>
        <v/>
      </c>
      <c r="BA136" s="46" t="str">
        <f aca="false">IFERROR(IF(U136&lt;&gt;"",SUBSTITUTE(SUBSTITUTE(U136,"; ",", "),";",","),""),"")</f>
        <v/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6" t="str">
        <f aca="false">IFERROR(IF(W136&lt;&gt;"",VALUE(W136),""),"")</f>
        <v/>
      </c>
      <c r="BL136" s="46" t="str">
        <f aca="false">IFERROR(IF(X136&lt;&gt;"",VALUE(X136),""),"")</f>
        <v/>
      </c>
      <c r="BM136" s="46" t="str">
        <f aca="false">IFERROR(IF(AD136="","None",IF(ISNUMBER(SEARCH("surv",AD136)),"Survived",IF(ISNUMBER(SEARCH("pend",AD136)),"Pending",IF(ISNUMBER(SEARCH("yes",AD136)),"Pending","None")))),"None")</f>
        <v>None</v>
      </c>
      <c r="BN136" s="47"/>
      <c r="BO136" s="47"/>
      <c r="BP136" s="47"/>
      <c r="BQ136" s="47"/>
      <c r="BR136" s="47"/>
      <c r="BS136" s="47"/>
      <c r="BT136" s="47"/>
      <c r="BU136" s="48" t="n">
        <f aca="false">IFERROR(COUNTA(AE136:BT136)/42,0)</f>
        <v>0.30952380952381</v>
      </c>
      <c r="BV136" s="49"/>
      <c r="BW136" s="50" t="b">
        <f aca="false">IF(Configuration!$C$10="No","",IFERROR(IF(AG136&lt;&gt;"",TRUE(),FALSE()),FALSE()))</f>
        <v>0</v>
      </c>
      <c r="BX136" s="50" t="b">
        <f aca="false">IF(Configuration!$C$11="No","",IFERROR(IF(AND(N(AL136)&gt;=Configuration!$C$44,AM136&lt;&gt;""),TRUE(),FALSE()),FALSE()))</f>
        <v>0</v>
      </c>
      <c r="BY136" s="50" t="b">
        <f aca="false">IF(Configuration!$C$12="No","",IFERROR(IF(AJ136&lt;&gt;"",TRUE(),FALSE()),FALSE()))</f>
        <v>0</v>
      </c>
      <c r="BZ136" s="50" t="b">
        <f aca="false">IF(Configuration!$C$13="No","",IFERROR(IF(AI136&lt;&gt;"",TRUE(),FALSE()),FALSE()))</f>
        <v>0</v>
      </c>
      <c r="CA136" s="50" t="b">
        <f aca="false">IF(Configuration!$C$14="No","",IFERROR(IF(AK136&lt;&gt;"",TRUE(),FALSE()),FALSE()))</f>
        <v>0</v>
      </c>
      <c r="CB136" s="50" t="b">
        <f aca="false">IF(Configuration!$C$15="No","",IFERROR(IF(AND(OR(ISNUMBER(SEARCH("process",AG136)),ISNUMBER(SEARCH("fab",AG136)),ISNUMBER(SEARCH("manufac",AG136))),AO136="Method"),TRUE(),FALSE()),FALSE()))</f>
        <v>0</v>
      </c>
      <c r="CC136" s="50" t="b">
        <f aca="false">IF(Configuration!$C$16="No","",IFERROR(IF(AND(OR(ISNUMBER(SEARCH("material",AG136)),ISNUMBER(SEARCH("chem",AG136)),ISNUMBER(SEARCH("battery",AG136)),ISNUMBER(SEARCH("electrolyte",AG136)),ISNUMBER(SEARCH("polymer",AG136))),OR(AO136="Apparatus",AO136="Method")),TRUE(),FALSE()),FALSE()))</f>
        <v>0</v>
      </c>
      <c r="CD136" s="50" t="b">
        <f aca="false">IF(Configuration!$C$17="No","",IFERROR(IF(AND(OR(AI136="App",AI136="Middleware",AI136="Cloud"),OR(AO136="Method",AO136="CRM")),TRUE(),FALSE()),FALSE()))</f>
        <v>0</v>
      </c>
      <c r="CE136" s="50" t="b">
        <f aca="false">IF(Configuration!$C$18="No","",IFERROR(IF(N(AN136)&gt;=Configuration!$C$45,TRUE(),FALSE()),FALSE()))</f>
        <v>0</v>
      </c>
      <c r="CF136" s="50" t="b">
        <f aca="false">IF(Configuration!$C$19="No","",IFERROR(IF(BE136&lt;&gt;"",TRUE(),FALSE()),FALSE()))</f>
        <v>0</v>
      </c>
      <c r="CG136" s="50" t="b">
        <f aca="false">IF(Configuration!$C$20="No","",IFERROR(IF(AO136&lt;&gt;"",TRUE(),FALSE()),FALSE()))</f>
        <v>0</v>
      </c>
      <c r="CH136" s="50" t="b">
        <f aca="false">IF(Configuration!$C$21="No","",IFERROR(IF(OR(N(AS136)&gt;=Configuration!$C$46,N(AT136)&gt;=Configuration!$C$47),TRUE(),FALSE()),FALSE()))</f>
        <v>0</v>
      </c>
      <c r="CI136" s="50" t="b">
        <f aca="false">IF(Configuration!$C$22="No","",IFERROR(IF(BB136="Yes",TRUE(),FALSE()),FALSE()))</f>
        <v>0</v>
      </c>
      <c r="CJ136" s="50" t="b">
        <f aca="false">IF(Configuration!$C$23="No","",IFERROR(IF(N(AV136)&gt;=Configuration!$C$48,TRUE(),FALSE()),FALSE()))</f>
        <v>0</v>
      </c>
      <c r="CK136" s="50" t="b">
        <f aca="false">IF(Configuration!$C$24="No","",IFERROR(IF(N(AY136)&gt;0,TRUE(),FALSE()),FALSE()))</f>
        <v>0</v>
      </c>
      <c r="CL136" s="50" t="b">
        <f aca="false">IF(Configuration!$C$25="No","",IFERROR(IF(OR(N(AP136)=3,N(AP136)&lt;=1),TRUE(),FALSE()),FALSE()))</f>
        <v>1</v>
      </c>
      <c r="CM136" s="50" t="b">
        <f aca="false">IF(Configuration!$C$26="No","",IFERROR(IF(N(BF136)&gt;=Configuration!$C$49,TRUE(),FALSE()),FALSE()))</f>
        <v>0</v>
      </c>
      <c r="CN136" s="50" t="b">
        <f aca="false">IF(Configuration!$C$27="No","",IFERROR(IF(BD136&lt;&gt;"",TRUE(),FALSE()),FALSE()))</f>
        <v>0</v>
      </c>
      <c r="CO136" s="50" t="b">
        <f aca="false">IF(Configuration!$C$28="No","",IFERROR(IF(N(AU136)&gt;=Configuration!$C$50,TRUE(),FALSE()),FALSE()))</f>
        <v>0</v>
      </c>
      <c r="CP136" s="50" t="b">
        <f aca="false">IF(Configuration!$C$29="No","",IFERROR(IF(AND(N(AR136)&gt;=Configuration!$C$51,AG136&lt;&gt;""),TRUE(),FALSE()),FALSE()))</f>
        <v>0</v>
      </c>
      <c r="CQ136" s="50" t="b">
        <f aca="false">IF(Configuration!$C$30="No","",IFERROR(IF(OR(AW136="Pending",AX136="Yes"),TRUE(),FALSE()),FALSE()))</f>
        <v>0</v>
      </c>
      <c r="CR136" s="50" t="b">
        <f aca="false">IF(Configuration!$C$31="No","",IFERROR(IF(AND(N(BG136)&gt;=Configuration!$C$52,N(AP136)&gt;=1),TRUE(),FALSE()),FALSE()))</f>
        <v>0</v>
      </c>
      <c r="CS136" s="50" t="b">
        <f aca="false">IF(Configuration!$C$32="No","",IFERROR(IF(AND(N(AR136)&gt;=1,OR(AG136&lt;&gt;"",AM136&lt;&gt;"")),TRUE(),FALSE()),FALSE()))</f>
        <v>0</v>
      </c>
      <c r="CT136" s="50" t="b">
        <f aca="false">IF(Configuration!$C$33="No","",IFERROR(IF(AG136&lt;&gt;"",TRUE(),FALSE()),FALSE()))</f>
        <v>0</v>
      </c>
      <c r="CU136" s="50" t="b">
        <f aca="false">IF(Configuration!$C$34="No","",IFERROR(IF(AX136="Yes",TRUE(),FALSE()),FALSE()))</f>
        <v>0</v>
      </c>
      <c r="CV136" s="50" t="b">
        <f aca="false">IF(Configuration!$C$35="No","",IFERROR(IF(OR(BO136="Partial",BO136="Full"),TRUE(),FALSE()),FALSE()))</f>
        <v>0</v>
      </c>
      <c r="CW136" s="50" t="b">
        <f aca="false">IF(Configuration!$C$36="No","",IFERROR(IF(BM136="Survived",TRUE(),FALSE()),FALSE()))</f>
        <v>0</v>
      </c>
      <c r="CX136" s="50" t="b">
        <f aca="false">IF(Configuration!$C$37="No","",IFERROR(IF(AND(BN136="Clean",BP136="None"),TRUE(),FALSE()),FALSE()))</f>
        <v>0</v>
      </c>
      <c r="CY136" s="50" t="b">
        <f aca="false">IF(Configuration!$C$38="No","",IFERROR(IF(N(BK136)&gt;=Configuration!$C$53,TRUE(),FALSE()),FALSE()))</f>
        <v>0</v>
      </c>
      <c r="CZ136" s="50" t="b">
        <f aca="false">IF(Configuration!$C$39="No","",IFERROR(IF(AND(N(BS136)&gt;=2,N(BF136)&gt;=2),TRUE(),FALSE()),FALSE()))</f>
        <v>0</v>
      </c>
      <c r="DA136" s="50" t="b">
        <f aca="false">IF(Configuration!$C$40="No","",IFERROR(IF(OR(N(BG136)&lt;=Configuration!$C$56,N(AY136)&lt;Configuration!$C$57,N(BH136)&lt;=Configuration!$C$58),TRUE(),FALSE()),FALSE()))</f>
        <v>1</v>
      </c>
      <c r="DB136" s="50" t="b">
        <f aca="false">IF(Configuration!$C$41="No","",IFERROR(IF(AND(N(AY136)&gt;=Configuration!$C$54,N(AY136)&lt;=Configuration!$C$55),TRUE(),FALSE()),FALSE()))</f>
        <v>0</v>
      </c>
      <c r="DC136" s="50" t="b">
        <f aca="false">IF(Configuration!$C$42="No","",IFERROR(IF(AND(AG136&lt;&gt;"",AJ136&lt;&gt;""),TRUE(),FALSE()),FALSE()))</f>
        <v>0</v>
      </c>
      <c r="DD136" s="51" t="n">
        <f aca="false">COUNTIF(BW136:DC136,TRUE())</f>
        <v>2</v>
      </c>
    </row>
    <row r="137" customFormat="false" ht="15" hidden="false" customHeight="true" outlineLevel="0" collapsed="false">
      <c r="A137" s="18" t="n">
        <v>98</v>
      </c>
      <c r="B137" s="44"/>
      <c r="C137" s="44"/>
      <c r="D137" s="44"/>
      <c r="E137" s="44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6" t="str">
        <f aca="false">IFERROR(IF(F137&lt;&gt;"",F137,""),"")</f>
        <v/>
      </c>
      <c r="AF137" s="46" t="str">
        <f aca="false">IFERROR(IF(G137&lt;&gt;"",G137,""),"")</f>
        <v/>
      </c>
      <c r="AG137" s="46" t="str">
        <f aca="false">IFERROR(IF(AA137&lt;&gt;"",AA137,IF(R137&lt;&gt;"",R137,"")),"")</f>
        <v/>
      </c>
      <c r="AH137" s="46" t="str">
        <f aca="false">IFERROR(IF(AB137&lt;&gt;"",AB137,IF(S137&lt;&gt;"",S137,"")),"")</f>
        <v/>
      </c>
      <c r="AI137" s="47"/>
      <c r="AJ137" s="47"/>
      <c r="AK137" s="47"/>
      <c r="AL137" s="47"/>
      <c r="AM137" s="47"/>
      <c r="AN137" s="47"/>
      <c r="AO137" s="47"/>
      <c r="AP137" s="47"/>
      <c r="AQ137" s="46" t="str">
        <f aca="false">IFERROR(IF(Y137&lt;&gt;"",VALUE(Y137),""),"")</f>
        <v/>
      </c>
      <c r="AR137" s="47"/>
      <c r="AS137" s="47"/>
      <c r="AT137" s="47"/>
      <c r="AU137" s="47"/>
      <c r="AV137" s="46" t="str">
        <f aca="false">IFERROR(IF(T137&lt;&gt;"",VALUE(T137),""),"")</f>
        <v/>
      </c>
      <c r="AW137" s="46" t="str">
        <f aca="false">IFERROR(IF(N137="","",IF(OR(ISNUMBER(SEARCH("grant",N137)),ISNUMBER(SEARCH("B",AC137))),"Granted",IF(OR(ISNUMBER(SEARCH("pend",N137)),ISNUMBER(SEARCH("A",AC137))),"Pending",IF(ISNUMBER(SEARCH("expir",N137)),"Expired",N137)))),"")</f>
        <v/>
      </c>
      <c r="AX137" s="47"/>
      <c r="AY137" s="46" t="str">
        <f aca="true">IFERROR(IF(M137&lt;&gt;"",ROUND(VALUE(M137),1),IF(L137&lt;&gt;"",ROUND(MAX(0,(DATEVALUE(TEXT(L137,"YYYY-MM-DD"))-TODAY())/365.25),1),"")),"")</f>
        <v/>
      </c>
      <c r="AZ137" s="46" t="str">
        <f aca="false">IFERROR(IF(O137&lt;&gt;"",O137,""),"")</f>
        <v/>
      </c>
      <c r="BA137" s="46" t="str">
        <f aca="false">IFERROR(IF(U137&lt;&gt;"",SUBSTITUTE(SUBSTITUTE(U137,"; ",", "),";",","),""),"")</f>
        <v/>
      </c>
      <c r="BB137" s="47"/>
      <c r="BC137" s="47"/>
      <c r="BD137" s="47"/>
      <c r="BE137" s="47"/>
      <c r="BF137" s="47"/>
      <c r="BG137" s="47"/>
      <c r="BH137" s="47"/>
      <c r="BI137" s="47"/>
      <c r="BJ137" s="47"/>
      <c r="BK137" s="46" t="str">
        <f aca="false">IFERROR(IF(W137&lt;&gt;"",VALUE(W137),""),"")</f>
        <v/>
      </c>
      <c r="BL137" s="46" t="str">
        <f aca="false">IFERROR(IF(X137&lt;&gt;"",VALUE(X137),""),"")</f>
        <v/>
      </c>
      <c r="BM137" s="46" t="str">
        <f aca="false">IFERROR(IF(AD137="","None",IF(ISNUMBER(SEARCH("surv",AD137)),"Survived",IF(ISNUMBER(SEARCH("pend",AD137)),"Pending",IF(ISNUMBER(SEARCH("yes",AD137)),"Pending","None")))),"None")</f>
        <v>None</v>
      </c>
      <c r="BN137" s="47"/>
      <c r="BO137" s="47"/>
      <c r="BP137" s="47"/>
      <c r="BQ137" s="47"/>
      <c r="BR137" s="47"/>
      <c r="BS137" s="47"/>
      <c r="BT137" s="47"/>
      <c r="BU137" s="48" t="n">
        <f aca="false">IFERROR(COUNTA(AE137:BT137)/42,0)</f>
        <v>0.30952380952381</v>
      </c>
      <c r="BV137" s="49"/>
      <c r="BW137" s="50" t="b">
        <f aca="false">IF(Configuration!$C$10="No","",IFERROR(IF(AG137&lt;&gt;"",TRUE(),FALSE()),FALSE()))</f>
        <v>0</v>
      </c>
      <c r="BX137" s="50" t="b">
        <f aca="false">IF(Configuration!$C$11="No","",IFERROR(IF(AND(N(AL137)&gt;=Configuration!$C$44,AM137&lt;&gt;""),TRUE(),FALSE()),FALSE()))</f>
        <v>0</v>
      </c>
      <c r="BY137" s="50" t="b">
        <f aca="false">IF(Configuration!$C$12="No","",IFERROR(IF(AJ137&lt;&gt;"",TRUE(),FALSE()),FALSE()))</f>
        <v>0</v>
      </c>
      <c r="BZ137" s="50" t="b">
        <f aca="false">IF(Configuration!$C$13="No","",IFERROR(IF(AI137&lt;&gt;"",TRUE(),FALSE()),FALSE()))</f>
        <v>0</v>
      </c>
      <c r="CA137" s="50" t="b">
        <f aca="false">IF(Configuration!$C$14="No","",IFERROR(IF(AK137&lt;&gt;"",TRUE(),FALSE()),FALSE()))</f>
        <v>0</v>
      </c>
      <c r="CB137" s="50" t="b">
        <f aca="false">IF(Configuration!$C$15="No","",IFERROR(IF(AND(OR(ISNUMBER(SEARCH("process",AG137)),ISNUMBER(SEARCH("fab",AG137)),ISNUMBER(SEARCH("manufac",AG137))),AO137="Method"),TRUE(),FALSE()),FALSE()))</f>
        <v>0</v>
      </c>
      <c r="CC137" s="50" t="b">
        <f aca="false">IF(Configuration!$C$16="No","",IFERROR(IF(AND(OR(ISNUMBER(SEARCH("material",AG137)),ISNUMBER(SEARCH("chem",AG137)),ISNUMBER(SEARCH("battery",AG137)),ISNUMBER(SEARCH("electrolyte",AG137)),ISNUMBER(SEARCH("polymer",AG137))),OR(AO137="Apparatus",AO137="Method")),TRUE(),FALSE()),FALSE()))</f>
        <v>0</v>
      </c>
      <c r="CD137" s="50" t="b">
        <f aca="false">IF(Configuration!$C$17="No","",IFERROR(IF(AND(OR(AI137="App",AI137="Middleware",AI137="Cloud"),OR(AO137="Method",AO137="CRM")),TRUE(),FALSE()),FALSE()))</f>
        <v>0</v>
      </c>
      <c r="CE137" s="50" t="b">
        <f aca="false">IF(Configuration!$C$18="No","",IFERROR(IF(N(AN137)&gt;=Configuration!$C$45,TRUE(),FALSE()),FALSE()))</f>
        <v>0</v>
      </c>
      <c r="CF137" s="50" t="b">
        <f aca="false">IF(Configuration!$C$19="No","",IFERROR(IF(BE137&lt;&gt;"",TRUE(),FALSE()),FALSE()))</f>
        <v>0</v>
      </c>
      <c r="CG137" s="50" t="b">
        <f aca="false">IF(Configuration!$C$20="No","",IFERROR(IF(AO137&lt;&gt;"",TRUE(),FALSE()),FALSE()))</f>
        <v>0</v>
      </c>
      <c r="CH137" s="50" t="b">
        <f aca="false">IF(Configuration!$C$21="No","",IFERROR(IF(OR(N(AS137)&gt;=Configuration!$C$46,N(AT137)&gt;=Configuration!$C$47),TRUE(),FALSE()),FALSE()))</f>
        <v>0</v>
      </c>
      <c r="CI137" s="50" t="b">
        <f aca="false">IF(Configuration!$C$22="No","",IFERROR(IF(BB137="Yes",TRUE(),FALSE()),FALSE()))</f>
        <v>0</v>
      </c>
      <c r="CJ137" s="50" t="b">
        <f aca="false">IF(Configuration!$C$23="No","",IFERROR(IF(N(AV137)&gt;=Configuration!$C$48,TRUE(),FALSE()),FALSE()))</f>
        <v>0</v>
      </c>
      <c r="CK137" s="50" t="b">
        <f aca="false">IF(Configuration!$C$24="No","",IFERROR(IF(N(AY137)&gt;0,TRUE(),FALSE()),FALSE()))</f>
        <v>0</v>
      </c>
      <c r="CL137" s="50" t="b">
        <f aca="false">IF(Configuration!$C$25="No","",IFERROR(IF(OR(N(AP137)=3,N(AP137)&lt;=1),TRUE(),FALSE()),FALSE()))</f>
        <v>1</v>
      </c>
      <c r="CM137" s="50" t="b">
        <f aca="false">IF(Configuration!$C$26="No","",IFERROR(IF(N(BF137)&gt;=Configuration!$C$49,TRUE(),FALSE()),FALSE()))</f>
        <v>0</v>
      </c>
      <c r="CN137" s="50" t="b">
        <f aca="false">IF(Configuration!$C$27="No","",IFERROR(IF(BD137&lt;&gt;"",TRUE(),FALSE()),FALSE()))</f>
        <v>0</v>
      </c>
      <c r="CO137" s="50" t="b">
        <f aca="false">IF(Configuration!$C$28="No","",IFERROR(IF(N(AU137)&gt;=Configuration!$C$50,TRUE(),FALSE()),FALSE()))</f>
        <v>0</v>
      </c>
      <c r="CP137" s="50" t="b">
        <f aca="false">IF(Configuration!$C$29="No","",IFERROR(IF(AND(N(AR137)&gt;=Configuration!$C$51,AG137&lt;&gt;""),TRUE(),FALSE()),FALSE()))</f>
        <v>0</v>
      </c>
      <c r="CQ137" s="50" t="b">
        <f aca="false">IF(Configuration!$C$30="No","",IFERROR(IF(OR(AW137="Pending",AX137="Yes"),TRUE(),FALSE()),FALSE()))</f>
        <v>0</v>
      </c>
      <c r="CR137" s="50" t="b">
        <f aca="false">IF(Configuration!$C$31="No","",IFERROR(IF(AND(N(BG137)&gt;=Configuration!$C$52,N(AP137)&gt;=1),TRUE(),FALSE()),FALSE()))</f>
        <v>0</v>
      </c>
      <c r="CS137" s="50" t="b">
        <f aca="false">IF(Configuration!$C$32="No","",IFERROR(IF(AND(N(AR137)&gt;=1,OR(AG137&lt;&gt;"",AM137&lt;&gt;"")),TRUE(),FALSE()),FALSE()))</f>
        <v>0</v>
      </c>
      <c r="CT137" s="50" t="b">
        <f aca="false">IF(Configuration!$C$33="No","",IFERROR(IF(AG137&lt;&gt;"",TRUE(),FALSE()),FALSE()))</f>
        <v>0</v>
      </c>
      <c r="CU137" s="50" t="b">
        <f aca="false">IF(Configuration!$C$34="No","",IFERROR(IF(AX137="Yes",TRUE(),FALSE()),FALSE()))</f>
        <v>0</v>
      </c>
      <c r="CV137" s="50" t="b">
        <f aca="false">IF(Configuration!$C$35="No","",IFERROR(IF(OR(BO137="Partial",BO137="Full"),TRUE(),FALSE()),FALSE()))</f>
        <v>0</v>
      </c>
      <c r="CW137" s="50" t="b">
        <f aca="false">IF(Configuration!$C$36="No","",IFERROR(IF(BM137="Survived",TRUE(),FALSE()),FALSE()))</f>
        <v>0</v>
      </c>
      <c r="CX137" s="50" t="b">
        <f aca="false">IF(Configuration!$C$37="No","",IFERROR(IF(AND(BN137="Clean",BP137="None"),TRUE(),FALSE()),FALSE()))</f>
        <v>0</v>
      </c>
      <c r="CY137" s="50" t="b">
        <f aca="false">IF(Configuration!$C$38="No","",IFERROR(IF(N(BK137)&gt;=Configuration!$C$53,TRUE(),FALSE()),FALSE()))</f>
        <v>0</v>
      </c>
      <c r="CZ137" s="50" t="b">
        <f aca="false">IF(Configuration!$C$39="No","",IFERROR(IF(AND(N(BS137)&gt;=2,N(BF137)&gt;=2),TRUE(),FALSE()),FALSE()))</f>
        <v>0</v>
      </c>
      <c r="DA137" s="50" t="b">
        <f aca="false">IF(Configuration!$C$40="No","",IFERROR(IF(OR(N(BG137)&lt;=Configuration!$C$56,N(AY137)&lt;Configuration!$C$57,N(BH137)&lt;=Configuration!$C$58),TRUE(),FALSE()),FALSE()))</f>
        <v>1</v>
      </c>
      <c r="DB137" s="50" t="b">
        <f aca="false">IF(Configuration!$C$41="No","",IFERROR(IF(AND(N(AY137)&gt;=Configuration!$C$54,N(AY137)&lt;=Configuration!$C$55),TRUE(),FALSE()),FALSE()))</f>
        <v>0</v>
      </c>
      <c r="DC137" s="50" t="b">
        <f aca="false">IF(Configuration!$C$42="No","",IFERROR(IF(AND(AG137&lt;&gt;"",AJ137&lt;&gt;""),TRUE(),FALSE()),FALSE()))</f>
        <v>0</v>
      </c>
      <c r="DD137" s="51" t="n">
        <f aca="false">COUNTIF(BW137:DC137,TRUE())</f>
        <v>2</v>
      </c>
    </row>
    <row r="138" customFormat="false" ht="15" hidden="false" customHeight="true" outlineLevel="0" collapsed="false">
      <c r="A138" s="18" t="n">
        <v>99</v>
      </c>
      <c r="B138" s="44"/>
      <c r="C138" s="44"/>
      <c r="D138" s="44"/>
      <c r="E138" s="44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6" t="str">
        <f aca="false">IFERROR(IF(F138&lt;&gt;"",F138,""),"")</f>
        <v/>
      </c>
      <c r="AF138" s="46" t="str">
        <f aca="false">IFERROR(IF(G138&lt;&gt;"",G138,""),"")</f>
        <v/>
      </c>
      <c r="AG138" s="46" t="str">
        <f aca="false">IFERROR(IF(AA138&lt;&gt;"",AA138,IF(R138&lt;&gt;"",R138,"")),"")</f>
        <v/>
      </c>
      <c r="AH138" s="46" t="str">
        <f aca="false">IFERROR(IF(AB138&lt;&gt;"",AB138,IF(S138&lt;&gt;"",S138,"")),"")</f>
        <v/>
      </c>
      <c r="AI138" s="47"/>
      <c r="AJ138" s="47"/>
      <c r="AK138" s="47"/>
      <c r="AL138" s="47"/>
      <c r="AM138" s="47"/>
      <c r="AN138" s="47"/>
      <c r="AO138" s="47"/>
      <c r="AP138" s="47"/>
      <c r="AQ138" s="46" t="str">
        <f aca="false">IFERROR(IF(Y138&lt;&gt;"",VALUE(Y138),""),"")</f>
        <v/>
      </c>
      <c r="AR138" s="47"/>
      <c r="AS138" s="47"/>
      <c r="AT138" s="47"/>
      <c r="AU138" s="47"/>
      <c r="AV138" s="46" t="str">
        <f aca="false">IFERROR(IF(T138&lt;&gt;"",VALUE(T138),""),"")</f>
        <v/>
      </c>
      <c r="AW138" s="46" t="str">
        <f aca="false">IFERROR(IF(N138="","",IF(OR(ISNUMBER(SEARCH("grant",N138)),ISNUMBER(SEARCH("B",AC138))),"Granted",IF(OR(ISNUMBER(SEARCH("pend",N138)),ISNUMBER(SEARCH("A",AC138))),"Pending",IF(ISNUMBER(SEARCH("expir",N138)),"Expired",N138)))),"")</f>
        <v/>
      </c>
      <c r="AX138" s="47"/>
      <c r="AY138" s="46" t="str">
        <f aca="true">IFERROR(IF(M138&lt;&gt;"",ROUND(VALUE(M138),1),IF(L138&lt;&gt;"",ROUND(MAX(0,(DATEVALUE(TEXT(L138,"YYYY-MM-DD"))-TODAY())/365.25),1),"")),"")</f>
        <v/>
      </c>
      <c r="AZ138" s="46" t="str">
        <f aca="false">IFERROR(IF(O138&lt;&gt;"",O138,""),"")</f>
        <v/>
      </c>
      <c r="BA138" s="46" t="str">
        <f aca="false">IFERROR(IF(U138&lt;&gt;"",SUBSTITUTE(SUBSTITUTE(U138,"; ",", "),";",","),""),"")</f>
        <v/>
      </c>
      <c r="BB138" s="47"/>
      <c r="BC138" s="47"/>
      <c r="BD138" s="47"/>
      <c r="BE138" s="47"/>
      <c r="BF138" s="47"/>
      <c r="BG138" s="47"/>
      <c r="BH138" s="47"/>
      <c r="BI138" s="47"/>
      <c r="BJ138" s="47"/>
      <c r="BK138" s="46" t="str">
        <f aca="false">IFERROR(IF(W138&lt;&gt;"",VALUE(W138),""),"")</f>
        <v/>
      </c>
      <c r="BL138" s="46" t="str">
        <f aca="false">IFERROR(IF(X138&lt;&gt;"",VALUE(X138),""),"")</f>
        <v/>
      </c>
      <c r="BM138" s="46" t="str">
        <f aca="false">IFERROR(IF(AD138="","None",IF(ISNUMBER(SEARCH("surv",AD138)),"Survived",IF(ISNUMBER(SEARCH("pend",AD138)),"Pending",IF(ISNUMBER(SEARCH("yes",AD138)),"Pending","None")))),"None")</f>
        <v>None</v>
      </c>
      <c r="BN138" s="47"/>
      <c r="BO138" s="47"/>
      <c r="BP138" s="47"/>
      <c r="BQ138" s="47"/>
      <c r="BR138" s="47"/>
      <c r="BS138" s="47"/>
      <c r="BT138" s="47"/>
      <c r="BU138" s="48" t="n">
        <f aca="false">IFERROR(COUNTA(AE138:BT138)/42,0)</f>
        <v>0.30952380952381</v>
      </c>
      <c r="BV138" s="49"/>
      <c r="BW138" s="50" t="b">
        <f aca="false">IF(Configuration!$C$10="No","",IFERROR(IF(AG138&lt;&gt;"",TRUE(),FALSE()),FALSE()))</f>
        <v>0</v>
      </c>
      <c r="BX138" s="50" t="b">
        <f aca="false">IF(Configuration!$C$11="No","",IFERROR(IF(AND(N(AL138)&gt;=Configuration!$C$44,AM138&lt;&gt;""),TRUE(),FALSE()),FALSE()))</f>
        <v>0</v>
      </c>
      <c r="BY138" s="50" t="b">
        <f aca="false">IF(Configuration!$C$12="No","",IFERROR(IF(AJ138&lt;&gt;"",TRUE(),FALSE()),FALSE()))</f>
        <v>0</v>
      </c>
      <c r="BZ138" s="50" t="b">
        <f aca="false">IF(Configuration!$C$13="No","",IFERROR(IF(AI138&lt;&gt;"",TRUE(),FALSE()),FALSE()))</f>
        <v>0</v>
      </c>
      <c r="CA138" s="50" t="b">
        <f aca="false">IF(Configuration!$C$14="No","",IFERROR(IF(AK138&lt;&gt;"",TRUE(),FALSE()),FALSE()))</f>
        <v>0</v>
      </c>
      <c r="CB138" s="50" t="b">
        <f aca="false">IF(Configuration!$C$15="No","",IFERROR(IF(AND(OR(ISNUMBER(SEARCH("process",AG138)),ISNUMBER(SEARCH("fab",AG138)),ISNUMBER(SEARCH("manufac",AG138))),AO138="Method"),TRUE(),FALSE()),FALSE()))</f>
        <v>0</v>
      </c>
      <c r="CC138" s="50" t="b">
        <f aca="false">IF(Configuration!$C$16="No","",IFERROR(IF(AND(OR(ISNUMBER(SEARCH("material",AG138)),ISNUMBER(SEARCH("chem",AG138)),ISNUMBER(SEARCH("battery",AG138)),ISNUMBER(SEARCH("electrolyte",AG138)),ISNUMBER(SEARCH("polymer",AG138))),OR(AO138="Apparatus",AO138="Method")),TRUE(),FALSE()),FALSE()))</f>
        <v>0</v>
      </c>
      <c r="CD138" s="50" t="b">
        <f aca="false">IF(Configuration!$C$17="No","",IFERROR(IF(AND(OR(AI138="App",AI138="Middleware",AI138="Cloud"),OR(AO138="Method",AO138="CRM")),TRUE(),FALSE()),FALSE()))</f>
        <v>0</v>
      </c>
      <c r="CE138" s="50" t="b">
        <f aca="false">IF(Configuration!$C$18="No","",IFERROR(IF(N(AN138)&gt;=Configuration!$C$45,TRUE(),FALSE()),FALSE()))</f>
        <v>0</v>
      </c>
      <c r="CF138" s="50" t="b">
        <f aca="false">IF(Configuration!$C$19="No","",IFERROR(IF(BE138&lt;&gt;"",TRUE(),FALSE()),FALSE()))</f>
        <v>0</v>
      </c>
      <c r="CG138" s="50" t="b">
        <f aca="false">IF(Configuration!$C$20="No","",IFERROR(IF(AO138&lt;&gt;"",TRUE(),FALSE()),FALSE()))</f>
        <v>0</v>
      </c>
      <c r="CH138" s="50" t="b">
        <f aca="false">IF(Configuration!$C$21="No","",IFERROR(IF(OR(N(AS138)&gt;=Configuration!$C$46,N(AT138)&gt;=Configuration!$C$47),TRUE(),FALSE()),FALSE()))</f>
        <v>0</v>
      </c>
      <c r="CI138" s="50" t="b">
        <f aca="false">IF(Configuration!$C$22="No","",IFERROR(IF(BB138="Yes",TRUE(),FALSE()),FALSE()))</f>
        <v>0</v>
      </c>
      <c r="CJ138" s="50" t="b">
        <f aca="false">IF(Configuration!$C$23="No","",IFERROR(IF(N(AV138)&gt;=Configuration!$C$48,TRUE(),FALSE()),FALSE()))</f>
        <v>0</v>
      </c>
      <c r="CK138" s="50" t="b">
        <f aca="false">IF(Configuration!$C$24="No","",IFERROR(IF(N(AY138)&gt;0,TRUE(),FALSE()),FALSE()))</f>
        <v>0</v>
      </c>
      <c r="CL138" s="50" t="b">
        <f aca="false">IF(Configuration!$C$25="No","",IFERROR(IF(OR(N(AP138)=3,N(AP138)&lt;=1),TRUE(),FALSE()),FALSE()))</f>
        <v>1</v>
      </c>
      <c r="CM138" s="50" t="b">
        <f aca="false">IF(Configuration!$C$26="No","",IFERROR(IF(N(BF138)&gt;=Configuration!$C$49,TRUE(),FALSE()),FALSE()))</f>
        <v>0</v>
      </c>
      <c r="CN138" s="50" t="b">
        <f aca="false">IF(Configuration!$C$27="No","",IFERROR(IF(BD138&lt;&gt;"",TRUE(),FALSE()),FALSE()))</f>
        <v>0</v>
      </c>
      <c r="CO138" s="50" t="b">
        <f aca="false">IF(Configuration!$C$28="No","",IFERROR(IF(N(AU138)&gt;=Configuration!$C$50,TRUE(),FALSE()),FALSE()))</f>
        <v>0</v>
      </c>
      <c r="CP138" s="50" t="b">
        <f aca="false">IF(Configuration!$C$29="No","",IFERROR(IF(AND(N(AR138)&gt;=Configuration!$C$51,AG138&lt;&gt;""),TRUE(),FALSE()),FALSE()))</f>
        <v>0</v>
      </c>
      <c r="CQ138" s="50" t="b">
        <f aca="false">IF(Configuration!$C$30="No","",IFERROR(IF(OR(AW138="Pending",AX138="Yes"),TRUE(),FALSE()),FALSE()))</f>
        <v>0</v>
      </c>
      <c r="CR138" s="50" t="b">
        <f aca="false">IF(Configuration!$C$31="No","",IFERROR(IF(AND(N(BG138)&gt;=Configuration!$C$52,N(AP138)&gt;=1),TRUE(),FALSE()),FALSE()))</f>
        <v>0</v>
      </c>
      <c r="CS138" s="50" t="b">
        <f aca="false">IF(Configuration!$C$32="No","",IFERROR(IF(AND(N(AR138)&gt;=1,OR(AG138&lt;&gt;"",AM138&lt;&gt;"")),TRUE(),FALSE()),FALSE()))</f>
        <v>0</v>
      </c>
      <c r="CT138" s="50" t="b">
        <f aca="false">IF(Configuration!$C$33="No","",IFERROR(IF(AG138&lt;&gt;"",TRUE(),FALSE()),FALSE()))</f>
        <v>0</v>
      </c>
      <c r="CU138" s="50" t="b">
        <f aca="false">IF(Configuration!$C$34="No","",IFERROR(IF(AX138="Yes",TRUE(),FALSE()),FALSE()))</f>
        <v>0</v>
      </c>
      <c r="CV138" s="50" t="b">
        <f aca="false">IF(Configuration!$C$35="No","",IFERROR(IF(OR(BO138="Partial",BO138="Full"),TRUE(),FALSE()),FALSE()))</f>
        <v>0</v>
      </c>
      <c r="CW138" s="50" t="b">
        <f aca="false">IF(Configuration!$C$36="No","",IFERROR(IF(BM138="Survived",TRUE(),FALSE()),FALSE()))</f>
        <v>0</v>
      </c>
      <c r="CX138" s="50" t="b">
        <f aca="false">IF(Configuration!$C$37="No","",IFERROR(IF(AND(BN138="Clean",BP138="None"),TRUE(),FALSE()),FALSE()))</f>
        <v>0</v>
      </c>
      <c r="CY138" s="50" t="b">
        <f aca="false">IF(Configuration!$C$38="No","",IFERROR(IF(N(BK138)&gt;=Configuration!$C$53,TRUE(),FALSE()),FALSE()))</f>
        <v>0</v>
      </c>
      <c r="CZ138" s="50" t="b">
        <f aca="false">IF(Configuration!$C$39="No","",IFERROR(IF(AND(N(BS138)&gt;=2,N(BF138)&gt;=2),TRUE(),FALSE()),FALSE()))</f>
        <v>0</v>
      </c>
      <c r="DA138" s="50" t="b">
        <f aca="false">IF(Configuration!$C$40="No","",IFERROR(IF(OR(N(BG138)&lt;=Configuration!$C$56,N(AY138)&lt;Configuration!$C$57,N(BH138)&lt;=Configuration!$C$58),TRUE(),FALSE()),FALSE()))</f>
        <v>1</v>
      </c>
      <c r="DB138" s="50" t="b">
        <f aca="false">IF(Configuration!$C$41="No","",IFERROR(IF(AND(N(AY138)&gt;=Configuration!$C$54,N(AY138)&lt;=Configuration!$C$55),TRUE(),FALSE()),FALSE()))</f>
        <v>0</v>
      </c>
      <c r="DC138" s="50" t="b">
        <f aca="false">IF(Configuration!$C$42="No","",IFERROR(IF(AND(AG138&lt;&gt;"",AJ138&lt;&gt;""),TRUE(),FALSE()),FALSE()))</f>
        <v>0</v>
      </c>
      <c r="DD138" s="51" t="n">
        <f aca="false">COUNTIF(BW138:DC138,TRUE())</f>
        <v>2</v>
      </c>
    </row>
    <row r="139" customFormat="false" ht="15" hidden="false" customHeight="true" outlineLevel="0" collapsed="false">
      <c r="A139" s="18" t="n">
        <v>100</v>
      </c>
      <c r="B139" s="44"/>
      <c r="C139" s="44"/>
      <c r="D139" s="44"/>
      <c r="E139" s="44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6" t="str">
        <f aca="false">IFERROR(IF(F139&lt;&gt;"",F139,""),"")</f>
        <v/>
      </c>
      <c r="AF139" s="46" t="str">
        <f aca="false">IFERROR(IF(G139&lt;&gt;"",G139,""),"")</f>
        <v/>
      </c>
      <c r="AG139" s="46" t="str">
        <f aca="false">IFERROR(IF(AA139&lt;&gt;"",AA139,IF(R139&lt;&gt;"",R139,"")),"")</f>
        <v/>
      </c>
      <c r="AH139" s="46" t="str">
        <f aca="false">IFERROR(IF(AB139&lt;&gt;"",AB139,IF(S139&lt;&gt;"",S139,"")),"")</f>
        <v/>
      </c>
      <c r="AI139" s="47"/>
      <c r="AJ139" s="47"/>
      <c r="AK139" s="47"/>
      <c r="AL139" s="47"/>
      <c r="AM139" s="47"/>
      <c r="AN139" s="47"/>
      <c r="AO139" s="47"/>
      <c r="AP139" s="47"/>
      <c r="AQ139" s="46" t="str">
        <f aca="false">IFERROR(IF(Y139&lt;&gt;"",VALUE(Y139),""),"")</f>
        <v/>
      </c>
      <c r="AR139" s="47"/>
      <c r="AS139" s="47"/>
      <c r="AT139" s="47"/>
      <c r="AU139" s="47"/>
      <c r="AV139" s="46" t="str">
        <f aca="false">IFERROR(IF(T139&lt;&gt;"",VALUE(T139),""),"")</f>
        <v/>
      </c>
      <c r="AW139" s="46" t="str">
        <f aca="false">IFERROR(IF(N139="","",IF(OR(ISNUMBER(SEARCH("grant",N139)),ISNUMBER(SEARCH("B",AC139))),"Granted",IF(OR(ISNUMBER(SEARCH("pend",N139)),ISNUMBER(SEARCH("A",AC139))),"Pending",IF(ISNUMBER(SEARCH("expir",N139)),"Expired",N139)))),"")</f>
        <v/>
      </c>
      <c r="AX139" s="47"/>
      <c r="AY139" s="46" t="str">
        <f aca="true">IFERROR(IF(M139&lt;&gt;"",ROUND(VALUE(M139),1),IF(L139&lt;&gt;"",ROUND(MAX(0,(DATEVALUE(TEXT(L139,"YYYY-MM-DD"))-TODAY())/365.25),1),"")),"")</f>
        <v/>
      </c>
      <c r="AZ139" s="46" t="str">
        <f aca="false">IFERROR(IF(O139&lt;&gt;"",O139,""),"")</f>
        <v/>
      </c>
      <c r="BA139" s="46" t="str">
        <f aca="false">IFERROR(IF(U139&lt;&gt;"",SUBSTITUTE(SUBSTITUTE(U139,"; ",", "),";",","),""),"")</f>
        <v/>
      </c>
      <c r="BB139" s="47"/>
      <c r="BC139" s="47"/>
      <c r="BD139" s="47"/>
      <c r="BE139" s="47"/>
      <c r="BF139" s="47"/>
      <c r="BG139" s="47"/>
      <c r="BH139" s="47"/>
      <c r="BI139" s="47"/>
      <c r="BJ139" s="47"/>
      <c r="BK139" s="46" t="str">
        <f aca="false">IFERROR(IF(W139&lt;&gt;"",VALUE(W139),""),"")</f>
        <v/>
      </c>
      <c r="BL139" s="46" t="str">
        <f aca="false">IFERROR(IF(X139&lt;&gt;"",VALUE(X139),""),"")</f>
        <v/>
      </c>
      <c r="BM139" s="46" t="str">
        <f aca="false">IFERROR(IF(AD139="","None",IF(ISNUMBER(SEARCH("surv",AD139)),"Survived",IF(ISNUMBER(SEARCH("pend",AD139)),"Pending",IF(ISNUMBER(SEARCH("yes",AD139)),"Pending","None")))),"None")</f>
        <v>None</v>
      </c>
      <c r="BN139" s="47"/>
      <c r="BO139" s="47"/>
      <c r="BP139" s="47"/>
      <c r="BQ139" s="47"/>
      <c r="BR139" s="47"/>
      <c r="BS139" s="47"/>
      <c r="BT139" s="47"/>
      <c r="BU139" s="48" t="n">
        <f aca="false">IFERROR(COUNTA(AE139:BT139)/42,0)</f>
        <v>0.30952380952381</v>
      </c>
      <c r="BV139" s="49"/>
      <c r="BW139" s="50" t="b">
        <f aca="false">IF(Configuration!$C$10="No","",IFERROR(IF(AG139&lt;&gt;"",TRUE(),FALSE()),FALSE()))</f>
        <v>0</v>
      </c>
      <c r="BX139" s="50" t="b">
        <f aca="false">IF(Configuration!$C$11="No","",IFERROR(IF(AND(N(AL139)&gt;=Configuration!$C$44,AM139&lt;&gt;""),TRUE(),FALSE()),FALSE()))</f>
        <v>0</v>
      </c>
      <c r="BY139" s="50" t="b">
        <f aca="false">IF(Configuration!$C$12="No","",IFERROR(IF(AJ139&lt;&gt;"",TRUE(),FALSE()),FALSE()))</f>
        <v>0</v>
      </c>
      <c r="BZ139" s="50" t="b">
        <f aca="false">IF(Configuration!$C$13="No","",IFERROR(IF(AI139&lt;&gt;"",TRUE(),FALSE()),FALSE()))</f>
        <v>0</v>
      </c>
      <c r="CA139" s="50" t="b">
        <f aca="false">IF(Configuration!$C$14="No","",IFERROR(IF(AK139&lt;&gt;"",TRUE(),FALSE()),FALSE()))</f>
        <v>0</v>
      </c>
      <c r="CB139" s="50" t="b">
        <f aca="false">IF(Configuration!$C$15="No","",IFERROR(IF(AND(OR(ISNUMBER(SEARCH("process",AG139)),ISNUMBER(SEARCH("fab",AG139)),ISNUMBER(SEARCH("manufac",AG139))),AO139="Method"),TRUE(),FALSE()),FALSE()))</f>
        <v>0</v>
      </c>
      <c r="CC139" s="50" t="b">
        <f aca="false">IF(Configuration!$C$16="No","",IFERROR(IF(AND(OR(ISNUMBER(SEARCH("material",AG139)),ISNUMBER(SEARCH("chem",AG139)),ISNUMBER(SEARCH("battery",AG139)),ISNUMBER(SEARCH("electrolyte",AG139)),ISNUMBER(SEARCH("polymer",AG139))),OR(AO139="Apparatus",AO139="Method")),TRUE(),FALSE()),FALSE()))</f>
        <v>0</v>
      </c>
      <c r="CD139" s="50" t="b">
        <f aca="false">IF(Configuration!$C$17="No","",IFERROR(IF(AND(OR(AI139="App",AI139="Middleware",AI139="Cloud"),OR(AO139="Method",AO139="CRM")),TRUE(),FALSE()),FALSE()))</f>
        <v>0</v>
      </c>
      <c r="CE139" s="50" t="b">
        <f aca="false">IF(Configuration!$C$18="No","",IFERROR(IF(N(AN139)&gt;=Configuration!$C$45,TRUE(),FALSE()),FALSE()))</f>
        <v>0</v>
      </c>
      <c r="CF139" s="50" t="b">
        <f aca="false">IF(Configuration!$C$19="No","",IFERROR(IF(BE139&lt;&gt;"",TRUE(),FALSE()),FALSE()))</f>
        <v>0</v>
      </c>
      <c r="CG139" s="50" t="b">
        <f aca="false">IF(Configuration!$C$20="No","",IFERROR(IF(AO139&lt;&gt;"",TRUE(),FALSE()),FALSE()))</f>
        <v>0</v>
      </c>
      <c r="CH139" s="50" t="b">
        <f aca="false">IF(Configuration!$C$21="No","",IFERROR(IF(OR(N(AS139)&gt;=Configuration!$C$46,N(AT139)&gt;=Configuration!$C$47),TRUE(),FALSE()),FALSE()))</f>
        <v>0</v>
      </c>
      <c r="CI139" s="50" t="b">
        <f aca="false">IF(Configuration!$C$22="No","",IFERROR(IF(BB139="Yes",TRUE(),FALSE()),FALSE()))</f>
        <v>0</v>
      </c>
      <c r="CJ139" s="50" t="b">
        <f aca="false">IF(Configuration!$C$23="No","",IFERROR(IF(N(AV139)&gt;=Configuration!$C$48,TRUE(),FALSE()),FALSE()))</f>
        <v>0</v>
      </c>
      <c r="CK139" s="50" t="b">
        <f aca="false">IF(Configuration!$C$24="No","",IFERROR(IF(N(AY139)&gt;0,TRUE(),FALSE()),FALSE()))</f>
        <v>0</v>
      </c>
      <c r="CL139" s="50" t="b">
        <f aca="false">IF(Configuration!$C$25="No","",IFERROR(IF(OR(N(AP139)=3,N(AP139)&lt;=1),TRUE(),FALSE()),FALSE()))</f>
        <v>1</v>
      </c>
      <c r="CM139" s="50" t="b">
        <f aca="false">IF(Configuration!$C$26="No","",IFERROR(IF(N(BF139)&gt;=Configuration!$C$49,TRUE(),FALSE()),FALSE()))</f>
        <v>0</v>
      </c>
      <c r="CN139" s="50" t="b">
        <f aca="false">IF(Configuration!$C$27="No","",IFERROR(IF(BD139&lt;&gt;"",TRUE(),FALSE()),FALSE()))</f>
        <v>0</v>
      </c>
      <c r="CO139" s="50" t="b">
        <f aca="false">IF(Configuration!$C$28="No","",IFERROR(IF(N(AU139)&gt;=Configuration!$C$50,TRUE(),FALSE()),FALSE()))</f>
        <v>0</v>
      </c>
      <c r="CP139" s="50" t="b">
        <f aca="false">IF(Configuration!$C$29="No","",IFERROR(IF(AND(N(AR139)&gt;=Configuration!$C$51,AG139&lt;&gt;""),TRUE(),FALSE()),FALSE()))</f>
        <v>0</v>
      </c>
      <c r="CQ139" s="50" t="b">
        <f aca="false">IF(Configuration!$C$30="No","",IFERROR(IF(OR(AW139="Pending",AX139="Yes"),TRUE(),FALSE()),FALSE()))</f>
        <v>0</v>
      </c>
      <c r="CR139" s="50" t="b">
        <f aca="false">IF(Configuration!$C$31="No","",IFERROR(IF(AND(N(BG139)&gt;=Configuration!$C$52,N(AP139)&gt;=1),TRUE(),FALSE()),FALSE()))</f>
        <v>0</v>
      </c>
      <c r="CS139" s="50" t="b">
        <f aca="false">IF(Configuration!$C$32="No","",IFERROR(IF(AND(N(AR139)&gt;=1,OR(AG139&lt;&gt;"",AM139&lt;&gt;"")),TRUE(),FALSE()),FALSE()))</f>
        <v>0</v>
      </c>
      <c r="CT139" s="50" t="b">
        <f aca="false">IF(Configuration!$C$33="No","",IFERROR(IF(AG139&lt;&gt;"",TRUE(),FALSE()),FALSE()))</f>
        <v>0</v>
      </c>
      <c r="CU139" s="50" t="b">
        <f aca="false">IF(Configuration!$C$34="No","",IFERROR(IF(AX139="Yes",TRUE(),FALSE()),FALSE()))</f>
        <v>0</v>
      </c>
      <c r="CV139" s="50" t="b">
        <f aca="false">IF(Configuration!$C$35="No","",IFERROR(IF(OR(BO139="Partial",BO139="Full"),TRUE(),FALSE()),FALSE()))</f>
        <v>0</v>
      </c>
      <c r="CW139" s="50" t="b">
        <f aca="false">IF(Configuration!$C$36="No","",IFERROR(IF(BM139="Survived",TRUE(),FALSE()),FALSE()))</f>
        <v>0</v>
      </c>
      <c r="CX139" s="50" t="b">
        <f aca="false">IF(Configuration!$C$37="No","",IFERROR(IF(AND(BN139="Clean",BP139="None"),TRUE(),FALSE()),FALSE()))</f>
        <v>0</v>
      </c>
      <c r="CY139" s="50" t="b">
        <f aca="false">IF(Configuration!$C$38="No","",IFERROR(IF(N(BK139)&gt;=Configuration!$C$53,TRUE(),FALSE()),FALSE()))</f>
        <v>0</v>
      </c>
      <c r="CZ139" s="50" t="b">
        <f aca="false">IF(Configuration!$C$39="No","",IFERROR(IF(AND(N(BS139)&gt;=2,N(BF139)&gt;=2),TRUE(),FALSE()),FALSE()))</f>
        <v>0</v>
      </c>
      <c r="DA139" s="50" t="b">
        <f aca="false">IF(Configuration!$C$40="No","",IFERROR(IF(OR(N(BG139)&lt;=Configuration!$C$56,N(AY139)&lt;Configuration!$C$57,N(BH139)&lt;=Configuration!$C$58),TRUE(),FALSE()),FALSE()))</f>
        <v>1</v>
      </c>
      <c r="DB139" s="50" t="b">
        <f aca="false">IF(Configuration!$C$41="No","",IFERROR(IF(AND(N(AY139)&gt;=Configuration!$C$54,N(AY139)&lt;=Configuration!$C$55),TRUE(),FALSE()),FALSE()))</f>
        <v>0</v>
      </c>
      <c r="DC139" s="50" t="b">
        <f aca="false">IF(Configuration!$C$42="No","",IFERROR(IF(AND(AG139&lt;&gt;"",AJ139&lt;&gt;""),TRUE(),FALSE()),FALSE()))</f>
        <v>0</v>
      </c>
      <c r="DD139" s="51" t="n">
        <f aca="false">COUNTIF(BW139:DC139,TRUE())</f>
        <v>2</v>
      </c>
    </row>
    <row r="140" customFormat="false" ht="15" hidden="false" customHeight="true" outlineLevel="0" collapsed="false">
      <c r="A140" s="18" t="n">
        <v>101</v>
      </c>
      <c r="B140" s="44"/>
      <c r="C140" s="44"/>
      <c r="D140" s="44"/>
      <c r="E140" s="44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6" t="str">
        <f aca="false">IFERROR(IF(F140&lt;&gt;"",F140,""),"")</f>
        <v/>
      </c>
      <c r="AF140" s="46" t="str">
        <f aca="false">IFERROR(IF(G140&lt;&gt;"",G140,""),"")</f>
        <v/>
      </c>
      <c r="AG140" s="46" t="str">
        <f aca="false">IFERROR(IF(AA140&lt;&gt;"",AA140,IF(R140&lt;&gt;"",R140,"")),"")</f>
        <v/>
      </c>
      <c r="AH140" s="46" t="str">
        <f aca="false">IFERROR(IF(AB140&lt;&gt;"",AB140,IF(S140&lt;&gt;"",S140,"")),"")</f>
        <v/>
      </c>
      <c r="AI140" s="47"/>
      <c r="AJ140" s="47"/>
      <c r="AK140" s="47"/>
      <c r="AL140" s="47"/>
      <c r="AM140" s="47"/>
      <c r="AN140" s="47"/>
      <c r="AO140" s="47"/>
      <c r="AP140" s="47"/>
      <c r="AQ140" s="46" t="str">
        <f aca="false">IFERROR(IF(Y140&lt;&gt;"",VALUE(Y140),""),"")</f>
        <v/>
      </c>
      <c r="AR140" s="47"/>
      <c r="AS140" s="47"/>
      <c r="AT140" s="47"/>
      <c r="AU140" s="47"/>
      <c r="AV140" s="46" t="str">
        <f aca="false">IFERROR(IF(T140&lt;&gt;"",VALUE(T140),""),"")</f>
        <v/>
      </c>
      <c r="AW140" s="46" t="str">
        <f aca="false">IFERROR(IF(N140="","",IF(OR(ISNUMBER(SEARCH("grant",N140)),ISNUMBER(SEARCH("B",AC140))),"Granted",IF(OR(ISNUMBER(SEARCH("pend",N140)),ISNUMBER(SEARCH("A",AC140))),"Pending",IF(ISNUMBER(SEARCH("expir",N140)),"Expired",N140)))),"")</f>
        <v/>
      </c>
      <c r="AX140" s="47"/>
      <c r="AY140" s="46" t="str">
        <f aca="true">IFERROR(IF(M140&lt;&gt;"",ROUND(VALUE(M140),1),IF(L140&lt;&gt;"",ROUND(MAX(0,(DATEVALUE(TEXT(L140,"YYYY-MM-DD"))-TODAY())/365.25),1),"")),"")</f>
        <v/>
      </c>
      <c r="AZ140" s="46" t="str">
        <f aca="false">IFERROR(IF(O140&lt;&gt;"",O140,""),"")</f>
        <v/>
      </c>
      <c r="BA140" s="46" t="str">
        <f aca="false">IFERROR(IF(U140&lt;&gt;"",SUBSTITUTE(SUBSTITUTE(U140,"; ",", "),";",","),""),"")</f>
        <v/>
      </c>
      <c r="BB140" s="47"/>
      <c r="BC140" s="47"/>
      <c r="BD140" s="47"/>
      <c r="BE140" s="47"/>
      <c r="BF140" s="47"/>
      <c r="BG140" s="47"/>
      <c r="BH140" s="47"/>
      <c r="BI140" s="47"/>
      <c r="BJ140" s="47"/>
      <c r="BK140" s="46" t="str">
        <f aca="false">IFERROR(IF(W140&lt;&gt;"",VALUE(W140),""),"")</f>
        <v/>
      </c>
      <c r="BL140" s="46" t="str">
        <f aca="false">IFERROR(IF(X140&lt;&gt;"",VALUE(X140),""),"")</f>
        <v/>
      </c>
      <c r="BM140" s="46" t="str">
        <f aca="false">IFERROR(IF(AD140="","None",IF(ISNUMBER(SEARCH("surv",AD140)),"Survived",IF(ISNUMBER(SEARCH("pend",AD140)),"Pending",IF(ISNUMBER(SEARCH("yes",AD140)),"Pending","None")))),"None")</f>
        <v>None</v>
      </c>
      <c r="BN140" s="47"/>
      <c r="BO140" s="47"/>
      <c r="BP140" s="47"/>
      <c r="BQ140" s="47"/>
      <c r="BR140" s="47"/>
      <c r="BS140" s="47"/>
      <c r="BT140" s="47"/>
      <c r="BU140" s="48" t="n">
        <f aca="false">IFERROR(COUNTA(AE140:BT140)/42,0)</f>
        <v>0.30952380952381</v>
      </c>
      <c r="BV140" s="49"/>
      <c r="BW140" s="50" t="b">
        <f aca="false">IF(Configuration!$C$10="No","",IFERROR(IF(AG140&lt;&gt;"",TRUE(),FALSE()),FALSE()))</f>
        <v>0</v>
      </c>
      <c r="BX140" s="50" t="b">
        <f aca="false">IF(Configuration!$C$11="No","",IFERROR(IF(AND(N(AL140)&gt;=Configuration!$C$44,AM140&lt;&gt;""),TRUE(),FALSE()),FALSE()))</f>
        <v>0</v>
      </c>
      <c r="BY140" s="50" t="b">
        <f aca="false">IF(Configuration!$C$12="No","",IFERROR(IF(AJ140&lt;&gt;"",TRUE(),FALSE()),FALSE()))</f>
        <v>0</v>
      </c>
      <c r="BZ140" s="50" t="b">
        <f aca="false">IF(Configuration!$C$13="No","",IFERROR(IF(AI140&lt;&gt;"",TRUE(),FALSE()),FALSE()))</f>
        <v>0</v>
      </c>
      <c r="CA140" s="50" t="b">
        <f aca="false">IF(Configuration!$C$14="No","",IFERROR(IF(AK140&lt;&gt;"",TRUE(),FALSE()),FALSE()))</f>
        <v>0</v>
      </c>
      <c r="CB140" s="50" t="b">
        <f aca="false">IF(Configuration!$C$15="No","",IFERROR(IF(AND(OR(ISNUMBER(SEARCH("process",AG140)),ISNUMBER(SEARCH("fab",AG140)),ISNUMBER(SEARCH("manufac",AG140))),AO140="Method"),TRUE(),FALSE()),FALSE()))</f>
        <v>0</v>
      </c>
      <c r="CC140" s="50" t="b">
        <f aca="false">IF(Configuration!$C$16="No","",IFERROR(IF(AND(OR(ISNUMBER(SEARCH("material",AG140)),ISNUMBER(SEARCH("chem",AG140)),ISNUMBER(SEARCH("battery",AG140)),ISNUMBER(SEARCH("electrolyte",AG140)),ISNUMBER(SEARCH("polymer",AG140))),OR(AO140="Apparatus",AO140="Method")),TRUE(),FALSE()),FALSE()))</f>
        <v>0</v>
      </c>
      <c r="CD140" s="50" t="b">
        <f aca="false">IF(Configuration!$C$17="No","",IFERROR(IF(AND(OR(AI140="App",AI140="Middleware",AI140="Cloud"),OR(AO140="Method",AO140="CRM")),TRUE(),FALSE()),FALSE()))</f>
        <v>0</v>
      </c>
      <c r="CE140" s="50" t="b">
        <f aca="false">IF(Configuration!$C$18="No","",IFERROR(IF(N(AN140)&gt;=Configuration!$C$45,TRUE(),FALSE()),FALSE()))</f>
        <v>0</v>
      </c>
      <c r="CF140" s="50" t="b">
        <f aca="false">IF(Configuration!$C$19="No","",IFERROR(IF(BE140&lt;&gt;"",TRUE(),FALSE()),FALSE()))</f>
        <v>0</v>
      </c>
      <c r="CG140" s="50" t="b">
        <f aca="false">IF(Configuration!$C$20="No","",IFERROR(IF(AO140&lt;&gt;"",TRUE(),FALSE()),FALSE()))</f>
        <v>0</v>
      </c>
      <c r="CH140" s="50" t="b">
        <f aca="false">IF(Configuration!$C$21="No","",IFERROR(IF(OR(N(AS140)&gt;=Configuration!$C$46,N(AT140)&gt;=Configuration!$C$47),TRUE(),FALSE()),FALSE()))</f>
        <v>0</v>
      </c>
      <c r="CI140" s="50" t="b">
        <f aca="false">IF(Configuration!$C$22="No","",IFERROR(IF(BB140="Yes",TRUE(),FALSE()),FALSE()))</f>
        <v>0</v>
      </c>
      <c r="CJ140" s="50" t="b">
        <f aca="false">IF(Configuration!$C$23="No","",IFERROR(IF(N(AV140)&gt;=Configuration!$C$48,TRUE(),FALSE()),FALSE()))</f>
        <v>0</v>
      </c>
      <c r="CK140" s="50" t="b">
        <f aca="false">IF(Configuration!$C$24="No","",IFERROR(IF(N(AY140)&gt;0,TRUE(),FALSE()),FALSE()))</f>
        <v>0</v>
      </c>
      <c r="CL140" s="50" t="b">
        <f aca="false">IF(Configuration!$C$25="No","",IFERROR(IF(OR(N(AP140)=3,N(AP140)&lt;=1),TRUE(),FALSE()),FALSE()))</f>
        <v>1</v>
      </c>
      <c r="CM140" s="50" t="b">
        <f aca="false">IF(Configuration!$C$26="No","",IFERROR(IF(N(BF140)&gt;=Configuration!$C$49,TRUE(),FALSE()),FALSE()))</f>
        <v>0</v>
      </c>
      <c r="CN140" s="50" t="b">
        <f aca="false">IF(Configuration!$C$27="No","",IFERROR(IF(BD140&lt;&gt;"",TRUE(),FALSE()),FALSE()))</f>
        <v>0</v>
      </c>
      <c r="CO140" s="50" t="b">
        <f aca="false">IF(Configuration!$C$28="No","",IFERROR(IF(N(AU140)&gt;=Configuration!$C$50,TRUE(),FALSE()),FALSE()))</f>
        <v>0</v>
      </c>
      <c r="CP140" s="50" t="b">
        <f aca="false">IF(Configuration!$C$29="No","",IFERROR(IF(AND(N(AR140)&gt;=Configuration!$C$51,AG140&lt;&gt;""),TRUE(),FALSE()),FALSE()))</f>
        <v>0</v>
      </c>
      <c r="CQ140" s="50" t="b">
        <f aca="false">IF(Configuration!$C$30="No","",IFERROR(IF(OR(AW140="Pending",AX140="Yes"),TRUE(),FALSE()),FALSE()))</f>
        <v>0</v>
      </c>
      <c r="CR140" s="50" t="b">
        <f aca="false">IF(Configuration!$C$31="No","",IFERROR(IF(AND(N(BG140)&gt;=Configuration!$C$52,N(AP140)&gt;=1),TRUE(),FALSE()),FALSE()))</f>
        <v>0</v>
      </c>
      <c r="CS140" s="50" t="b">
        <f aca="false">IF(Configuration!$C$32="No","",IFERROR(IF(AND(N(AR140)&gt;=1,OR(AG140&lt;&gt;"",AM140&lt;&gt;"")),TRUE(),FALSE()),FALSE()))</f>
        <v>0</v>
      </c>
      <c r="CT140" s="50" t="b">
        <f aca="false">IF(Configuration!$C$33="No","",IFERROR(IF(AG140&lt;&gt;"",TRUE(),FALSE()),FALSE()))</f>
        <v>0</v>
      </c>
      <c r="CU140" s="50" t="b">
        <f aca="false">IF(Configuration!$C$34="No","",IFERROR(IF(AX140="Yes",TRUE(),FALSE()),FALSE()))</f>
        <v>0</v>
      </c>
      <c r="CV140" s="50" t="b">
        <f aca="false">IF(Configuration!$C$35="No","",IFERROR(IF(OR(BO140="Partial",BO140="Full"),TRUE(),FALSE()),FALSE()))</f>
        <v>0</v>
      </c>
      <c r="CW140" s="50" t="b">
        <f aca="false">IF(Configuration!$C$36="No","",IFERROR(IF(BM140="Survived",TRUE(),FALSE()),FALSE()))</f>
        <v>0</v>
      </c>
      <c r="CX140" s="50" t="b">
        <f aca="false">IF(Configuration!$C$37="No","",IFERROR(IF(AND(BN140="Clean",BP140="None"),TRUE(),FALSE()),FALSE()))</f>
        <v>0</v>
      </c>
      <c r="CY140" s="50" t="b">
        <f aca="false">IF(Configuration!$C$38="No","",IFERROR(IF(N(BK140)&gt;=Configuration!$C$53,TRUE(),FALSE()),FALSE()))</f>
        <v>0</v>
      </c>
      <c r="CZ140" s="50" t="b">
        <f aca="false">IF(Configuration!$C$39="No","",IFERROR(IF(AND(N(BS140)&gt;=2,N(BF140)&gt;=2),TRUE(),FALSE()),FALSE()))</f>
        <v>0</v>
      </c>
      <c r="DA140" s="50" t="b">
        <f aca="false">IF(Configuration!$C$40="No","",IFERROR(IF(OR(N(BG140)&lt;=Configuration!$C$56,N(AY140)&lt;Configuration!$C$57,N(BH140)&lt;=Configuration!$C$58),TRUE(),FALSE()),FALSE()))</f>
        <v>1</v>
      </c>
      <c r="DB140" s="50" t="b">
        <f aca="false">IF(Configuration!$C$41="No","",IFERROR(IF(AND(N(AY140)&gt;=Configuration!$C$54,N(AY140)&lt;=Configuration!$C$55),TRUE(),FALSE()),FALSE()))</f>
        <v>0</v>
      </c>
      <c r="DC140" s="50" t="b">
        <f aca="false">IF(Configuration!$C$42="No","",IFERROR(IF(AND(AG140&lt;&gt;"",AJ140&lt;&gt;""),TRUE(),FALSE()),FALSE()))</f>
        <v>0</v>
      </c>
      <c r="DD140" s="51" t="n">
        <f aca="false">COUNTIF(BW140:DC140,TRUE())</f>
        <v>2</v>
      </c>
    </row>
    <row r="141" customFormat="false" ht="15" hidden="false" customHeight="true" outlineLevel="0" collapsed="false">
      <c r="A141" s="18" t="n">
        <v>102</v>
      </c>
      <c r="B141" s="44"/>
      <c r="C141" s="44"/>
      <c r="D141" s="44"/>
      <c r="E141" s="44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6" t="str">
        <f aca="false">IFERROR(IF(F141&lt;&gt;"",F141,""),"")</f>
        <v/>
      </c>
      <c r="AF141" s="46" t="str">
        <f aca="false">IFERROR(IF(G141&lt;&gt;"",G141,""),"")</f>
        <v/>
      </c>
      <c r="AG141" s="46" t="str">
        <f aca="false">IFERROR(IF(AA141&lt;&gt;"",AA141,IF(R141&lt;&gt;"",R141,"")),"")</f>
        <v/>
      </c>
      <c r="AH141" s="46" t="str">
        <f aca="false">IFERROR(IF(AB141&lt;&gt;"",AB141,IF(S141&lt;&gt;"",S141,"")),"")</f>
        <v/>
      </c>
      <c r="AI141" s="47"/>
      <c r="AJ141" s="47"/>
      <c r="AK141" s="47"/>
      <c r="AL141" s="47"/>
      <c r="AM141" s="47"/>
      <c r="AN141" s="47"/>
      <c r="AO141" s="47"/>
      <c r="AP141" s="47"/>
      <c r="AQ141" s="46" t="str">
        <f aca="false">IFERROR(IF(Y141&lt;&gt;"",VALUE(Y141),""),"")</f>
        <v/>
      </c>
      <c r="AR141" s="47"/>
      <c r="AS141" s="47"/>
      <c r="AT141" s="47"/>
      <c r="AU141" s="47"/>
      <c r="AV141" s="46" t="str">
        <f aca="false">IFERROR(IF(T141&lt;&gt;"",VALUE(T141),""),"")</f>
        <v/>
      </c>
      <c r="AW141" s="46" t="str">
        <f aca="false">IFERROR(IF(N141="","",IF(OR(ISNUMBER(SEARCH("grant",N141)),ISNUMBER(SEARCH("B",AC141))),"Granted",IF(OR(ISNUMBER(SEARCH("pend",N141)),ISNUMBER(SEARCH("A",AC141))),"Pending",IF(ISNUMBER(SEARCH("expir",N141)),"Expired",N141)))),"")</f>
        <v/>
      </c>
      <c r="AX141" s="47"/>
      <c r="AY141" s="46" t="str">
        <f aca="true">IFERROR(IF(M141&lt;&gt;"",ROUND(VALUE(M141),1),IF(L141&lt;&gt;"",ROUND(MAX(0,(DATEVALUE(TEXT(L141,"YYYY-MM-DD"))-TODAY())/365.25),1),"")),"")</f>
        <v/>
      </c>
      <c r="AZ141" s="46" t="str">
        <f aca="false">IFERROR(IF(O141&lt;&gt;"",O141,""),"")</f>
        <v/>
      </c>
      <c r="BA141" s="46" t="str">
        <f aca="false">IFERROR(IF(U141&lt;&gt;"",SUBSTITUTE(SUBSTITUTE(U141,"; ",", "),";",","),""),"")</f>
        <v/>
      </c>
      <c r="BB141" s="47"/>
      <c r="BC141" s="47"/>
      <c r="BD141" s="47"/>
      <c r="BE141" s="47"/>
      <c r="BF141" s="47"/>
      <c r="BG141" s="47"/>
      <c r="BH141" s="47"/>
      <c r="BI141" s="47"/>
      <c r="BJ141" s="47"/>
      <c r="BK141" s="46" t="str">
        <f aca="false">IFERROR(IF(W141&lt;&gt;"",VALUE(W141),""),"")</f>
        <v/>
      </c>
      <c r="BL141" s="46" t="str">
        <f aca="false">IFERROR(IF(X141&lt;&gt;"",VALUE(X141),""),"")</f>
        <v/>
      </c>
      <c r="BM141" s="46" t="str">
        <f aca="false">IFERROR(IF(AD141="","None",IF(ISNUMBER(SEARCH("surv",AD141)),"Survived",IF(ISNUMBER(SEARCH("pend",AD141)),"Pending",IF(ISNUMBER(SEARCH("yes",AD141)),"Pending","None")))),"None")</f>
        <v>None</v>
      </c>
      <c r="BN141" s="47"/>
      <c r="BO141" s="47"/>
      <c r="BP141" s="47"/>
      <c r="BQ141" s="47"/>
      <c r="BR141" s="47"/>
      <c r="BS141" s="47"/>
      <c r="BT141" s="47"/>
      <c r="BU141" s="48" t="n">
        <f aca="false">IFERROR(COUNTA(AE141:BT141)/42,0)</f>
        <v>0.30952380952381</v>
      </c>
      <c r="BV141" s="49"/>
      <c r="BW141" s="50" t="b">
        <f aca="false">IF(Configuration!$C$10="No","",IFERROR(IF(AG141&lt;&gt;"",TRUE(),FALSE()),FALSE()))</f>
        <v>0</v>
      </c>
      <c r="BX141" s="50" t="b">
        <f aca="false">IF(Configuration!$C$11="No","",IFERROR(IF(AND(N(AL141)&gt;=Configuration!$C$44,AM141&lt;&gt;""),TRUE(),FALSE()),FALSE()))</f>
        <v>0</v>
      </c>
      <c r="BY141" s="50" t="b">
        <f aca="false">IF(Configuration!$C$12="No","",IFERROR(IF(AJ141&lt;&gt;"",TRUE(),FALSE()),FALSE()))</f>
        <v>0</v>
      </c>
      <c r="BZ141" s="50" t="b">
        <f aca="false">IF(Configuration!$C$13="No","",IFERROR(IF(AI141&lt;&gt;"",TRUE(),FALSE()),FALSE()))</f>
        <v>0</v>
      </c>
      <c r="CA141" s="50" t="b">
        <f aca="false">IF(Configuration!$C$14="No","",IFERROR(IF(AK141&lt;&gt;"",TRUE(),FALSE()),FALSE()))</f>
        <v>0</v>
      </c>
      <c r="CB141" s="50" t="b">
        <f aca="false">IF(Configuration!$C$15="No","",IFERROR(IF(AND(OR(ISNUMBER(SEARCH("process",AG141)),ISNUMBER(SEARCH("fab",AG141)),ISNUMBER(SEARCH("manufac",AG141))),AO141="Method"),TRUE(),FALSE()),FALSE()))</f>
        <v>0</v>
      </c>
      <c r="CC141" s="50" t="b">
        <f aca="false">IF(Configuration!$C$16="No","",IFERROR(IF(AND(OR(ISNUMBER(SEARCH("material",AG141)),ISNUMBER(SEARCH("chem",AG141)),ISNUMBER(SEARCH("battery",AG141)),ISNUMBER(SEARCH("electrolyte",AG141)),ISNUMBER(SEARCH("polymer",AG141))),OR(AO141="Apparatus",AO141="Method")),TRUE(),FALSE()),FALSE()))</f>
        <v>0</v>
      </c>
      <c r="CD141" s="50" t="b">
        <f aca="false">IF(Configuration!$C$17="No","",IFERROR(IF(AND(OR(AI141="App",AI141="Middleware",AI141="Cloud"),OR(AO141="Method",AO141="CRM")),TRUE(),FALSE()),FALSE()))</f>
        <v>0</v>
      </c>
      <c r="CE141" s="50" t="b">
        <f aca="false">IF(Configuration!$C$18="No","",IFERROR(IF(N(AN141)&gt;=Configuration!$C$45,TRUE(),FALSE()),FALSE()))</f>
        <v>0</v>
      </c>
      <c r="CF141" s="50" t="b">
        <f aca="false">IF(Configuration!$C$19="No","",IFERROR(IF(BE141&lt;&gt;"",TRUE(),FALSE()),FALSE()))</f>
        <v>0</v>
      </c>
      <c r="CG141" s="50" t="b">
        <f aca="false">IF(Configuration!$C$20="No","",IFERROR(IF(AO141&lt;&gt;"",TRUE(),FALSE()),FALSE()))</f>
        <v>0</v>
      </c>
      <c r="CH141" s="50" t="b">
        <f aca="false">IF(Configuration!$C$21="No","",IFERROR(IF(OR(N(AS141)&gt;=Configuration!$C$46,N(AT141)&gt;=Configuration!$C$47),TRUE(),FALSE()),FALSE()))</f>
        <v>0</v>
      </c>
      <c r="CI141" s="50" t="b">
        <f aca="false">IF(Configuration!$C$22="No","",IFERROR(IF(BB141="Yes",TRUE(),FALSE()),FALSE()))</f>
        <v>0</v>
      </c>
      <c r="CJ141" s="50" t="b">
        <f aca="false">IF(Configuration!$C$23="No","",IFERROR(IF(N(AV141)&gt;=Configuration!$C$48,TRUE(),FALSE()),FALSE()))</f>
        <v>0</v>
      </c>
      <c r="CK141" s="50" t="b">
        <f aca="false">IF(Configuration!$C$24="No","",IFERROR(IF(N(AY141)&gt;0,TRUE(),FALSE()),FALSE()))</f>
        <v>0</v>
      </c>
      <c r="CL141" s="50" t="b">
        <f aca="false">IF(Configuration!$C$25="No","",IFERROR(IF(OR(N(AP141)=3,N(AP141)&lt;=1),TRUE(),FALSE()),FALSE()))</f>
        <v>1</v>
      </c>
      <c r="CM141" s="50" t="b">
        <f aca="false">IF(Configuration!$C$26="No","",IFERROR(IF(N(BF141)&gt;=Configuration!$C$49,TRUE(),FALSE()),FALSE()))</f>
        <v>0</v>
      </c>
      <c r="CN141" s="50" t="b">
        <f aca="false">IF(Configuration!$C$27="No","",IFERROR(IF(BD141&lt;&gt;"",TRUE(),FALSE()),FALSE()))</f>
        <v>0</v>
      </c>
      <c r="CO141" s="50" t="b">
        <f aca="false">IF(Configuration!$C$28="No","",IFERROR(IF(N(AU141)&gt;=Configuration!$C$50,TRUE(),FALSE()),FALSE()))</f>
        <v>0</v>
      </c>
      <c r="CP141" s="50" t="b">
        <f aca="false">IF(Configuration!$C$29="No","",IFERROR(IF(AND(N(AR141)&gt;=Configuration!$C$51,AG141&lt;&gt;""),TRUE(),FALSE()),FALSE()))</f>
        <v>0</v>
      </c>
      <c r="CQ141" s="50" t="b">
        <f aca="false">IF(Configuration!$C$30="No","",IFERROR(IF(OR(AW141="Pending",AX141="Yes"),TRUE(),FALSE()),FALSE()))</f>
        <v>0</v>
      </c>
      <c r="CR141" s="50" t="b">
        <f aca="false">IF(Configuration!$C$31="No","",IFERROR(IF(AND(N(BG141)&gt;=Configuration!$C$52,N(AP141)&gt;=1),TRUE(),FALSE()),FALSE()))</f>
        <v>0</v>
      </c>
      <c r="CS141" s="50" t="b">
        <f aca="false">IF(Configuration!$C$32="No","",IFERROR(IF(AND(N(AR141)&gt;=1,OR(AG141&lt;&gt;"",AM141&lt;&gt;"")),TRUE(),FALSE()),FALSE()))</f>
        <v>0</v>
      </c>
      <c r="CT141" s="50" t="b">
        <f aca="false">IF(Configuration!$C$33="No","",IFERROR(IF(AG141&lt;&gt;"",TRUE(),FALSE()),FALSE()))</f>
        <v>0</v>
      </c>
      <c r="CU141" s="50" t="b">
        <f aca="false">IF(Configuration!$C$34="No","",IFERROR(IF(AX141="Yes",TRUE(),FALSE()),FALSE()))</f>
        <v>0</v>
      </c>
      <c r="CV141" s="50" t="b">
        <f aca="false">IF(Configuration!$C$35="No","",IFERROR(IF(OR(BO141="Partial",BO141="Full"),TRUE(),FALSE()),FALSE()))</f>
        <v>0</v>
      </c>
      <c r="CW141" s="50" t="b">
        <f aca="false">IF(Configuration!$C$36="No","",IFERROR(IF(BM141="Survived",TRUE(),FALSE()),FALSE()))</f>
        <v>0</v>
      </c>
      <c r="CX141" s="50" t="b">
        <f aca="false">IF(Configuration!$C$37="No","",IFERROR(IF(AND(BN141="Clean",BP141="None"),TRUE(),FALSE()),FALSE()))</f>
        <v>0</v>
      </c>
      <c r="CY141" s="50" t="b">
        <f aca="false">IF(Configuration!$C$38="No","",IFERROR(IF(N(BK141)&gt;=Configuration!$C$53,TRUE(),FALSE()),FALSE()))</f>
        <v>0</v>
      </c>
      <c r="CZ141" s="50" t="b">
        <f aca="false">IF(Configuration!$C$39="No","",IFERROR(IF(AND(N(BS141)&gt;=2,N(BF141)&gt;=2),TRUE(),FALSE()),FALSE()))</f>
        <v>0</v>
      </c>
      <c r="DA141" s="50" t="b">
        <f aca="false">IF(Configuration!$C$40="No","",IFERROR(IF(OR(N(BG141)&lt;=Configuration!$C$56,N(AY141)&lt;Configuration!$C$57,N(BH141)&lt;=Configuration!$C$58),TRUE(),FALSE()),FALSE()))</f>
        <v>1</v>
      </c>
      <c r="DB141" s="50" t="b">
        <f aca="false">IF(Configuration!$C$41="No","",IFERROR(IF(AND(N(AY141)&gt;=Configuration!$C$54,N(AY141)&lt;=Configuration!$C$55),TRUE(),FALSE()),FALSE()))</f>
        <v>0</v>
      </c>
      <c r="DC141" s="50" t="b">
        <f aca="false">IF(Configuration!$C$42="No","",IFERROR(IF(AND(AG141&lt;&gt;"",AJ141&lt;&gt;""),TRUE(),FALSE()),FALSE()))</f>
        <v>0</v>
      </c>
      <c r="DD141" s="51" t="n">
        <f aca="false">COUNTIF(BW141:DC141,TRUE())</f>
        <v>2</v>
      </c>
    </row>
    <row r="142" customFormat="false" ht="15" hidden="false" customHeight="true" outlineLevel="0" collapsed="false">
      <c r="A142" s="18" t="n">
        <v>103</v>
      </c>
      <c r="B142" s="44"/>
      <c r="C142" s="44"/>
      <c r="D142" s="44"/>
      <c r="E142" s="44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6" t="str">
        <f aca="false">IFERROR(IF(F142&lt;&gt;"",F142,""),"")</f>
        <v/>
      </c>
      <c r="AF142" s="46" t="str">
        <f aca="false">IFERROR(IF(G142&lt;&gt;"",G142,""),"")</f>
        <v/>
      </c>
      <c r="AG142" s="46" t="str">
        <f aca="false">IFERROR(IF(AA142&lt;&gt;"",AA142,IF(R142&lt;&gt;"",R142,"")),"")</f>
        <v/>
      </c>
      <c r="AH142" s="46" t="str">
        <f aca="false">IFERROR(IF(AB142&lt;&gt;"",AB142,IF(S142&lt;&gt;"",S142,"")),"")</f>
        <v/>
      </c>
      <c r="AI142" s="47"/>
      <c r="AJ142" s="47"/>
      <c r="AK142" s="47"/>
      <c r="AL142" s="47"/>
      <c r="AM142" s="47"/>
      <c r="AN142" s="47"/>
      <c r="AO142" s="47"/>
      <c r="AP142" s="47"/>
      <c r="AQ142" s="46" t="str">
        <f aca="false">IFERROR(IF(Y142&lt;&gt;"",VALUE(Y142),""),"")</f>
        <v/>
      </c>
      <c r="AR142" s="47"/>
      <c r="AS142" s="47"/>
      <c r="AT142" s="47"/>
      <c r="AU142" s="47"/>
      <c r="AV142" s="46" t="str">
        <f aca="false">IFERROR(IF(T142&lt;&gt;"",VALUE(T142),""),"")</f>
        <v/>
      </c>
      <c r="AW142" s="46" t="str">
        <f aca="false">IFERROR(IF(N142="","",IF(OR(ISNUMBER(SEARCH("grant",N142)),ISNUMBER(SEARCH("B",AC142))),"Granted",IF(OR(ISNUMBER(SEARCH("pend",N142)),ISNUMBER(SEARCH("A",AC142))),"Pending",IF(ISNUMBER(SEARCH("expir",N142)),"Expired",N142)))),"")</f>
        <v/>
      </c>
      <c r="AX142" s="47"/>
      <c r="AY142" s="46" t="str">
        <f aca="true">IFERROR(IF(M142&lt;&gt;"",ROUND(VALUE(M142),1),IF(L142&lt;&gt;"",ROUND(MAX(0,(DATEVALUE(TEXT(L142,"YYYY-MM-DD"))-TODAY())/365.25),1),"")),"")</f>
        <v/>
      </c>
      <c r="AZ142" s="46" t="str">
        <f aca="false">IFERROR(IF(O142&lt;&gt;"",O142,""),"")</f>
        <v/>
      </c>
      <c r="BA142" s="46" t="str">
        <f aca="false">IFERROR(IF(U142&lt;&gt;"",SUBSTITUTE(SUBSTITUTE(U142,"; ",", "),";",","),""),"")</f>
        <v/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6" t="str">
        <f aca="false">IFERROR(IF(W142&lt;&gt;"",VALUE(W142),""),"")</f>
        <v/>
      </c>
      <c r="BL142" s="46" t="str">
        <f aca="false">IFERROR(IF(X142&lt;&gt;"",VALUE(X142),""),"")</f>
        <v/>
      </c>
      <c r="BM142" s="46" t="str">
        <f aca="false">IFERROR(IF(AD142="","None",IF(ISNUMBER(SEARCH("surv",AD142)),"Survived",IF(ISNUMBER(SEARCH("pend",AD142)),"Pending",IF(ISNUMBER(SEARCH("yes",AD142)),"Pending","None")))),"None")</f>
        <v>None</v>
      </c>
      <c r="BN142" s="47"/>
      <c r="BO142" s="47"/>
      <c r="BP142" s="47"/>
      <c r="BQ142" s="47"/>
      <c r="BR142" s="47"/>
      <c r="BS142" s="47"/>
      <c r="BT142" s="47"/>
      <c r="BU142" s="48" t="n">
        <f aca="false">IFERROR(COUNTA(AE142:BT142)/42,0)</f>
        <v>0.30952380952381</v>
      </c>
      <c r="BV142" s="49"/>
      <c r="BW142" s="50" t="b">
        <f aca="false">IF(Configuration!$C$10="No","",IFERROR(IF(AG142&lt;&gt;"",TRUE(),FALSE()),FALSE()))</f>
        <v>0</v>
      </c>
      <c r="BX142" s="50" t="b">
        <f aca="false">IF(Configuration!$C$11="No","",IFERROR(IF(AND(N(AL142)&gt;=Configuration!$C$44,AM142&lt;&gt;""),TRUE(),FALSE()),FALSE()))</f>
        <v>0</v>
      </c>
      <c r="BY142" s="50" t="b">
        <f aca="false">IF(Configuration!$C$12="No","",IFERROR(IF(AJ142&lt;&gt;"",TRUE(),FALSE()),FALSE()))</f>
        <v>0</v>
      </c>
      <c r="BZ142" s="50" t="b">
        <f aca="false">IF(Configuration!$C$13="No","",IFERROR(IF(AI142&lt;&gt;"",TRUE(),FALSE()),FALSE()))</f>
        <v>0</v>
      </c>
      <c r="CA142" s="50" t="b">
        <f aca="false">IF(Configuration!$C$14="No","",IFERROR(IF(AK142&lt;&gt;"",TRUE(),FALSE()),FALSE()))</f>
        <v>0</v>
      </c>
      <c r="CB142" s="50" t="b">
        <f aca="false">IF(Configuration!$C$15="No","",IFERROR(IF(AND(OR(ISNUMBER(SEARCH("process",AG142)),ISNUMBER(SEARCH("fab",AG142)),ISNUMBER(SEARCH("manufac",AG142))),AO142="Method"),TRUE(),FALSE()),FALSE()))</f>
        <v>0</v>
      </c>
      <c r="CC142" s="50" t="b">
        <f aca="false">IF(Configuration!$C$16="No","",IFERROR(IF(AND(OR(ISNUMBER(SEARCH("material",AG142)),ISNUMBER(SEARCH("chem",AG142)),ISNUMBER(SEARCH("battery",AG142)),ISNUMBER(SEARCH("electrolyte",AG142)),ISNUMBER(SEARCH("polymer",AG142))),OR(AO142="Apparatus",AO142="Method")),TRUE(),FALSE()),FALSE()))</f>
        <v>0</v>
      </c>
      <c r="CD142" s="50" t="b">
        <f aca="false">IF(Configuration!$C$17="No","",IFERROR(IF(AND(OR(AI142="App",AI142="Middleware",AI142="Cloud"),OR(AO142="Method",AO142="CRM")),TRUE(),FALSE()),FALSE()))</f>
        <v>0</v>
      </c>
      <c r="CE142" s="50" t="b">
        <f aca="false">IF(Configuration!$C$18="No","",IFERROR(IF(N(AN142)&gt;=Configuration!$C$45,TRUE(),FALSE()),FALSE()))</f>
        <v>0</v>
      </c>
      <c r="CF142" s="50" t="b">
        <f aca="false">IF(Configuration!$C$19="No","",IFERROR(IF(BE142&lt;&gt;"",TRUE(),FALSE()),FALSE()))</f>
        <v>0</v>
      </c>
      <c r="CG142" s="50" t="b">
        <f aca="false">IF(Configuration!$C$20="No","",IFERROR(IF(AO142&lt;&gt;"",TRUE(),FALSE()),FALSE()))</f>
        <v>0</v>
      </c>
      <c r="CH142" s="50" t="b">
        <f aca="false">IF(Configuration!$C$21="No","",IFERROR(IF(OR(N(AS142)&gt;=Configuration!$C$46,N(AT142)&gt;=Configuration!$C$47),TRUE(),FALSE()),FALSE()))</f>
        <v>0</v>
      </c>
      <c r="CI142" s="50" t="b">
        <f aca="false">IF(Configuration!$C$22="No","",IFERROR(IF(BB142="Yes",TRUE(),FALSE()),FALSE()))</f>
        <v>0</v>
      </c>
      <c r="CJ142" s="50" t="b">
        <f aca="false">IF(Configuration!$C$23="No","",IFERROR(IF(N(AV142)&gt;=Configuration!$C$48,TRUE(),FALSE()),FALSE()))</f>
        <v>0</v>
      </c>
      <c r="CK142" s="50" t="b">
        <f aca="false">IF(Configuration!$C$24="No","",IFERROR(IF(N(AY142)&gt;0,TRUE(),FALSE()),FALSE()))</f>
        <v>0</v>
      </c>
      <c r="CL142" s="50" t="b">
        <f aca="false">IF(Configuration!$C$25="No","",IFERROR(IF(OR(N(AP142)=3,N(AP142)&lt;=1),TRUE(),FALSE()),FALSE()))</f>
        <v>1</v>
      </c>
      <c r="CM142" s="50" t="b">
        <f aca="false">IF(Configuration!$C$26="No","",IFERROR(IF(N(BF142)&gt;=Configuration!$C$49,TRUE(),FALSE()),FALSE()))</f>
        <v>0</v>
      </c>
      <c r="CN142" s="50" t="b">
        <f aca="false">IF(Configuration!$C$27="No","",IFERROR(IF(BD142&lt;&gt;"",TRUE(),FALSE()),FALSE()))</f>
        <v>0</v>
      </c>
      <c r="CO142" s="50" t="b">
        <f aca="false">IF(Configuration!$C$28="No","",IFERROR(IF(N(AU142)&gt;=Configuration!$C$50,TRUE(),FALSE()),FALSE()))</f>
        <v>0</v>
      </c>
      <c r="CP142" s="50" t="b">
        <f aca="false">IF(Configuration!$C$29="No","",IFERROR(IF(AND(N(AR142)&gt;=Configuration!$C$51,AG142&lt;&gt;""),TRUE(),FALSE()),FALSE()))</f>
        <v>0</v>
      </c>
      <c r="CQ142" s="50" t="b">
        <f aca="false">IF(Configuration!$C$30="No","",IFERROR(IF(OR(AW142="Pending",AX142="Yes"),TRUE(),FALSE()),FALSE()))</f>
        <v>0</v>
      </c>
      <c r="CR142" s="50" t="b">
        <f aca="false">IF(Configuration!$C$31="No","",IFERROR(IF(AND(N(BG142)&gt;=Configuration!$C$52,N(AP142)&gt;=1),TRUE(),FALSE()),FALSE()))</f>
        <v>0</v>
      </c>
      <c r="CS142" s="50" t="b">
        <f aca="false">IF(Configuration!$C$32="No","",IFERROR(IF(AND(N(AR142)&gt;=1,OR(AG142&lt;&gt;"",AM142&lt;&gt;"")),TRUE(),FALSE()),FALSE()))</f>
        <v>0</v>
      </c>
      <c r="CT142" s="50" t="b">
        <f aca="false">IF(Configuration!$C$33="No","",IFERROR(IF(AG142&lt;&gt;"",TRUE(),FALSE()),FALSE()))</f>
        <v>0</v>
      </c>
      <c r="CU142" s="50" t="b">
        <f aca="false">IF(Configuration!$C$34="No","",IFERROR(IF(AX142="Yes",TRUE(),FALSE()),FALSE()))</f>
        <v>0</v>
      </c>
      <c r="CV142" s="50" t="b">
        <f aca="false">IF(Configuration!$C$35="No","",IFERROR(IF(OR(BO142="Partial",BO142="Full"),TRUE(),FALSE()),FALSE()))</f>
        <v>0</v>
      </c>
      <c r="CW142" s="50" t="b">
        <f aca="false">IF(Configuration!$C$36="No","",IFERROR(IF(BM142="Survived",TRUE(),FALSE()),FALSE()))</f>
        <v>0</v>
      </c>
      <c r="CX142" s="50" t="b">
        <f aca="false">IF(Configuration!$C$37="No","",IFERROR(IF(AND(BN142="Clean",BP142="None"),TRUE(),FALSE()),FALSE()))</f>
        <v>0</v>
      </c>
      <c r="CY142" s="50" t="b">
        <f aca="false">IF(Configuration!$C$38="No","",IFERROR(IF(N(BK142)&gt;=Configuration!$C$53,TRUE(),FALSE()),FALSE()))</f>
        <v>0</v>
      </c>
      <c r="CZ142" s="50" t="b">
        <f aca="false">IF(Configuration!$C$39="No","",IFERROR(IF(AND(N(BS142)&gt;=2,N(BF142)&gt;=2),TRUE(),FALSE()),FALSE()))</f>
        <v>0</v>
      </c>
      <c r="DA142" s="50" t="b">
        <f aca="false">IF(Configuration!$C$40="No","",IFERROR(IF(OR(N(BG142)&lt;=Configuration!$C$56,N(AY142)&lt;Configuration!$C$57,N(BH142)&lt;=Configuration!$C$58),TRUE(),FALSE()),FALSE()))</f>
        <v>1</v>
      </c>
      <c r="DB142" s="50" t="b">
        <f aca="false">IF(Configuration!$C$41="No","",IFERROR(IF(AND(N(AY142)&gt;=Configuration!$C$54,N(AY142)&lt;=Configuration!$C$55),TRUE(),FALSE()),FALSE()))</f>
        <v>0</v>
      </c>
      <c r="DC142" s="50" t="b">
        <f aca="false">IF(Configuration!$C$42="No","",IFERROR(IF(AND(AG142&lt;&gt;"",AJ142&lt;&gt;""),TRUE(),FALSE()),FALSE()))</f>
        <v>0</v>
      </c>
      <c r="DD142" s="51" t="n">
        <f aca="false">COUNTIF(BW142:DC142,TRUE())</f>
        <v>2</v>
      </c>
    </row>
    <row r="143" customFormat="false" ht="15" hidden="false" customHeight="true" outlineLevel="0" collapsed="false">
      <c r="A143" s="18" t="n">
        <v>104</v>
      </c>
      <c r="B143" s="44"/>
      <c r="C143" s="44"/>
      <c r="D143" s="44"/>
      <c r="E143" s="44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6" t="str">
        <f aca="false">IFERROR(IF(F143&lt;&gt;"",F143,""),"")</f>
        <v/>
      </c>
      <c r="AF143" s="46" t="str">
        <f aca="false">IFERROR(IF(G143&lt;&gt;"",G143,""),"")</f>
        <v/>
      </c>
      <c r="AG143" s="46" t="str">
        <f aca="false">IFERROR(IF(AA143&lt;&gt;"",AA143,IF(R143&lt;&gt;"",R143,"")),"")</f>
        <v/>
      </c>
      <c r="AH143" s="46" t="str">
        <f aca="false">IFERROR(IF(AB143&lt;&gt;"",AB143,IF(S143&lt;&gt;"",S143,"")),"")</f>
        <v/>
      </c>
      <c r="AI143" s="47"/>
      <c r="AJ143" s="47"/>
      <c r="AK143" s="47"/>
      <c r="AL143" s="47"/>
      <c r="AM143" s="47"/>
      <c r="AN143" s="47"/>
      <c r="AO143" s="47"/>
      <c r="AP143" s="47"/>
      <c r="AQ143" s="46" t="str">
        <f aca="false">IFERROR(IF(Y143&lt;&gt;"",VALUE(Y143),""),"")</f>
        <v/>
      </c>
      <c r="AR143" s="47"/>
      <c r="AS143" s="47"/>
      <c r="AT143" s="47"/>
      <c r="AU143" s="47"/>
      <c r="AV143" s="46" t="str">
        <f aca="false">IFERROR(IF(T143&lt;&gt;"",VALUE(T143),""),"")</f>
        <v/>
      </c>
      <c r="AW143" s="46" t="str">
        <f aca="false">IFERROR(IF(N143="","",IF(OR(ISNUMBER(SEARCH("grant",N143)),ISNUMBER(SEARCH("B",AC143))),"Granted",IF(OR(ISNUMBER(SEARCH("pend",N143)),ISNUMBER(SEARCH("A",AC143))),"Pending",IF(ISNUMBER(SEARCH("expir",N143)),"Expired",N143)))),"")</f>
        <v/>
      </c>
      <c r="AX143" s="47"/>
      <c r="AY143" s="46" t="str">
        <f aca="true">IFERROR(IF(M143&lt;&gt;"",ROUND(VALUE(M143),1),IF(L143&lt;&gt;"",ROUND(MAX(0,(DATEVALUE(TEXT(L143,"YYYY-MM-DD"))-TODAY())/365.25),1),"")),"")</f>
        <v/>
      </c>
      <c r="AZ143" s="46" t="str">
        <f aca="false">IFERROR(IF(O143&lt;&gt;"",O143,""),"")</f>
        <v/>
      </c>
      <c r="BA143" s="46" t="str">
        <f aca="false">IFERROR(IF(U143&lt;&gt;"",SUBSTITUTE(SUBSTITUTE(U143,"; ",", "),";",","),""),"")</f>
        <v/>
      </c>
      <c r="BB143" s="47"/>
      <c r="BC143" s="47"/>
      <c r="BD143" s="47"/>
      <c r="BE143" s="47"/>
      <c r="BF143" s="47"/>
      <c r="BG143" s="47"/>
      <c r="BH143" s="47"/>
      <c r="BI143" s="47"/>
      <c r="BJ143" s="47"/>
      <c r="BK143" s="46" t="str">
        <f aca="false">IFERROR(IF(W143&lt;&gt;"",VALUE(W143),""),"")</f>
        <v/>
      </c>
      <c r="BL143" s="46" t="str">
        <f aca="false">IFERROR(IF(X143&lt;&gt;"",VALUE(X143),""),"")</f>
        <v/>
      </c>
      <c r="BM143" s="46" t="str">
        <f aca="false">IFERROR(IF(AD143="","None",IF(ISNUMBER(SEARCH("surv",AD143)),"Survived",IF(ISNUMBER(SEARCH("pend",AD143)),"Pending",IF(ISNUMBER(SEARCH("yes",AD143)),"Pending","None")))),"None")</f>
        <v>None</v>
      </c>
      <c r="BN143" s="47"/>
      <c r="BO143" s="47"/>
      <c r="BP143" s="47"/>
      <c r="BQ143" s="47"/>
      <c r="BR143" s="47"/>
      <c r="BS143" s="47"/>
      <c r="BT143" s="47"/>
      <c r="BU143" s="48" t="n">
        <f aca="false">IFERROR(COUNTA(AE143:BT143)/42,0)</f>
        <v>0.30952380952381</v>
      </c>
      <c r="BV143" s="49"/>
      <c r="BW143" s="50" t="b">
        <f aca="false">IF(Configuration!$C$10="No","",IFERROR(IF(AG143&lt;&gt;"",TRUE(),FALSE()),FALSE()))</f>
        <v>0</v>
      </c>
      <c r="BX143" s="50" t="b">
        <f aca="false">IF(Configuration!$C$11="No","",IFERROR(IF(AND(N(AL143)&gt;=Configuration!$C$44,AM143&lt;&gt;""),TRUE(),FALSE()),FALSE()))</f>
        <v>0</v>
      </c>
      <c r="BY143" s="50" t="b">
        <f aca="false">IF(Configuration!$C$12="No","",IFERROR(IF(AJ143&lt;&gt;"",TRUE(),FALSE()),FALSE()))</f>
        <v>0</v>
      </c>
      <c r="BZ143" s="50" t="b">
        <f aca="false">IF(Configuration!$C$13="No","",IFERROR(IF(AI143&lt;&gt;"",TRUE(),FALSE()),FALSE()))</f>
        <v>0</v>
      </c>
      <c r="CA143" s="50" t="b">
        <f aca="false">IF(Configuration!$C$14="No","",IFERROR(IF(AK143&lt;&gt;"",TRUE(),FALSE()),FALSE()))</f>
        <v>0</v>
      </c>
      <c r="CB143" s="50" t="b">
        <f aca="false">IF(Configuration!$C$15="No","",IFERROR(IF(AND(OR(ISNUMBER(SEARCH("process",AG143)),ISNUMBER(SEARCH("fab",AG143)),ISNUMBER(SEARCH("manufac",AG143))),AO143="Method"),TRUE(),FALSE()),FALSE()))</f>
        <v>0</v>
      </c>
      <c r="CC143" s="50" t="b">
        <f aca="false">IF(Configuration!$C$16="No","",IFERROR(IF(AND(OR(ISNUMBER(SEARCH("material",AG143)),ISNUMBER(SEARCH("chem",AG143)),ISNUMBER(SEARCH("battery",AG143)),ISNUMBER(SEARCH("electrolyte",AG143)),ISNUMBER(SEARCH("polymer",AG143))),OR(AO143="Apparatus",AO143="Method")),TRUE(),FALSE()),FALSE()))</f>
        <v>0</v>
      </c>
      <c r="CD143" s="50" t="b">
        <f aca="false">IF(Configuration!$C$17="No","",IFERROR(IF(AND(OR(AI143="App",AI143="Middleware",AI143="Cloud"),OR(AO143="Method",AO143="CRM")),TRUE(),FALSE()),FALSE()))</f>
        <v>0</v>
      </c>
      <c r="CE143" s="50" t="b">
        <f aca="false">IF(Configuration!$C$18="No","",IFERROR(IF(N(AN143)&gt;=Configuration!$C$45,TRUE(),FALSE()),FALSE()))</f>
        <v>0</v>
      </c>
      <c r="CF143" s="50" t="b">
        <f aca="false">IF(Configuration!$C$19="No","",IFERROR(IF(BE143&lt;&gt;"",TRUE(),FALSE()),FALSE()))</f>
        <v>0</v>
      </c>
      <c r="CG143" s="50" t="b">
        <f aca="false">IF(Configuration!$C$20="No","",IFERROR(IF(AO143&lt;&gt;"",TRUE(),FALSE()),FALSE()))</f>
        <v>0</v>
      </c>
      <c r="CH143" s="50" t="b">
        <f aca="false">IF(Configuration!$C$21="No","",IFERROR(IF(OR(N(AS143)&gt;=Configuration!$C$46,N(AT143)&gt;=Configuration!$C$47),TRUE(),FALSE()),FALSE()))</f>
        <v>0</v>
      </c>
      <c r="CI143" s="50" t="b">
        <f aca="false">IF(Configuration!$C$22="No","",IFERROR(IF(BB143="Yes",TRUE(),FALSE()),FALSE()))</f>
        <v>0</v>
      </c>
      <c r="CJ143" s="50" t="b">
        <f aca="false">IF(Configuration!$C$23="No","",IFERROR(IF(N(AV143)&gt;=Configuration!$C$48,TRUE(),FALSE()),FALSE()))</f>
        <v>0</v>
      </c>
      <c r="CK143" s="50" t="b">
        <f aca="false">IF(Configuration!$C$24="No","",IFERROR(IF(N(AY143)&gt;0,TRUE(),FALSE()),FALSE()))</f>
        <v>0</v>
      </c>
      <c r="CL143" s="50" t="b">
        <f aca="false">IF(Configuration!$C$25="No","",IFERROR(IF(OR(N(AP143)=3,N(AP143)&lt;=1),TRUE(),FALSE()),FALSE()))</f>
        <v>1</v>
      </c>
      <c r="CM143" s="50" t="b">
        <f aca="false">IF(Configuration!$C$26="No","",IFERROR(IF(N(BF143)&gt;=Configuration!$C$49,TRUE(),FALSE()),FALSE()))</f>
        <v>0</v>
      </c>
      <c r="CN143" s="50" t="b">
        <f aca="false">IF(Configuration!$C$27="No","",IFERROR(IF(BD143&lt;&gt;"",TRUE(),FALSE()),FALSE()))</f>
        <v>0</v>
      </c>
      <c r="CO143" s="50" t="b">
        <f aca="false">IF(Configuration!$C$28="No","",IFERROR(IF(N(AU143)&gt;=Configuration!$C$50,TRUE(),FALSE()),FALSE()))</f>
        <v>0</v>
      </c>
      <c r="CP143" s="50" t="b">
        <f aca="false">IF(Configuration!$C$29="No","",IFERROR(IF(AND(N(AR143)&gt;=Configuration!$C$51,AG143&lt;&gt;""),TRUE(),FALSE()),FALSE()))</f>
        <v>0</v>
      </c>
      <c r="CQ143" s="50" t="b">
        <f aca="false">IF(Configuration!$C$30="No","",IFERROR(IF(OR(AW143="Pending",AX143="Yes"),TRUE(),FALSE()),FALSE()))</f>
        <v>0</v>
      </c>
      <c r="CR143" s="50" t="b">
        <f aca="false">IF(Configuration!$C$31="No","",IFERROR(IF(AND(N(BG143)&gt;=Configuration!$C$52,N(AP143)&gt;=1),TRUE(),FALSE()),FALSE()))</f>
        <v>0</v>
      </c>
      <c r="CS143" s="50" t="b">
        <f aca="false">IF(Configuration!$C$32="No","",IFERROR(IF(AND(N(AR143)&gt;=1,OR(AG143&lt;&gt;"",AM143&lt;&gt;"")),TRUE(),FALSE()),FALSE()))</f>
        <v>0</v>
      </c>
      <c r="CT143" s="50" t="b">
        <f aca="false">IF(Configuration!$C$33="No","",IFERROR(IF(AG143&lt;&gt;"",TRUE(),FALSE()),FALSE()))</f>
        <v>0</v>
      </c>
      <c r="CU143" s="50" t="b">
        <f aca="false">IF(Configuration!$C$34="No","",IFERROR(IF(AX143="Yes",TRUE(),FALSE()),FALSE()))</f>
        <v>0</v>
      </c>
      <c r="CV143" s="50" t="b">
        <f aca="false">IF(Configuration!$C$35="No","",IFERROR(IF(OR(BO143="Partial",BO143="Full"),TRUE(),FALSE()),FALSE()))</f>
        <v>0</v>
      </c>
      <c r="CW143" s="50" t="b">
        <f aca="false">IF(Configuration!$C$36="No","",IFERROR(IF(BM143="Survived",TRUE(),FALSE()),FALSE()))</f>
        <v>0</v>
      </c>
      <c r="CX143" s="50" t="b">
        <f aca="false">IF(Configuration!$C$37="No","",IFERROR(IF(AND(BN143="Clean",BP143="None"),TRUE(),FALSE()),FALSE()))</f>
        <v>0</v>
      </c>
      <c r="CY143" s="50" t="b">
        <f aca="false">IF(Configuration!$C$38="No","",IFERROR(IF(N(BK143)&gt;=Configuration!$C$53,TRUE(),FALSE()),FALSE()))</f>
        <v>0</v>
      </c>
      <c r="CZ143" s="50" t="b">
        <f aca="false">IF(Configuration!$C$39="No","",IFERROR(IF(AND(N(BS143)&gt;=2,N(BF143)&gt;=2),TRUE(),FALSE()),FALSE()))</f>
        <v>0</v>
      </c>
      <c r="DA143" s="50" t="b">
        <f aca="false">IF(Configuration!$C$40="No","",IFERROR(IF(OR(N(BG143)&lt;=Configuration!$C$56,N(AY143)&lt;Configuration!$C$57,N(BH143)&lt;=Configuration!$C$58),TRUE(),FALSE()),FALSE()))</f>
        <v>1</v>
      </c>
      <c r="DB143" s="50" t="b">
        <f aca="false">IF(Configuration!$C$41="No","",IFERROR(IF(AND(N(AY143)&gt;=Configuration!$C$54,N(AY143)&lt;=Configuration!$C$55),TRUE(),FALSE()),FALSE()))</f>
        <v>0</v>
      </c>
      <c r="DC143" s="50" t="b">
        <f aca="false">IF(Configuration!$C$42="No","",IFERROR(IF(AND(AG143&lt;&gt;"",AJ143&lt;&gt;""),TRUE(),FALSE()),FALSE()))</f>
        <v>0</v>
      </c>
      <c r="DD143" s="51" t="n">
        <f aca="false">COUNTIF(BW143:DC143,TRUE())</f>
        <v>2</v>
      </c>
    </row>
    <row r="144" customFormat="false" ht="15" hidden="false" customHeight="true" outlineLevel="0" collapsed="false">
      <c r="A144" s="18" t="n">
        <v>105</v>
      </c>
      <c r="B144" s="44"/>
      <c r="C144" s="44"/>
      <c r="D144" s="44"/>
      <c r="E144" s="44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6" t="str">
        <f aca="false">IFERROR(IF(F144&lt;&gt;"",F144,""),"")</f>
        <v/>
      </c>
      <c r="AF144" s="46" t="str">
        <f aca="false">IFERROR(IF(G144&lt;&gt;"",G144,""),"")</f>
        <v/>
      </c>
      <c r="AG144" s="46" t="str">
        <f aca="false">IFERROR(IF(AA144&lt;&gt;"",AA144,IF(R144&lt;&gt;"",R144,"")),"")</f>
        <v/>
      </c>
      <c r="AH144" s="46" t="str">
        <f aca="false">IFERROR(IF(AB144&lt;&gt;"",AB144,IF(S144&lt;&gt;"",S144,"")),"")</f>
        <v/>
      </c>
      <c r="AI144" s="47"/>
      <c r="AJ144" s="47"/>
      <c r="AK144" s="47"/>
      <c r="AL144" s="47"/>
      <c r="AM144" s="47"/>
      <c r="AN144" s="47"/>
      <c r="AO144" s="47"/>
      <c r="AP144" s="47"/>
      <c r="AQ144" s="46" t="str">
        <f aca="false">IFERROR(IF(Y144&lt;&gt;"",VALUE(Y144),""),"")</f>
        <v/>
      </c>
      <c r="AR144" s="47"/>
      <c r="AS144" s="47"/>
      <c r="AT144" s="47"/>
      <c r="AU144" s="47"/>
      <c r="AV144" s="46" t="str">
        <f aca="false">IFERROR(IF(T144&lt;&gt;"",VALUE(T144),""),"")</f>
        <v/>
      </c>
      <c r="AW144" s="46" t="str">
        <f aca="false">IFERROR(IF(N144="","",IF(OR(ISNUMBER(SEARCH("grant",N144)),ISNUMBER(SEARCH("B",AC144))),"Granted",IF(OR(ISNUMBER(SEARCH("pend",N144)),ISNUMBER(SEARCH("A",AC144))),"Pending",IF(ISNUMBER(SEARCH("expir",N144)),"Expired",N144)))),"")</f>
        <v/>
      </c>
      <c r="AX144" s="47"/>
      <c r="AY144" s="46" t="str">
        <f aca="true">IFERROR(IF(M144&lt;&gt;"",ROUND(VALUE(M144),1),IF(L144&lt;&gt;"",ROUND(MAX(0,(DATEVALUE(TEXT(L144,"YYYY-MM-DD"))-TODAY())/365.25),1),"")),"")</f>
        <v/>
      </c>
      <c r="AZ144" s="46" t="str">
        <f aca="false">IFERROR(IF(O144&lt;&gt;"",O144,""),"")</f>
        <v/>
      </c>
      <c r="BA144" s="46" t="str">
        <f aca="false">IFERROR(IF(U144&lt;&gt;"",SUBSTITUTE(SUBSTITUTE(U144,"; ",", "),";",","),""),"")</f>
        <v/>
      </c>
      <c r="BB144" s="47"/>
      <c r="BC144" s="47"/>
      <c r="BD144" s="47"/>
      <c r="BE144" s="47"/>
      <c r="BF144" s="47"/>
      <c r="BG144" s="47"/>
      <c r="BH144" s="47"/>
      <c r="BI144" s="47"/>
      <c r="BJ144" s="47"/>
      <c r="BK144" s="46" t="str">
        <f aca="false">IFERROR(IF(W144&lt;&gt;"",VALUE(W144),""),"")</f>
        <v/>
      </c>
      <c r="BL144" s="46" t="str">
        <f aca="false">IFERROR(IF(X144&lt;&gt;"",VALUE(X144),""),"")</f>
        <v/>
      </c>
      <c r="BM144" s="46" t="str">
        <f aca="false">IFERROR(IF(AD144="","None",IF(ISNUMBER(SEARCH("surv",AD144)),"Survived",IF(ISNUMBER(SEARCH("pend",AD144)),"Pending",IF(ISNUMBER(SEARCH("yes",AD144)),"Pending","None")))),"None")</f>
        <v>None</v>
      </c>
      <c r="BN144" s="47"/>
      <c r="BO144" s="47"/>
      <c r="BP144" s="47"/>
      <c r="BQ144" s="47"/>
      <c r="BR144" s="47"/>
      <c r="BS144" s="47"/>
      <c r="BT144" s="47"/>
      <c r="BU144" s="48" t="n">
        <f aca="false">IFERROR(COUNTA(AE144:BT144)/42,0)</f>
        <v>0.30952380952381</v>
      </c>
      <c r="BV144" s="49"/>
      <c r="BW144" s="50" t="b">
        <f aca="false">IF(Configuration!$C$10="No","",IFERROR(IF(AG144&lt;&gt;"",TRUE(),FALSE()),FALSE()))</f>
        <v>0</v>
      </c>
      <c r="BX144" s="50" t="b">
        <f aca="false">IF(Configuration!$C$11="No","",IFERROR(IF(AND(N(AL144)&gt;=Configuration!$C$44,AM144&lt;&gt;""),TRUE(),FALSE()),FALSE()))</f>
        <v>0</v>
      </c>
      <c r="BY144" s="50" t="b">
        <f aca="false">IF(Configuration!$C$12="No","",IFERROR(IF(AJ144&lt;&gt;"",TRUE(),FALSE()),FALSE()))</f>
        <v>0</v>
      </c>
      <c r="BZ144" s="50" t="b">
        <f aca="false">IF(Configuration!$C$13="No","",IFERROR(IF(AI144&lt;&gt;"",TRUE(),FALSE()),FALSE()))</f>
        <v>0</v>
      </c>
      <c r="CA144" s="50" t="b">
        <f aca="false">IF(Configuration!$C$14="No","",IFERROR(IF(AK144&lt;&gt;"",TRUE(),FALSE()),FALSE()))</f>
        <v>0</v>
      </c>
      <c r="CB144" s="50" t="b">
        <f aca="false">IF(Configuration!$C$15="No","",IFERROR(IF(AND(OR(ISNUMBER(SEARCH("process",AG144)),ISNUMBER(SEARCH("fab",AG144)),ISNUMBER(SEARCH("manufac",AG144))),AO144="Method"),TRUE(),FALSE()),FALSE()))</f>
        <v>0</v>
      </c>
      <c r="CC144" s="50" t="b">
        <f aca="false">IF(Configuration!$C$16="No","",IFERROR(IF(AND(OR(ISNUMBER(SEARCH("material",AG144)),ISNUMBER(SEARCH("chem",AG144)),ISNUMBER(SEARCH("battery",AG144)),ISNUMBER(SEARCH("electrolyte",AG144)),ISNUMBER(SEARCH("polymer",AG144))),OR(AO144="Apparatus",AO144="Method")),TRUE(),FALSE()),FALSE()))</f>
        <v>0</v>
      </c>
      <c r="CD144" s="50" t="b">
        <f aca="false">IF(Configuration!$C$17="No","",IFERROR(IF(AND(OR(AI144="App",AI144="Middleware",AI144="Cloud"),OR(AO144="Method",AO144="CRM")),TRUE(),FALSE()),FALSE()))</f>
        <v>0</v>
      </c>
      <c r="CE144" s="50" t="b">
        <f aca="false">IF(Configuration!$C$18="No","",IFERROR(IF(N(AN144)&gt;=Configuration!$C$45,TRUE(),FALSE()),FALSE()))</f>
        <v>0</v>
      </c>
      <c r="CF144" s="50" t="b">
        <f aca="false">IF(Configuration!$C$19="No","",IFERROR(IF(BE144&lt;&gt;"",TRUE(),FALSE()),FALSE()))</f>
        <v>0</v>
      </c>
      <c r="CG144" s="50" t="b">
        <f aca="false">IF(Configuration!$C$20="No","",IFERROR(IF(AO144&lt;&gt;"",TRUE(),FALSE()),FALSE()))</f>
        <v>0</v>
      </c>
      <c r="CH144" s="50" t="b">
        <f aca="false">IF(Configuration!$C$21="No","",IFERROR(IF(OR(N(AS144)&gt;=Configuration!$C$46,N(AT144)&gt;=Configuration!$C$47),TRUE(),FALSE()),FALSE()))</f>
        <v>0</v>
      </c>
      <c r="CI144" s="50" t="b">
        <f aca="false">IF(Configuration!$C$22="No","",IFERROR(IF(BB144="Yes",TRUE(),FALSE()),FALSE()))</f>
        <v>0</v>
      </c>
      <c r="CJ144" s="50" t="b">
        <f aca="false">IF(Configuration!$C$23="No","",IFERROR(IF(N(AV144)&gt;=Configuration!$C$48,TRUE(),FALSE()),FALSE()))</f>
        <v>0</v>
      </c>
      <c r="CK144" s="50" t="b">
        <f aca="false">IF(Configuration!$C$24="No","",IFERROR(IF(N(AY144)&gt;0,TRUE(),FALSE()),FALSE()))</f>
        <v>0</v>
      </c>
      <c r="CL144" s="50" t="b">
        <f aca="false">IF(Configuration!$C$25="No","",IFERROR(IF(OR(N(AP144)=3,N(AP144)&lt;=1),TRUE(),FALSE()),FALSE()))</f>
        <v>1</v>
      </c>
      <c r="CM144" s="50" t="b">
        <f aca="false">IF(Configuration!$C$26="No","",IFERROR(IF(N(BF144)&gt;=Configuration!$C$49,TRUE(),FALSE()),FALSE()))</f>
        <v>0</v>
      </c>
      <c r="CN144" s="50" t="b">
        <f aca="false">IF(Configuration!$C$27="No","",IFERROR(IF(BD144&lt;&gt;"",TRUE(),FALSE()),FALSE()))</f>
        <v>0</v>
      </c>
      <c r="CO144" s="50" t="b">
        <f aca="false">IF(Configuration!$C$28="No","",IFERROR(IF(N(AU144)&gt;=Configuration!$C$50,TRUE(),FALSE()),FALSE()))</f>
        <v>0</v>
      </c>
      <c r="CP144" s="50" t="b">
        <f aca="false">IF(Configuration!$C$29="No","",IFERROR(IF(AND(N(AR144)&gt;=Configuration!$C$51,AG144&lt;&gt;""),TRUE(),FALSE()),FALSE()))</f>
        <v>0</v>
      </c>
      <c r="CQ144" s="50" t="b">
        <f aca="false">IF(Configuration!$C$30="No","",IFERROR(IF(OR(AW144="Pending",AX144="Yes"),TRUE(),FALSE()),FALSE()))</f>
        <v>0</v>
      </c>
      <c r="CR144" s="50" t="b">
        <f aca="false">IF(Configuration!$C$31="No","",IFERROR(IF(AND(N(BG144)&gt;=Configuration!$C$52,N(AP144)&gt;=1),TRUE(),FALSE()),FALSE()))</f>
        <v>0</v>
      </c>
      <c r="CS144" s="50" t="b">
        <f aca="false">IF(Configuration!$C$32="No","",IFERROR(IF(AND(N(AR144)&gt;=1,OR(AG144&lt;&gt;"",AM144&lt;&gt;"")),TRUE(),FALSE()),FALSE()))</f>
        <v>0</v>
      </c>
      <c r="CT144" s="50" t="b">
        <f aca="false">IF(Configuration!$C$33="No","",IFERROR(IF(AG144&lt;&gt;"",TRUE(),FALSE()),FALSE()))</f>
        <v>0</v>
      </c>
      <c r="CU144" s="50" t="b">
        <f aca="false">IF(Configuration!$C$34="No","",IFERROR(IF(AX144="Yes",TRUE(),FALSE()),FALSE()))</f>
        <v>0</v>
      </c>
      <c r="CV144" s="50" t="b">
        <f aca="false">IF(Configuration!$C$35="No","",IFERROR(IF(OR(BO144="Partial",BO144="Full"),TRUE(),FALSE()),FALSE()))</f>
        <v>0</v>
      </c>
      <c r="CW144" s="50" t="b">
        <f aca="false">IF(Configuration!$C$36="No","",IFERROR(IF(BM144="Survived",TRUE(),FALSE()),FALSE()))</f>
        <v>0</v>
      </c>
      <c r="CX144" s="50" t="b">
        <f aca="false">IF(Configuration!$C$37="No","",IFERROR(IF(AND(BN144="Clean",BP144="None"),TRUE(),FALSE()),FALSE()))</f>
        <v>0</v>
      </c>
      <c r="CY144" s="50" t="b">
        <f aca="false">IF(Configuration!$C$38="No","",IFERROR(IF(N(BK144)&gt;=Configuration!$C$53,TRUE(),FALSE()),FALSE()))</f>
        <v>0</v>
      </c>
      <c r="CZ144" s="50" t="b">
        <f aca="false">IF(Configuration!$C$39="No","",IFERROR(IF(AND(N(BS144)&gt;=2,N(BF144)&gt;=2),TRUE(),FALSE()),FALSE()))</f>
        <v>0</v>
      </c>
      <c r="DA144" s="50" t="b">
        <f aca="false">IF(Configuration!$C$40="No","",IFERROR(IF(OR(N(BG144)&lt;=Configuration!$C$56,N(AY144)&lt;Configuration!$C$57,N(BH144)&lt;=Configuration!$C$58),TRUE(),FALSE()),FALSE()))</f>
        <v>1</v>
      </c>
      <c r="DB144" s="50" t="b">
        <f aca="false">IF(Configuration!$C$41="No","",IFERROR(IF(AND(N(AY144)&gt;=Configuration!$C$54,N(AY144)&lt;=Configuration!$C$55),TRUE(),FALSE()),FALSE()))</f>
        <v>0</v>
      </c>
      <c r="DC144" s="50" t="b">
        <f aca="false">IF(Configuration!$C$42="No","",IFERROR(IF(AND(AG144&lt;&gt;"",AJ144&lt;&gt;""),TRUE(),FALSE()),FALSE()))</f>
        <v>0</v>
      </c>
      <c r="DD144" s="51" t="n">
        <f aca="false">COUNTIF(BW144:DC144,TRUE())</f>
        <v>2</v>
      </c>
    </row>
    <row r="145" customFormat="false" ht="15" hidden="false" customHeight="true" outlineLevel="0" collapsed="false">
      <c r="A145" s="18" t="n">
        <v>106</v>
      </c>
      <c r="B145" s="44"/>
      <c r="C145" s="44"/>
      <c r="D145" s="44"/>
      <c r="E145" s="44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6" t="str">
        <f aca="false">IFERROR(IF(F145&lt;&gt;"",F145,""),"")</f>
        <v/>
      </c>
      <c r="AF145" s="46" t="str">
        <f aca="false">IFERROR(IF(G145&lt;&gt;"",G145,""),"")</f>
        <v/>
      </c>
      <c r="AG145" s="46" t="str">
        <f aca="false">IFERROR(IF(AA145&lt;&gt;"",AA145,IF(R145&lt;&gt;"",R145,"")),"")</f>
        <v/>
      </c>
      <c r="AH145" s="46" t="str">
        <f aca="false">IFERROR(IF(AB145&lt;&gt;"",AB145,IF(S145&lt;&gt;"",S145,"")),"")</f>
        <v/>
      </c>
      <c r="AI145" s="47"/>
      <c r="AJ145" s="47"/>
      <c r="AK145" s="47"/>
      <c r="AL145" s="47"/>
      <c r="AM145" s="47"/>
      <c r="AN145" s="47"/>
      <c r="AO145" s="47"/>
      <c r="AP145" s="47"/>
      <c r="AQ145" s="46" t="str">
        <f aca="false">IFERROR(IF(Y145&lt;&gt;"",VALUE(Y145),""),"")</f>
        <v/>
      </c>
      <c r="AR145" s="47"/>
      <c r="AS145" s="47"/>
      <c r="AT145" s="47"/>
      <c r="AU145" s="47"/>
      <c r="AV145" s="46" t="str">
        <f aca="false">IFERROR(IF(T145&lt;&gt;"",VALUE(T145),""),"")</f>
        <v/>
      </c>
      <c r="AW145" s="46" t="str">
        <f aca="false">IFERROR(IF(N145="","",IF(OR(ISNUMBER(SEARCH("grant",N145)),ISNUMBER(SEARCH("B",AC145))),"Granted",IF(OR(ISNUMBER(SEARCH("pend",N145)),ISNUMBER(SEARCH("A",AC145))),"Pending",IF(ISNUMBER(SEARCH("expir",N145)),"Expired",N145)))),"")</f>
        <v/>
      </c>
      <c r="AX145" s="47"/>
      <c r="AY145" s="46" t="str">
        <f aca="true">IFERROR(IF(M145&lt;&gt;"",ROUND(VALUE(M145),1),IF(L145&lt;&gt;"",ROUND(MAX(0,(DATEVALUE(TEXT(L145,"YYYY-MM-DD"))-TODAY())/365.25),1),"")),"")</f>
        <v/>
      </c>
      <c r="AZ145" s="46" t="str">
        <f aca="false">IFERROR(IF(O145&lt;&gt;"",O145,""),"")</f>
        <v/>
      </c>
      <c r="BA145" s="46" t="str">
        <f aca="false">IFERROR(IF(U145&lt;&gt;"",SUBSTITUTE(SUBSTITUTE(U145,"; ",", "),";",","),""),"")</f>
        <v/>
      </c>
      <c r="BB145" s="47"/>
      <c r="BC145" s="47"/>
      <c r="BD145" s="47"/>
      <c r="BE145" s="47"/>
      <c r="BF145" s="47"/>
      <c r="BG145" s="47"/>
      <c r="BH145" s="47"/>
      <c r="BI145" s="47"/>
      <c r="BJ145" s="47"/>
      <c r="BK145" s="46" t="str">
        <f aca="false">IFERROR(IF(W145&lt;&gt;"",VALUE(W145),""),"")</f>
        <v/>
      </c>
      <c r="BL145" s="46" t="str">
        <f aca="false">IFERROR(IF(X145&lt;&gt;"",VALUE(X145),""),"")</f>
        <v/>
      </c>
      <c r="BM145" s="46" t="str">
        <f aca="false">IFERROR(IF(AD145="","None",IF(ISNUMBER(SEARCH("surv",AD145)),"Survived",IF(ISNUMBER(SEARCH("pend",AD145)),"Pending",IF(ISNUMBER(SEARCH("yes",AD145)),"Pending","None")))),"None")</f>
        <v>None</v>
      </c>
      <c r="BN145" s="47"/>
      <c r="BO145" s="47"/>
      <c r="BP145" s="47"/>
      <c r="BQ145" s="47"/>
      <c r="BR145" s="47"/>
      <c r="BS145" s="47"/>
      <c r="BT145" s="47"/>
      <c r="BU145" s="48" t="n">
        <f aca="false">IFERROR(COUNTA(AE145:BT145)/42,0)</f>
        <v>0.30952380952381</v>
      </c>
      <c r="BV145" s="49"/>
      <c r="BW145" s="50" t="b">
        <f aca="false">IF(Configuration!$C$10="No","",IFERROR(IF(AG145&lt;&gt;"",TRUE(),FALSE()),FALSE()))</f>
        <v>0</v>
      </c>
      <c r="BX145" s="50" t="b">
        <f aca="false">IF(Configuration!$C$11="No","",IFERROR(IF(AND(N(AL145)&gt;=Configuration!$C$44,AM145&lt;&gt;""),TRUE(),FALSE()),FALSE()))</f>
        <v>0</v>
      </c>
      <c r="BY145" s="50" t="b">
        <f aca="false">IF(Configuration!$C$12="No","",IFERROR(IF(AJ145&lt;&gt;"",TRUE(),FALSE()),FALSE()))</f>
        <v>0</v>
      </c>
      <c r="BZ145" s="50" t="b">
        <f aca="false">IF(Configuration!$C$13="No","",IFERROR(IF(AI145&lt;&gt;"",TRUE(),FALSE()),FALSE()))</f>
        <v>0</v>
      </c>
      <c r="CA145" s="50" t="b">
        <f aca="false">IF(Configuration!$C$14="No","",IFERROR(IF(AK145&lt;&gt;"",TRUE(),FALSE()),FALSE()))</f>
        <v>0</v>
      </c>
      <c r="CB145" s="50" t="b">
        <f aca="false">IF(Configuration!$C$15="No","",IFERROR(IF(AND(OR(ISNUMBER(SEARCH("process",AG145)),ISNUMBER(SEARCH("fab",AG145)),ISNUMBER(SEARCH("manufac",AG145))),AO145="Method"),TRUE(),FALSE()),FALSE()))</f>
        <v>0</v>
      </c>
      <c r="CC145" s="50" t="b">
        <f aca="false">IF(Configuration!$C$16="No","",IFERROR(IF(AND(OR(ISNUMBER(SEARCH("material",AG145)),ISNUMBER(SEARCH("chem",AG145)),ISNUMBER(SEARCH("battery",AG145)),ISNUMBER(SEARCH("electrolyte",AG145)),ISNUMBER(SEARCH("polymer",AG145))),OR(AO145="Apparatus",AO145="Method")),TRUE(),FALSE()),FALSE()))</f>
        <v>0</v>
      </c>
      <c r="CD145" s="50" t="b">
        <f aca="false">IF(Configuration!$C$17="No","",IFERROR(IF(AND(OR(AI145="App",AI145="Middleware",AI145="Cloud"),OR(AO145="Method",AO145="CRM")),TRUE(),FALSE()),FALSE()))</f>
        <v>0</v>
      </c>
      <c r="CE145" s="50" t="b">
        <f aca="false">IF(Configuration!$C$18="No","",IFERROR(IF(N(AN145)&gt;=Configuration!$C$45,TRUE(),FALSE()),FALSE()))</f>
        <v>0</v>
      </c>
      <c r="CF145" s="50" t="b">
        <f aca="false">IF(Configuration!$C$19="No","",IFERROR(IF(BE145&lt;&gt;"",TRUE(),FALSE()),FALSE()))</f>
        <v>0</v>
      </c>
      <c r="CG145" s="50" t="b">
        <f aca="false">IF(Configuration!$C$20="No","",IFERROR(IF(AO145&lt;&gt;"",TRUE(),FALSE()),FALSE()))</f>
        <v>0</v>
      </c>
      <c r="CH145" s="50" t="b">
        <f aca="false">IF(Configuration!$C$21="No","",IFERROR(IF(OR(N(AS145)&gt;=Configuration!$C$46,N(AT145)&gt;=Configuration!$C$47),TRUE(),FALSE()),FALSE()))</f>
        <v>0</v>
      </c>
      <c r="CI145" s="50" t="b">
        <f aca="false">IF(Configuration!$C$22="No","",IFERROR(IF(BB145="Yes",TRUE(),FALSE()),FALSE()))</f>
        <v>0</v>
      </c>
      <c r="CJ145" s="50" t="b">
        <f aca="false">IF(Configuration!$C$23="No","",IFERROR(IF(N(AV145)&gt;=Configuration!$C$48,TRUE(),FALSE()),FALSE()))</f>
        <v>0</v>
      </c>
      <c r="CK145" s="50" t="b">
        <f aca="false">IF(Configuration!$C$24="No","",IFERROR(IF(N(AY145)&gt;0,TRUE(),FALSE()),FALSE()))</f>
        <v>0</v>
      </c>
      <c r="CL145" s="50" t="b">
        <f aca="false">IF(Configuration!$C$25="No","",IFERROR(IF(OR(N(AP145)=3,N(AP145)&lt;=1),TRUE(),FALSE()),FALSE()))</f>
        <v>1</v>
      </c>
      <c r="CM145" s="50" t="b">
        <f aca="false">IF(Configuration!$C$26="No","",IFERROR(IF(N(BF145)&gt;=Configuration!$C$49,TRUE(),FALSE()),FALSE()))</f>
        <v>0</v>
      </c>
      <c r="CN145" s="50" t="b">
        <f aca="false">IF(Configuration!$C$27="No","",IFERROR(IF(BD145&lt;&gt;"",TRUE(),FALSE()),FALSE()))</f>
        <v>0</v>
      </c>
      <c r="CO145" s="50" t="b">
        <f aca="false">IF(Configuration!$C$28="No","",IFERROR(IF(N(AU145)&gt;=Configuration!$C$50,TRUE(),FALSE()),FALSE()))</f>
        <v>0</v>
      </c>
      <c r="CP145" s="50" t="b">
        <f aca="false">IF(Configuration!$C$29="No","",IFERROR(IF(AND(N(AR145)&gt;=Configuration!$C$51,AG145&lt;&gt;""),TRUE(),FALSE()),FALSE()))</f>
        <v>0</v>
      </c>
      <c r="CQ145" s="50" t="b">
        <f aca="false">IF(Configuration!$C$30="No","",IFERROR(IF(OR(AW145="Pending",AX145="Yes"),TRUE(),FALSE()),FALSE()))</f>
        <v>0</v>
      </c>
      <c r="CR145" s="50" t="b">
        <f aca="false">IF(Configuration!$C$31="No","",IFERROR(IF(AND(N(BG145)&gt;=Configuration!$C$52,N(AP145)&gt;=1),TRUE(),FALSE()),FALSE()))</f>
        <v>0</v>
      </c>
      <c r="CS145" s="50" t="b">
        <f aca="false">IF(Configuration!$C$32="No","",IFERROR(IF(AND(N(AR145)&gt;=1,OR(AG145&lt;&gt;"",AM145&lt;&gt;"")),TRUE(),FALSE()),FALSE()))</f>
        <v>0</v>
      </c>
      <c r="CT145" s="50" t="b">
        <f aca="false">IF(Configuration!$C$33="No","",IFERROR(IF(AG145&lt;&gt;"",TRUE(),FALSE()),FALSE()))</f>
        <v>0</v>
      </c>
      <c r="CU145" s="50" t="b">
        <f aca="false">IF(Configuration!$C$34="No","",IFERROR(IF(AX145="Yes",TRUE(),FALSE()),FALSE()))</f>
        <v>0</v>
      </c>
      <c r="CV145" s="50" t="b">
        <f aca="false">IF(Configuration!$C$35="No","",IFERROR(IF(OR(BO145="Partial",BO145="Full"),TRUE(),FALSE()),FALSE()))</f>
        <v>0</v>
      </c>
      <c r="CW145" s="50" t="b">
        <f aca="false">IF(Configuration!$C$36="No","",IFERROR(IF(BM145="Survived",TRUE(),FALSE()),FALSE()))</f>
        <v>0</v>
      </c>
      <c r="CX145" s="50" t="b">
        <f aca="false">IF(Configuration!$C$37="No","",IFERROR(IF(AND(BN145="Clean",BP145="None"),TRUE(),FALSE()),FALSE()))</f>
        <v>0</v>
      </c>
      <c r="CY145" s="50" t="b">
        <f aca="false">IF(Configuration!$C$38="No","",IFERROR(IF(N(BK145)&gt;=Configuration!$C$53,TRUE(),FALSE()),FALSE()))</f>
        <v>0</v>
      </c>
      <c r="CZ145" s="50" t="b">
        <f aca="false">IF(Configuration!$C$39="No","",IFERROR(IF(AND(N(BS145)&gt;=2,N(BF145)&gt;=2),TRUE(),FALSE()),FALSE()))</f>
        <v>0</v>
      </c>
      <c r="DA145" s="50" t="b">
        <f aca="false">IF(Configuration!$C$40="No","",IFERROR(IF(OR(N(BG145)&lt;=Configuration!$C$56,N(AY145)&lt;Configuration!$C$57,N(BH145)&lt;=Configuration!$C$58),TRUE(),FALSE()),FALSE()))</f>
        <v>1</v>
      </c>
      <c r="DB145" s="50" t="b">
        <f aca="false">IF(Configuration!$C$41="No","",IFERROR(IF(AND(N(AY145)&gt;=Configuration!$C$54,N(AY145)&lt;=Configuration!$C$55),TRUE(),FALSE()),FALSE()))</f>
        <v>0</v>
      </c>
      <c r="DC145" s="50" t="b">
        <f aca="false">IF(Configuration!$C$42="No","",IFERROR(IF(AND(AG145&lt;&gt;"",AJ145&lt;&gt;""),TRUE(),FALSE()),FALSE()))</f>
        <v>0</v>
      </c>
      <c r="DD145" s="51" t="n">
        <f aca="false">COUNTIF(BW145:DC145,TRUE())</f>
        <v>2</v>
      </c>
    </row>
    <row r="146" customFormat="false" ht="15" hidden="false" customHeight="true" outlineLevel="0" collapsed="false">
      <c r="A146" s="18" t="n">
        <v>107</v>
      </c>
      <c r="B146" s="44"/>
      <c r="C146" s="44"/>
      <c r="D146" s="44"/>
      <c r="E146" s="44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6" t="str">
        <f aca="false">IFERROR(IF(F146&lt;&gt;"",F146,""),"")</f>
        <v/>
      </c>
      <c r="AF146" s="46" t="str">
        <f aca="false">IFERROR(IF(G146&lt;&gt;"",G146,""),"")</f>
        <v/>
      </c>
      <c r="AG146" s="46" t="str">
        <f aca="false">IFERROR(IF(AA146&lt;&gt;"",AA146,IF(R146&lt;&gt;"",R146,"")),"")</f>
        <v/>
      </c>
      <c r="AH146" s="46" t="str">
        <f aca="false">IFERROR(IF(AB146&lt;&gt;"",AB146,IF(S146&lt;&gt;"",S146,"")),"")</f>
        <v/>
      </c>
      <c r="AI146" s="47"/>
      <c r="AJ146" s="47"/>
      <c r="AK146" s="47"/>
      <c r="AL146" s="47"/>
      <c r="AM146" s="47"/>
      <c r="AN146" s="47"/>
      <c r="AO146" s="47"/>
      <c r="AP146" s="47"/>
      <c r="AQ146" s="46" t="str">
        <f aca="false">IFERROR(IF(Y146&lt;&gt;"",VALUE(Y146),""),"")</f>
        <v/>
      </c>
      <c r="AR146" s="47"/>
      <c r="AS146" s="47"/>
      <c r="AT146" s="47"/>
      <c r="AU146" s="47"/>
      <c r="AV146" s="46" t="str">
        <f aca="false">IFERROR(IF(T146&lt;&gt;"",VALUE(T146),""),"")</f>
        <v/>
      </c>
      <c r="AW146" s="46" t="str">
        <f aca="false">IFERROR(IF(N146="","",IF(OR(ISNUMBER(SEARCH("grant",N146)),ISNUMBER(SEARCH("B",AC146))),"Granted",IF(OR(ISNUMBER(SEARCH("pend",N146)),ISNUMBER(SEARCH("A",AC146))),"Pending",IF(ISNUMBER(SEARCH("expir",N146)),"Expired",N146)))),"")</f>
        <v/>
      </c>
      <c r="AX146" s="47"/>
      <c r="AY146" s="46" t="str">
        <f aca="true">IFERROR(IF(M146&lt;&gt;"",ROUND(VALUE(M146),1),IF(L146&lt;&gt;"",ROUND(MAX(0,(DATEVALUE(TEXT(L146,"YYYY-MM-DD"))-TODAY())/365.25),1),"")),"")</f>
        <v/>
      </c>
      <c r="AZ146" s="46" t="str">
        <f aca="false">IFERROR(IF(O146&lt;&gt;"",O146,""),"")</f>
        <v/>
      </c>
      <c r="BA146" s="46" t="str">
        <f aca="false">IFERROR(IF(U146&lt;&gt;"",SUBSTITUTE(SUBSTITUTE(U146,"; ",", "),";",","),""),"")</f>
        <v/>
      </c>
      <c r="BB146" s="47"/>
      <c r="BC146" s="47"/>
      <c r="BD146" s="47"/>
      <c r="BE146" s="47"/>
      <c r="BF146" s="47"/>
      <c r="BG146" s="47"/>
      <c r="BH146" s="47"/>
      <c r="BI146" s="47"/>
      <c r="BJ146" s="47"/>
      <c r="BK146" s="46" t="str">
        <f aca="false">IFERROR(IF(W146&lt;&gt;"",VALUE(W146),""),"")</f>
        <v/>
      </c>
      <c r="BL146" s="46" t="str">
        <f aca="false">IFERROR(IF(X146&lt;&gt;"",VALUE(X146),""),"")</f>
        <v/>
      </c>
      <c r="BM146" s="46" t="str">
        <f aca="false">IFERROR(IF(AD146="","None",IF(ISNUMBER(SEARCH("surv",AD146)),"Survived",IF(ISNUMBER(SEARCH("pend",AD146)),"Pending",IF(ISNUMBER(SEARCH("yes",AD146)),"Pending","None")))),"None")</f>
        <v>None</v>
      </c>
      <c r="BN146" s="47"/>
      <c r="BO146" s="47"/>
      <c r="BP146" s="47"/>
      <c r="BQ146" s="47"/>
      <c r="BR146" s="47"/>
      <c r="BS146" s="47"/>
      <c r="BT146" s="47"/>
      <c r="BU146" s="48" t="n">
        <f aca="false">IFERROR(COUNTA(AE146:BT146)/42,0)</f>
        <v>0.30952380952381</v>
      </c>
      <c r="BV146" s="49"/>
      <c r="BW146" s="50" t="b">
        <f aca="false">IF(Configuration!$C$10="No","",IFERROR(IF(AG146&lt;&gt;"",TRUE(),FALSE()),FALSE()))</f>
        <v>0</v>
      </c>
      <c r="BX146" s="50" t="b">
        <f aca="false">IF(Configuration!$C$11="No","",IFERROR(IF(AND(N(AL146)&gt;=Configuration!$C$44,AM146&lt;&gt;""),TRUE(),FALSE()),FALSE()))</f>
        <v>0</v>
      </c>
      <c r="BY146" s="50" t="b">
        <f aca="false">IF(Configuration!$C$12="No","",IFERROR(IF(AJ146&lt;&gt;"",TRUE(),FALSE()),FALSE()))</f>
        <v>0</v>
      </c>
      <c r="BZ146" s="50" t="b">
        <f aca="false">IF(Configuration!$C$13="No","",IFERROR(IF(AI146&lt;&gt;"",TRUE(),FALSE()),FALSE()))</f>
        <v>0</v>
      </c>
      <c r="CA146" s="50" t="b">
        <f aca="false">IF(Configuration!$C$14="No","",IFERROR(IF(AK146&lt;&gt;"",TRUE(),FALSE()),FALSE()))</f>
        <v>0</v>
      </c>
      <c r="CB146" s="50" t="b">
        <f aca="false">IF(Configuration!$C$15="No","",IFERROR(IF(AND(OR(ISNUMBER(SEARCH("process",AG146)),ISNUMBER(SEARCH("fab",AG146)),ISNUMBER(SEARCH("manufac",AG146))),AO146="Method"),TRUE(),FALSE()),FALSE()))</f>
        <v>0</v>
      </c>
      <c r="CC146" s="50" t="b">
        <f aca="false">IF(Configuration!$C$16="No","",IFERROR(IF(AND(OR(ISNUMBER(SEARCH("material",AG146)),ISNUMBER(SEARCH("chem",AG146)),ISNUMBER(SEARCH("battery",AG146)),ISNUMBER(SEARCH("electrolyte",AG146)),ISNUMBER(SEARCH("polymer",AG146))),OR(AO146="Apparatus",AO146="Method")),TRUE(),FALSE()),FALSE()))</f>
        <v>0</v>
      </c>
      <c r="CD146" s="50" t="b">
        <f aca="false">IF(Configuration!$C$17="No","",IFERROR(IF(AND(OR(AI146="App",AI146="Middleware",AI146="Cloud"),OR(AO146="Method",AO146="CRM")),TRUE(),FALSE()),FALSE()))</f>
        <v>0</v>
      </c>
      <c r="CE146" s="50" t="b">
        <f aca="false">IF(Configuration!$C$18="No","",IFERROR(IF(N(AN146)&gt;=Configuration!$C$45,TRUE(),FALSE()),FALSE()))</f>
        <v>0</v>
      </c>
      <c r="CF146" s="50" t="b">
        <f aca="false">IF(Configuration!$C$19="No","",IFERROR(IF(BE146&lt;&gt;"",TRUE(),FALSE()),FALSE()))</f>
        <v>0</v>
      </c>
      <c r="CG146" s="50" t="b">
        <f aca="false">IF(Configuration!$C$20="No","",IFERROR(IF(AO146&lt;&gt;"",TRUE(),FALSE()),FALSE()))</f>
        <v>0</v>
      </c>
      <c r="CH146" s="50" t="b">
        <f aca="false">IF(Configuration!$C$21="No","",IFERROR(IF(OR(N(AS146)&gt;=Configuration!$C$46,N(AT146)&gt;=Configuration!$C$47),TRUE(),FALSE()),FALSE()))</f>
        <v>0</v>
      </c>
      <c r="CI146" s="50" t="b">
        <f aca="false">IF(Configuration!$C$22="No","",IFERROR(IF(BB146="Yes",TRUE(),FALSE()),FALSE()))</f>
        <v>0</v>
      </c>
      <c r="CJ146" s="50" t="b">
        <f aca="false">IF(Configuration!$C$23="No","",IFERROR(IF(N(AV146)&gt;=Configuration!$C$48,TRUE(),FALSE()),FALSE()))</f>
        <v>0</v>
      </c>
      <c r="CK146" s="50" t="b">
        <f aca="false">IF(Configuration!$C$24="No","",IFERROR(IF(N(AY146)&gt;0,TRUE(),FALSE()),FALSE()))</f>
        <v>0</v>
      </c>
      <c r="CL146" s="50" t="b">
        <f aca="false">IF(Configuration!$C$25="No","",IFERROR(IF(OR(N(AP146)=3,N(AP146)&lt;=1),TRUE(),FALSE()),FALSE()))</f>
        <v>1</v>
      </c>
      <c r="CM146" s="50" t="b">
        <f aca="false">IF(Configuration!$C$26="No","",IFERROR(IF(N(BF146)&gt;=Configuration!$C$49,TRUE(),FALSE()),FALSE()))</f>
        <v>0</v>
      </c>
      <c r="CN146" s="50" t="b">
        <f aca="false">IF(Configuration!$C$27="No","",IFERROR(IF(BD146&lt;&gt;"",TRUE(),FALSE()),FALSE()))</f>
        <v>0</v>
      </c>
      <c r="CO146" s="50" t="b">
        <f aca="false">IF(Configuration!$C$28="No","",IFERROR(IF(N(AU146)&gt;=Configuration!$C$50,TRUE(),FALSE()),FALSE()))</f>
        <v>0</v>
      </c>
      <c r="CP146" s="50" t="b">
        <f aca="false">IF(Configuration!$C$29="No","",IFERROR(IF(AND(N(AR146)&gt;=Configuration!$C$51,AG146&lt;&gt;""),TRUE(),FALSE()),FALSE()))</f>
        <v>0</v>
      </c>
      <c r="CQ146" s="50" t="b">
        <f aca="false">IF(Configuration!$C$30="No","",IFERROR(IF(OR(AW146="Pending",AX146="Yes"),TRUE(),FALSE()),FALSE()))</f>
        <v>0</v>
      </c>
      <c r="CR146" s="50" t="b">
        <f aca="false">IF(Configuration!$C$31="No","",IFERROR(IF(AND(N(BG146)&gt;=Configuration!$C$52,N(AP146)&gt;=1),TRUE(),FALSE()),FALSE()))</f>
        <v>0</v>
      </c>
      <c r="CS146" s="50" t="b">
        <f aca="false">IF(Configuration!$C$32="No","",IFERROR(IF(AND(N(AR146)&gt;=1,OR(AG146&lt;&gt;"",AM146&lt;&gt;"")),TRUE(),FALSE()),FALSE()))</f>
        <v>0</v>
      </c>
      <c r="CT146" s="50" t="b">
        <f aca="false">IF(Configuration!$C$33="No","",IFERROR(IF(AG146&lt;&gt;"",TRUE(),FALSE()),FALSE()))</f>
        <v>0</v>
      </c>
      <c r="CU146" s="50" t="b">
        <f aca="false">IF(Configuration!$C$34="No","",IFERROR(IF(AX146="Yes",TRUE(),FALSE()),FALSE()))</f>
        <v>0</v>
      </c>
      <c r="CV146" s="50" t="b">
        <f aca="false">IF(Configuration!$C$35="No","",IFERROR(IF(OR(BO146="Partial",BO146="Full"),TRUE(),FALSE()),FALSE()))</f>
        <v>0</v>
      </c>
      <c r="CW146" s="50" t="b">
        <f aca="false">IF(Configuration!$C$36="No","",IFERROR(IF(BM146="Survived",TRUE(),FALSE()),FALSE()))</f>
        <v>0</v>
      </c>
      <c r="CX146" s="50" t="b">
        <f aca="false">IF(Configuration!$C$37="No","",IFERROR(IF(AND(BN146="Clean",BP146="None"),TRUE(),FALSE()),FALSE()))</f>
        <v>0</v>
      </c>
      <c r="CY146" s="50" t="b">
        <f aca="false">IF(Configuration!$C$38="No","",IFERROR(IF(N(BK146)&gt;=Configuration!$C$53,TRUE(),FALSE()),FALSE()))</f>
        <v>0</v>
      </c>
      <c r="CZ146" s="50" t="b">
        <f aca="false">IF(Configuration!$C$39="No","",IFERROR(IF(AND(N(BS146)&gt;=2,N(BF146)&gt;=2),TRUE(),FALSE()),FALSE()))</f>
        <v>0</v>
      </c>
      <c r="DA146" s="50" t="b">
        <f aca="false">IF(Configuration!$C$40="No","",IFERROR(IF(OR(N(BG146)&lt;=Configuration!$C$56,N(AY146)&lt;Configuration!$C$57,N(BH146)&lt;=Configuration!$C$58),TRUE(),FALSE()),FALSE()))</f>
        <v>1</v>
      </c>
      <c r="DB146" s="50" t="b">
        <f aca="false">IF(Configuration!$C$41="No","",IFERROR(IF(AND(N(AY146)&gt;=Configuration!$C$54,N(AY146)&lt;=Configuration!$C$55),TRUE(),FALSE()),FALSE()))</f>
        <v>0</v>
      </c>
      <c r="DC146" s="50" t="b">
        <f aca="false">IF(Configuration!$C$42="No","",IFERROR(IF(AND(AG146&lt;&gt;"",AJ146&lt;&gt;""),TRUE(),FALSE()),FALSE()))</f>
        <v>0</v>
      </c>
      <c r="DD146" s="51" t="n">
        <f aca="false">COUNTIF(BW146:DC146,TRUE())</f>
        <v>2</v>
      </c>
    </row>
    <row r="147" customFormat="false" ht="15" hidden="false" customHeight="true" outlineLevel="0" collapsed="false">
      <c r="A147" s="18" t="n">
        <v>108</v>
      </c>
      <c r="B147" s="44"/>
      <c r="C147" s="44"/>
      <c r="D147" s="44"/>
      <c r="E147" s="44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6" t="str">
        <f aca="false">IFERROR(IF(F147&lt;&gt;"",F147,""),"")</f>
        <v/>
      </c>
      <c r="AF147" s="46" t="str">
        <f aca="false">IFERROR(IF(G147&lt;&gt;"",G147,""),"")</f>
        <v/>
      </c>
      <c r="AG147" s="46" t="str">
        <f aca="false">IFERROR(IF(AA147&lt;&gt;"",AA147,IF(R147&lt;&gt;"",R147,"")),"")</f>
        <v/>
      </c>
      <c r="AH147" s="46" t="str">
        <f aca="false">IFERROR(IF(AB147&lt;&gt;"",AB147,IF(S147&lt;&gt;"",S147,"")),"")</f>
        <v/>
      </c>
      <c r="AI147" s="47"/>
      <c r="AJ147" s="47"/>
      <c r="AK147" s="47"/>
      <c r="AL147" s="47"/>
      <c r="AM147" s="47"/>
      <c r="AN147" s="47"/>
      <c r="AO147" s="47"/>
      <c r="AP147" s="47"/>
      <c r="AQ147" s="46" t="str">
        <f aca="false">IFERROR(IF(Y147&lt;&gt;"",VALUE(Y147),""),"")</f>
        <v/>
      </c>
      <c r="AR147" s="47"/>
      <c r="AS147" s="47"/>
      <c r="AT147" s="47"/>
      <c r="AU147" s="47"/>
      <c r="AV147" s="46" t="str">
        <f aca="false">IFERROR(IF(T147&lt;&gt;"",VALUE(T147),""),"")</f>
        <v/>
      </c>
      <c r="AW147" s="46" t="str">
        <f aca="false">IFERROR(IF(N147="","",IF(OR(ISNUMBER(SEARCH("grant",N147)),ISNUMBER(SEARCH("B",AC147))),"Granted",IF(OR(ISNUMBER(SEARCH("pend",N147)),ISNUMBER(SEARCH("A",AC147))),"Pending",IF(ISNUMBER(SEARCH("expir",N147)),"Expired",N147)))),"")</f>
        <v/>
      </c>
      <c r="AX147" s="47"/>
      <c r="AY147" s="46" t="str">
        <f aca="true">IFERROR(IF(M147&lt;&gt;"",ROUND(VALUE(M147),1),IF(L147&lt;&gt;"",ROUND(MAX(0,(DATEVALUE(TEXT(L147,"YYYY-MM-DD"))-TODAY())/365.25),1),"")),"")</f>
        <v/>
      </c>
      <c r="AZ147" s="46" t="str">
        <f aca="false">IFERROR(IF(O147&lt;&gt;"",O147,""),"")</f>
        <v/>
      </c>
      <c r="BA147" s="46" t="str">
        <f aca="false">IFERROR(IF(U147&lt;&gt;"",SUBSTITUTE(SUBSTITUTE(U147,"; ",", "),";",","),""),"")</f>
        <v/>
      </c>
      <c r="BB147" s="47"/>
      <c r="BC147" s="47"/>
      <c r="BD147" s="47"/>
      <c r="BE147" s="47"/>
      <c r="BF147" s="47"/>
      <c r="BG147" s="47"/>
      <c r="BH147" s="47"/>
      <c r="BI147" s="47"/>
      <c r="BJ147" s="47"/>
      <c r="BK147" s="46" t="str">
        <f aca="false">IFERROR(IF(W147&lt;&gt;"",VALUE(W147),""),"")</f>
        <v/>
      </c>
      <c r="BL147" s="46" t="str">
        <f aca="false">IFERROR(IF(X147&lt;&gt;"",VALUE(X147),""),"")</f>
        <v/>
      </c>
      <c r="BM147" s="46" t="str">
        <f aca="false">IFERROR(IF(AD147="","None",IF(ISNUMBER(SEARCH("surv",AD147)),"Survived",IF(ISNUMBER(SEARCH("pend",AD147)),"Pending",IF(ISNUMBER(SEARCH("yes",AD147)),"Pending","None")))),"None")</f>
        <v>None</v>
      </c>
      <c r="BN147" s="47"/>
      <c r="BO147" s="47"/>
      <c r="BP147" s="47"/>
      <c r="BQ147" s="47"/>
      <c r="BR147" s="47"/>
      <c r="BS147" s="47"/>
      <c r="BT147" s="47"/>
      <c r="BU147" s="48" t="n">
        <f aca="false">IFERROR(COUNTA(AE147:BT147)/42,0)</f>
        <v>0.30952380952381</v>
      </c>
      <c r="BV147" s="49"/>
      <c r="BW147" s="50" t="b">
        <f aca="false">IF(Configuration!$C$10="No","",IFERROR(IF(AG147&lt;&gt;"",TRUE(),FALSE()),FALSE()))</f>
        <v>0</v>
      </c>
      <c r="BX147" s="50" t="b">
        <f aca="false">IF(Configuration!$C$11="No","",IFERROR(IF(AND(N(AL147)&gt;=Configuration!$C$44,AM147&lt;&gt;""),TRUE(),FALSE()),FALSE()))</f>
        <v>0</v>
      </c>
      <c r="BY147" s="50" t="b">
        <f aca="false">IF(Configuration!$C$12="No","",IFERROR(IF(AJ147&lt;&gt;"",TRUE(),FALSE()),FALSE()))</f>
        <v>0</v>
      </c>
      <c r="BZ147" s="50" t="b">
        <f aca="false">IF(Configuration!$C$13="No","",IFERROR(IF(AI147&lt;&gt;"",TRUE(),FALSE()),FALSE()))</f>
        <v>0</v>
      </c>
      <c r="CA147" s="50" t="b">
        <f aca="false">IF(Configuration!$C$14="No","",IFERROR(IF(AK147&lt;&gt;"",TRUE(),FALSE()),FALSE()))</f>
        <v>0</v>
      </c>
      <c r="CB147" s="50" t="b">
        <f aca="false">IF(Configuration!$C$15="No","",IFERROR(IF(AND(OR(ISNUMBER(SEARCH("process",AG147)),ISNUMBER(SEARCH("fab",AG147)),ISNUMBER(SEARCH("manufac",AG147))),AO147="Method"),TRUE(),FALSE()),FALSE()))</f>
        <v>0</v>
      </c>
      <c r="CC147" s="50" t="b">
        <f aca="false">IF(Configuration!$C$16="No","",IFERROR(IF(AND(OR(ISNUMBER(SEARCH("material",AG147)),ISNUMBER(SEARCH("chem",AG147)),ISNUMBER(SEARCH("battery",AG147)),ISNUMBER(SEARCH("electrolyte",AG147)),ISNUMBER(SEARCH("polymer",AG147))),OR(AO147="Apparatus",AO147="Method")),TRUE(),FALSE()),FALSE()))</f>
        <v>0</v>
      </c>
      <c r="CD147" s="50" t="b">
        <f aca="false">IF(Configuration!$C$17="No","",IFERROR(IF(AND(OR(AI147="App",AI147="Middleware",AI147="Cloud"),OR(AO147="Method",AO147="CRM")),TRUE(),FALSE()),FALSE()))</f>
        <v>0</v>
      </c>
      <c r="CE147" s="50" t="b">
        <f aca="false">IF(Configuration!$C$18="No","",IFERROR(IF(N(AN147)&gt;=Configuration!$C$45,TRUE(),FALSE()),FALSE()))</f>
        <v>0</v>
      </c>
      <c r="CF147" s="50" t="b">
        <f aca="false">IF(Configuration!$C$19="No","",IFERROR(IF(BE147&lt;&gt;"",TRUE(),FALSE()),FALSE()))</f>
        <v>0</v>
      </c>
      <c r="CG147" s="50" t="b">
        <f aca="false">IF(Configuration!$C$20="No","",IFERROR(IF(AO147&lt;&gt;"",TRUE(),FALSE()),FALSE()))</f>
        <v>0</v>
      </c>
      <c r="CH147" s="50" t="b">
        <f aca="false">IF(Configuration!$C$21="No","",IFERROR(IF(OR(N(AS147)&gt;=Configuration!$C$46,N(AT147)&gt;=Configuration!$C$47),TRUE(),FALSE()),FALSE()))</f>
        <v>0</v>
      </c>
      <c r="CI147" s="50" t="b">
        <f aca="false">IF(Configuration!$C$22="No","",IFERROR(IF(BB147="Yes",TRUE(),FALSE()),FALSE()))</f>
        <v>0</v>
      </c>
      <c r="CJ147" s="50" t="b">
        <f aca="false">IF(Configuration!$C$23="No","",IFERROR(IF(N(AV147)&gt;=Configuration!$C$48,TRUE(),FALSE()),FALSE()))</f>
        <v>0</v>
      </c>
      <c r="CK147" s="50" t="b">
        <f aca="false">IF(Configuration!$C$24="No","",IFERROR(IF(N(AY147)&gt;0,TRUE(),FALSE()),FALSE()))</f>
        <v>0</v>
      </c>
      <c r="CL147" s="50" t="b">
        <f aca="false">IF(Configuration!$C$25="No","",IFERROR(IF(OR(N(AP147)=3,N(AP147)&lt;=1),TRUE(),FALSE()),FALSE()))</f>
        <v>1</v>
      </c>
      <c r="CM147" s="50" t="b">
        <f aca="false">IF(Configuration!$C$26="No","",IFERROR(IF(N(BF147)&gt;=Configuration!$C$49,TRUE(),FALSE()),FALSE()))</f>
        <v>0</v>
      </c>
      <c r="CN147" s="50" t="b">
        <f aca="false">IF(Configuration!$C$27="No","",IFERROR(IF(BD147&lt;&gt;"",TRUE(),FALSE()),FALSE()))</f>
        <v>0</v>
      </c>
      <c r="CO147" s="50" t="b">
        <f aca="false">IF(Configuration!$C$28="No","",IFERROR(IF(N(AU147)&gt;=Configuration!$C$50,TRUE(),FALSE()),FALSE()))</f>
        <v>0</v>
      </c>
      <c r="CP147" s="50" t="b">
        <f aca="false">IF(Configuration!$C$29="No","",IFERROR(IF(AND(N(AR147)&gt;=Configuration!$C$51,AG147&lt;&gt;""),TRUE(),FALSE()),FALSE()))</f>
        <v>0</v>
      </c>
      <c r="CQ147" s="50" t="b">
        <f aca="false">IF(Configuration!$C$30="No","",IFERROR(IF(OR(AW147="Pending",AX147="Yes"),TRUE(),FALSE()),FALSE()))</f>
        <v>0</v>
      </c>
      <c r="CR147" s="50" t="b">
        <f aca="false">IF(Configuration!$C$31="No","",IFERROR(IF(AND(N(BG147)&gt;=Configuration!$C$52,N(AP147)&gt;=1),TRUE(),FALSE()),FALSE()))</f>
        <v>0</v>
      </c>
      <c r="CS147" s="50" t="b">
        <f aca="false">IF(Configuration!$C$32="No","",IFERROR(IF(AND(N(AR147)&gt;=1,OR(AG147&lt;&gt;"",AM147&lt;&gt;"")),TRUE(),FALSE()),FALSE()))</f>
        <v>0</v>
      </c>
      <c r="CT147" s="50" t="b">
        <f aca="false">IF(Configuration!$C$33="No","",IFERROR(IF(AG147&lt;&gt;"",TRUE(),FALSE()),FALSE()))</f>
        <v>0</v>
      </c>
      <c r="CU147" s="50" t="b">
        <f aca="false">IF(Configuration!$C$34="No","",IFERROR(IF(AX147="Yes",TRUE(),FALSE()),FALSE()))</f>
        <v>0</v>
      </c>
      <c r="CV147" s="50" t="b">
        <f aca="false">IF(Configuration!$C$35="No","",IFERROR(IF(OR(BO147="Partial",BO147="Full"),TRUE(),FALSE()),FALSE()))</f>
        <v>0</v>
      </c>
      <c r="CW147" s="50" t="b">
        <f aca="false">IF(Configuration!$C$36="No","",IFERROR(IF(BM147="Survived",TRUE(),FALSE()),FALSE()))</f>
        <v>0</v>
      </c>
      <c r="CX147" s="50" t="b">
        <f aca="false">IF(Configuration!$C$37="No","",IFERROR(IF(AND(BN147="Clean",BP147="None"),TRUE(),FALSE()),FALSE()))</f>
        <v>0</v>
      </c>
      <c r="CY147" s="50" t="b">
        <f aca="false">IF(Configuration!$C$38="No","",IFERROR(IF(N(BK147)&gt;=Configuration!$C$53,TRUE(),FALSE()),FALSE()))</f>
        <v>0</v>
      </c>
      <c r="CZ147" s="50" t="b">
        <f aca="false">IF(Configuration!$C$39="No","",IFERROR(IF(AND(N(BS147)&gt;=2,N(BF147)&gt;=2),TRUE(),FALSE()),FALSE()))</f>
        <v>0</v>
      </c>
      <c r="DA147" s="50" t="b">
        <f aca="false">IF(Configuration!$C$40="No","",IFERROR(IF(OR(N(BG147)&lt;=Configuration!$C$56,N(AY147)&lt;Configuration!$C$57,N(BH147)&lt;=Configuration!$C$58),TRUE(),FALSE()),FALSE()))</f>
        <v>1</v>
      </c>
      <c r="DB147" s="50" t="b">
        <f aca="false">IF(Configuration!$C$41="No","",IFERROR(IF(AND(N(AY147)&gt;=Configuration!$C$54,N(AY147)&lt;=Configuration!$C$55),TRUE(),FALSE()),FALSE()))</f>
        <v>0</v>
      </c>
      <c r="DC147" s="50" t="b">
        <f aca="false">IF(Configuration!$C$42="No","",IFERROR(IF(AND(AG147&lt;&gt;"",AJ147&lt;&gt;""),TRUE(),FALSE()),FALSE()))</f>
        <v>0</v>
      </c>
      <c r="DD147" s="51" t="n">
        <f aca="false">COUNTIF(BW147:DC147,TRUE())</f>
        <v>2</v>
      </c>
    </row>
    <row r="148" customFormat="false" ht="15" hidden="false" customHeight="true" outlineLevel="0" collapsed="false">
      <c r="A148" s="18" t="n">
        <v>109</v>
      </c>
      <c r="B148" s="44"/>
      <c r="C148" s="44"/>
      <c r="D148" s="44"/>
      <c r="E148" s="44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6" t="str">
        <f aca="false">IFERROR(IF(F148&lt;&gt;"",F148,""),"")</f>
        <v/>
      </c>
      <c r="AF148" s="46" t="str">
        <f aca="false">IFERROR(IF(G148&lt;&gt;"",G148,""),"")</f>
        <v/>
      </c>
      <c r="AG148" s="46" t="str">
        <f aca="false">IFERROR(IF(AA148&lt;&gt;"",AA148,IF(R148&lt;&gt;"",R148,"")),"")</f>
        <v/>
      </c>
      <c r="AH148" s="46" t="str">
        <f aca="false">IFERROR(IF(AB148&lt;&gt;"",AB148,IF(S148&lt;&gt;"",S148,"")),"")</f>
        <v/>
      </c>
      <c r="AI148" s="47"/>
      <c r="AJ148" s="47"/>
      <c r="AK148" s="47"/>
      <c r="AL148" s="47"/>
      <c r="AM148" s="47"/>
      <c r="AN148" s="47"/>
      <c r="AO148" s="47"/>
      <c r="AP148" s="47"/>
      <c r="AQ148" s="46" t="str">
        <f aca="false">IFERROR(IF(Y148&lt;&gt;"",VALUE(Y148),""),"")</f>
        <v/>
      </c>
      <c r="AR148" s="47"/>
      <c r="AS148" s="47"/>
      <c r="AT148" s="47"/>
      <c r="AU148" s="47"/>
      <c r="AV148" s="46" t="str">
        <f aca="false">IFERROR(IF(T148&lt;&gt;"",VALUE(T148),""),"")</f>
        <v/>
      </c>
      <c r="AW148" s="46" t="str">
        <f aca="false">IFERROR(IF(N148="","",IF(OR(ISNUMBER(SEARCH("grant",N148)),ISNUMBER(SEARCH("B",AC148))),"Granted",IF(OR(ISNUMBER(SEARCH("pend",N148)),ISNUMBER(SEARCH("A",AC148))),"Pending",IF(ISNUMBER(SEARCH("expir",N148)),"Expired",N148)))),"")</f>
        <v/>
      </c>
      <c r="AX148" s="47"/>
      <c r="AY148" s="46" t="str">
        <f aca="true">IFERROR(IF(M148&lt;&gt;"",ROUND(VALUE(M148),1),IF(L148&lt;&gt;"",ROUND(MAX(0,(DATEVALUE(TEXT(L148,"YYYY-MM-DD"))-TODAY())/365.25),1),"")),"")</f>
        <v/>
      </c>
      <c r="AZ148" s="46" t="str">
        <f aca="false">IFERROR(IF(O148&lt;&gt;"",O148,""),"")</f>
        <v/>
      </c>
      <c r="BA148" s="46" t="str">
        <f aca="false">IFERROR(IF(U148&lt;&gt;"",SUBSTITUTE(SUBSTITUTE(U148,"; ",", "),";",","),""),"")</f>
        <v/>
      </c>
      <c r="BB148" s="47"/>
      <c r="BC148" s="47"/>
      <c r="BD148" s="47"/>
      <c r="BE148" s="47"/>
      <c r="BF148" s="47"/>
      <c r="BG148" s="47"/>
      <c r="BH148" s="47"/>
      <c r="BI148" s="47"/>
      <c r="BJ148" s="47"/>
      <c r="BK148" s="46" t="str">
        <f aca="false">IFERROR(IF(W148&lt;&gt;"",VALUE(W148),""),"")</f>
        <v/>
      </c>
      <c r="BL148" s="46" t="str">
        <f aca="false">IFERROR(IF(X148&lt;&gt;"",VALUE(X148),""),"")</f>
        <v/>
      </c>
      <c r="BM148" s="46" t="str">
        <f aca="false">IFERROR(IF(AD148="","None",IF(ISNUMBER(SEARCH("surv",AD148)),"Survived",IF(ISNUMBER(SEARCH("pend",AD148)),"Pending",IF(ISNUMBER(SEARCH("yes",AD148)),"Pending","None")))),"None")</f>
        <v>None</v>
      </c>
      <c r="BN148" s="47"/>
      <c r="BO148" s="47"/>
      <c r="BP148" s="47"/>
      <c r="BQ148" s="47"/>
      <c r="BR148" s="47"/>
      <c r="BS148" s="47"/>
      <c r="BT148" s="47"/>
      <c r="BU148" s="48" t="n">
        <f aca="false">IFERROR(COUNTA(AE148:BT148)/42,0)</f>
        <v>0.30952380952381</v>
      </c>
      <c r="BV148" s="49"/>
      <c r="BW148" s="50" t="b">
        <f aca="false">IF(Configuration!$C$10="No","",IFERROR(IF(AG148&lt;&gt;"",TRUE(),FALSE()),FALSE()))</f>
        <v>0</v>
      </c>
      <c r="BX148" s="50" t="b">
        <f aca="false">IF(Configuration!$C$11="No","",IFERROR(IF(AND(N(AL148)&gt;=Configuration!$C$44,AM148&lt;&gt;""),TRUE(),FALSE()),FALSE()))</f>
        <v>0</v>
      </c>
      <c r="BY148" s="50" t="b">
        <f aca="false">IF(Configuration!$C$12="No","",IFERROR(IF(AJ148&lt;&gt;"",TRUE(),FALSE()),FALSE()))</f>
        <v>0</v>
      </c>
      <c r="BZ148" s="50" t="b">
        <f aca="false">IF(Configuration!$C$13="No","",IFERROR(IF(AI148&lt;&gt;"",TRUE(),FALSE()),FALSE()))</f>
        <v>0</v>
      </c>
      <c r="CA148" s="50" t="b">
        <f aca="false">IF(Configuration!$C$14="No","",IFERROR(IF(AK148&lt;&gt;"",TRUE(),FALSE()),FALSE()))</f>
        <v>0</v>
      </c>
      <c r="CB148" s="50" t="b">
        <f aca="false">IF(Configuration!$C$15="No","",IFERROR(IF(AND(OR(ISNUMBER(SEARCH("process",AG148)),ISNUMBER(SEARCH("fab",AG148)),ISNUMBER(SEARCH("manufac",AG148))),AO148="Method"),TRUE(),FALSE()),FALSE()))</f>
        <v>0</v>
      </c>
      <c r="CC148" s="50" t="b">
        <f aca="false">IF(Configuration!$C$16="No","",IFERROR(IF(AND(OR(ISNUMBER(SEARCH("material",AG148)),ISNUMBER(SEARCH("chem",AG148)),ISNUMBER(SEARCH("battery",AG148)),ISNUMBER(SEARCH("electrolyte",AG148)),ISNUMBER(SEARCH("polymer",AG148))),OR(AO148="Apparatus",AO148="Method")),TRUE(),FALSE()),FALSE()))</f>
        <v>0</v>
      </c>
      <c r="CD148" s="50" t="b">
        <f aca="false">IF(Configuration!$C$17="No","",IFERROR(IF(AND(OR(AI148="App",AI148="Middleware",AI148="Cloud"),OR(AO148="Method",AO148="CRM")),TRUE(),FALSE()),FALSE()))</f>
        <v>0</v>
      </c>
      <c r="CE148" s="50" t="b">
        <f aca="false">IF(Configuration!$C$18="No","",IFERROR(IF(N(AN148)&gt;=Configuration!$C$45,TRUE(),FALSE()),FALSE()))</f>
        <v>0</v>
      </c>
      <c r="CF148" s="50" t="b">
        <f aca="false">IF(Configuration!$C$19="No","",IFERROR(IF(BE148&lt;&gt;"",TRUE(),FALSE()),FALSE()))</f>
        <v>0</v>
      </c>
      <c r="CG148" s="50" t="b">
        <f aca="false">IF(Configuration!$C$20="No","",IFERROR(IF(AO148&lt;&gt;"",TRUE(),FALSE()),FALSE()))</f>
        <v>0</v>
      </c>
      <c r="CH148" s="50" t="b">
        <f aca="false">IF(Configuration!$C$21="No","",IFERROR(IF(OR(N(AS148)&gt;=Configuration!$C$46,N(AT148)&gt;=Configuration!$C$47),TRUE(),FALSE()),FALSE()))</f>
        <v>0</v>
      </c>
      <c r="CI148" s="50" t="b">
        <f aca="false">IF(Configuration!$C$22="No","",IFERROR(IF(BB148="Yes",TRUE(),FALSE()),FALSE()))</f>
        <v>0</v>
      </c>
      <c r="CJ148" s="50" t="b">
        <f aca="false">IF(Configuration!$C$23="No","",IFERROR(IF(N(AV148)&gt;=Configuration!$C$48,TRUE(),FALSE()),FALSE()))</f>
        <v>0</v>
      </c>
      <c r="CK148" s="50" t="b">
        <f aca="false">IF(Configuration!$C$24="No","",IFERROR(IF(N(AY148)&gt;0,TRUE(),FALSE()),FALSE()))</f>
        <v>0</v>
      </c>
      <c r="CL148" s="50" t="b">
        <f aca="false">IF(Configuration!$C$25="No","",IFERROR(IF(OR(N(AP148)=3,N(AP148)&lt;=1),TRUE(),FALSE()),FALSE()))</f>
        <v>1</v>
      </c>
      <c r="CM148" s="50" t="b">
        <f aca="false">IF(Configuration!$C$26="No","",IFERROR(IF(N(BF148)&gt;=Configuration!$C$49,TRUE(),FALSE()),FALSE()))</f>
        <v>0</v>
      </c>
      <c r="CN148" s="50" t="b">
        <f aca="false">IF(Configuration!$C$27="No","",IFERROR(IF(BD148&lt;&gt;"",TRUE(),FALSE()),FALSE()))</f>
        <v>0</v>
      </c>
      <c r="CO148" s="50" t="b">
        <f aca="false">IF(Configuration!$C$28="No","",IFERROR(IF(N(AU148)&gt;=Configuration!$C$50,TRUE(),FALSE()),FALSE()))</f>
        <v>0</v>
      </c>
      <c r="CP148" s="50" t="b">
        <f aca="false">IF(Configuration!$C$29="No","",IFERROR(IF(AND(N(AR148)&gt;=Configuration!$C$51,AG148&lt;&gt;""),TRUE(),FALSE()),FALSE()))</f>
        <v>0</v>
      </c>
      <c r="CQ148" s="50" t="b">
        <f aca="false">IF(Configuration!$C$30="No","",IFERROR(IF(OR(AW148="Pending",AX148="Yes"),TRUE(),FALSE()),FALSE()))</f>
        <v>0</v>
      </c>
      <c r="CR148" s="50" t="b">
        <f aca="false">IF(Configuration!$C$31="No","",IFERROR(IF(AND(N(BG148)&gt;=Configuration!$C$52,N(AP148)&gt;=1),TRUE(),FALSE()),FALSE()))</f>
        <v>0</v>
      </c>
      <c r="CS148" s="50" t="b">
        <f aca="false">IF(Configuration!$C$32="No","",IFERROR(IF(AND(N(AR148)&gt;=1,OR(AG148&lt;&gt;"",AM148&lt;&gt;"")),TRUE(),FALSE()),FALSE()))</f>
        <v>0</v>
      </c>
      <c r="CT148" s="50" t="b">
        <f aca="false">IF(Configuration!$C$33="No","",IFERROR(IF(AG148&lt;&gt;"",TRUE(),FALSE()),FALSE()))</f>
        <v>0</v>
      </c>
      <c r="CU148" s="50" t="b">
        <f aca="false">IF(Configuration!$C$34="No","",IFERROR(IF(AX148="Yes",TRUE(),FALSE()),FALSE()))</f>
        <v>0</v>
      </c>
      <c r="CV148" s="50" t="b">
        <f aca="false">IF(Configuration!$C$35="No","",IFERROR(IF(OR(BO148="Partial",BO148="Full"),TRUE(),FALSE()),FALSE()))</f>
        <v>0</v>
      </c>
      <c r="CW148" s="50" t="b">
        <f aca="false">IF(Configuration!$C$36="No","",IFERROR(IF(BM148="Survived",TRUE(),FALSE()),FALSE()))</f>
        <v>0</v>
      </c>
      <c r="CX148" s="50" t="b">
        <f aca="false">IF(Configuration!$C$37="No","",IFERROR(IF(AND(BN148="Clean",BP148="None"),TRUE(),FALSE()),FALSE()))</f>
        <v>0</v>
      </c>
      <c r="CY148" s="50" t="b">
        <f aca="false">IF(Configuration!$C$38="No","",IFERROR(IF(N(BK148)&gt;=Configuration!$C$53,TRUE(),FALSE()),FALSE()))</f>
        <v>0</v>
      </c>
      <c r="CZ148" s="50" t="b">
        <f aca="false">IF(Configuration!$C$39="No","",IFERROR(IF(AND(N(BS148)&gt;=2,N(BF148)&gt;=2),TRUE(),FALSE()),FALSE()))</f>
        <v>0</v>
      </c>
      <c r="DA148" s="50" t="b">
        <f aca="false">IF(Configuration!$C$40="No","",IFERROR(IF(OR(N(BG148)&lt;=Configuration!$C$56,N(AY148)&lt;Configuration!$C$57,N(BH148)&lt;=Configuration!$C$58),TRUE(),FALSE()),FALSE()))</f>
        <v>1</v>
      </c>
      <c r="DB148" s="50" t="b">
        <f aca="false">IF(Configuration!$C$41="No","",IFERROR(IF(AND(N(AY148)&gt;=Configuration!$C$54,N(AY148)&lt;=Configuration!$C$55),TRUE(),FALSE()),FALSE()))</f>
        <v>0</v>
      </c>
      <c r="DC148" s="50" t="b">
        <f aca="false">IF(Configuration!$C$42="No","",IFERROR(IF(AND(AG148&lt;&gt;"",AJ148&lt;&gt;""),TRUE(),FALSE()),FALSE()))</f>
        <v>0</v>
      </c>
      <c r="DD148" s="51" t="n">
        <f aca="false">COUNTIF(BW148:DC148,TRUE())</f>
        <v>2</v>
      </c>
    </row>
    <row r="149" customFormat="false" ht="15" hidden="false" customHeight="true" outlineLevel="0" collapsed="false">
      <c r="A149" s="18" t="n">
        <v>110</v>
      </c>
      <c r="B149" s="44"/>
      <c r="C149" s="44"/>
      <c r="D149" s="44"/>
      <c r="E149" s="44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6" t="str">
        <f aca="false">IFERROR(IF(F149&lt;&gt;"",F149,""),"")</f>
        <v/>
      </c>
      <c r="AF149" s="46" t="str">
        <f aca="false">IFERROR(IF(G149&lt;&gt;"",G149,""),"")</f>
        <v/>
      </c>
      <c r="AG149" s="46" t="str">
        <f aca="false">IFERROR(IF(AA149&lt;&gt;"",AA149,IF(R149&lt;&gt;"",R149,"")),"")</f>
        <v/>
      </c>
      <c r="AH149" s="46" t="str">
        <f aca="false">IFERROR(IF(AB149&lt;&gt;"",AB149,IF(S149&lt;&gt;"",S149,"")),"")</f>
        <v/>
      </c>
      <c r="AI149" s="47"/>
      <c r="AJ149" s="47"/>
      <c r="AK149" s="47"/>
      <c r="AL149" s="47"/>
      <c r="AM149" s="47"/>
      <c r="AN149" s="47"/>
      <c r="AO149" s="47"/>
      <c r="AP149" s="47"/>
      <c r="AQ149" s="46" t="str">
        <f aca="false">IFERROR(IF(Y149&lt;&gt;"",VALUE(Y149),""),"")</f>
        <v/>
      </c>
      <c r="AR149" s="47"/>
      <c r="AS149" s="47"/>
      <c r="AT149" s="47"/>
      <c r="AU149" s="47"/>
      <c r="AV149" s="46" t="str">
        <f aca="false">IFERROR(IF(T149&lt;&gt;"",VALUE(T149),""),"")</f>
        <v/>
      </c>
      <c r="AW149" s="46" t="str">
        <f aca="false">IFERROR(IF(N149="","",IF(OR(ISNUMBER(SEARCH("grant",N149)),ISNUMBER(SEARCH("B",AC149))),"Granted",IF(OR(ISNUMBER(SEARCH("pend",N149)),ISNUMBER(SEARCH("A",AC149))),"Pending",IF(ISNUMBER(SEARCH("expir",N149)),"Expired",N149)))),"")</f>
        <v/>
      </c>
      <c r="AX149" s="47"/>
      <c r="AY149" s="46" t="str">
        <f aca="true">IFERROR(IF(M149&lt;&gt;"",ROUND(VALUE(M149),1),IF(L149&lt;&gt;"",ROUND(MAX(0,(DATEVALUE(TEXT(L149,"YYYY-MM-DD"))-TODAY())/365.25),1),"")),"")</f>
        <v/>
      </c>
      <c r="AZ149" s="46" t="str">
        <f aca="false">IFERROR(IF(O149&lt;&gt;"",O149,""),"")</f>
        <v/>
      </c>
      <c r="BA149" s="46" t="str">
        <f aca="false">IFERROR(IF(U149&lt;&gt;"",SUBSTITUTE(SUBSTITUTE(U149,"; ",", "),";",","),""),"")</f>
        <v/>
      </c>
      <c r="BB149" s="47"/>
      <c r="BC149" s="47"/>
      <c r="BD149" s="47"/>
      <c r="BE149" s="47"/>
      <c r="BF149" s="47"/>
      <c r="BG149" s="47"/>
      <c r="BH149" s="47"/>
      <c r="BI149" s="47"/>
      <c r="BJ149" s="47"/>
      <c r="BK149" s="46" t="str">
        <f aca="false">IFERROR(IF(W149&lt;&gt;"",VALUE(W149),""),"")</f>
        <v/>
      </c>
      <c r="BL149" s="46" t="str">
        <f aca="false">IFERROR(IF(X149&lt;&gt;"",VALUE(X149),""),"")</f>
        <v/>
      </c>
      <c r="BM149" s="46" t="str">
        <f aca="false">IFERROR(IF(AD149="","None",IF(ISNUMBER(SEARCH("surv",AD149)),"Survived",IF(ISNUMBER(SEARCH("pend",AD149)),"Pending",IF(ISNUMBER(SEARCH("yes",AD149)),"Pending","None")))),"None")</f>
        <v>None</v>
      </c>
      <c r="BN149" s="47"/>
      <c r="BO149" s="47"/>
      <c r="BP149" s="47"/>
      <c r="BQ149" s="47"/>
      <c r="BR149" s="47"/>
      <c r="BS149" s="47"/>
      <c r="BT149" s="47"/>
      <c r="BU149" s="48" t="n">
        <f aca="false">IFERROR(COUNTA(AE149:BT149)/42,0)</f>
        <v>0.30952380952381</v>
      </c>
      <c r="BV149" s="49"/>
      <c r="BW149" s="50" t="b">
        <f aca="false">IF(Configuration!$C$10="No","",IFERROR(IF(AG149&lt;&gt;"",TRUE(),FALSE()),FALSE()))</f>
        <v>0</v>
      </c>
      <c r="BX149" s="50" t="b">
        <f aca="false">IF(Configuration!$C$11="No","",IFERROR(IF(AND(N(AL149)&gt;=Configuration!$C$44,AM149&lt;&gt;""),TRUE(),FALSE()),FALSE()))</f>
        <v>0</v>
      </c>
      <c r="BY149" s="50" t="b">
        <f aca="false">IF(Configuration!$C$12="No","",IFERROR(IF(AJ149&lt;&gt;"",TRUE(),FALSE()),FALSE()))</f>
        <v>0</v>
      </c>
      <c r="BZ149" s="50" t="b">
        <f aca="false">IF(Configuration!$C$13="No","",IFERROR(IF(AI149&lt;&gt;"",TRUE(),FALSE()),FALSE()))</f>
        <v>0</v>
      </c>
      <c r="CA149" s="50" t="b">
        <f aca="false">IF(Configuration!$C$14="No","",IFERROR(IF(AK149&lt;&gt;"",TRUE(),FALSE()),FALSE()))</f>
        <v>0</v>
      </c>
      <c r="CB149" s="50" t="b">
        <f aca="false">IF(Configuration!$C$15="No","",IFERROR(IF(AND(OR(ISNUMBER(SEARCH("process",AG149)),ISNUMBER(SEARCH("fab",AG149)),ISNUMBER(SEARCH("manufac",AG149))),AO149="Method"),TRUE(),FALSE()),FALSE()))</f>
        <v>0</v>
      </c>
      <c r="CC149" s="50" t="b">
        <f aca="false">IF(Configuration!$C$16="No","",IFERROR(IF(AND(OR(ISNUMBER(SEARCH("material",AG149)),ISNUMBER(SEARCH("chem",AG149)),ISNUMBER(SEARCH("battery",AG149)),ISNUMBER(SEARCH("electrolyte",AG149)),ISNUMBER(SEARCH("polymer",AG149))),OR(AO149="Apparatus",AO149="Method")),TRUE(),FALSE()),FALSE()))</f>
        <v>0</v>
      </c>
      <c r="CD149" s="50" t="b">
        <f aca="false">IF(Configuration!$C$17="No","",IFERROR(IF(AND(OR(AI149="App",AI149="Middleware",AI149="Cloud"),OR(AO149="Method",AO149="CRM")),TRUE(),FALSE()),FALSE()))</f>
        <v>0</v>
      </c>
      <c r="CE149" s="50" t="b">
        <f aca="false">IF(Configuration!$C$18="No","",IFERROR(IF(N(AN149)&gt;=Configuration!$C$45,TRUE(),FALSE()),FALSE()))</f>
        <v>0</v>
      </c>
      <c r="CF149" s="50" t="b">
        <f aca="false">IF(Configuration!$C$19="No","",IFERROR(IF(BE149&lt;&gt;"",TRUE(),FALSE()),FALSE()))</f>
        <v>0</v>
      </c>
      <c r="CG149" s="50" t="b">
        <f aca="false">IF(Configuration!$C$20="No","",IFERROR(IF(AO149&lt;&gt;"",TRUE(),FALSE()),FALSE()))</f>
        <v>0</v>
      </c>
      <c r="CH149" s="50" t="b">
        <f aca="false">IF(Configuration!$C$21="No","",IFERROR(IF(OR(N(AS149)&gt;=Configuration!$C$46,N(AT149)&gt;=Configuration!$C$47),TRUE(),FALSE()),FALSE()))</f>
        <v>0</v>
      </c>
      <c r="CI149" s="50" t="b">
        <f aca="false">IF(Configuration!$C$22="No","",IFERROR(IF(BB149="Yes",TRUE(),FALSE()),FALSE()))</f>
        <v>0</v>
      </c>
      <c r="CJ149" s="50" t="b">
        <f aca="false">IF(Configuration!$C$23="No","",IFERROR(IF(N(AV149)&gt;=Configuration!$C$48,TRUE(),FALSE()),FALSE()))</f>
        <v>0</v>
      </c>
      <c r="CK149" s="50" t="b">
        <f aca="false">IF(Configuration!$C$24="No","",IFERROR(IF(N(AY149)&gt;0,TRUE(),FALSE()),FALSE()))</f>
        <v>0</v>
      </c>
      <c r="CL149" s="50" t="b">
        <f aca="false">IF(Configuration!$C$25="No","",IFERROR(IF(OR(N(AP149)=3,N(AP149)&lt;=1),TRUE(),FALSE()),FALSE()))</f>
        <v>1</v>
      </c>
      <c r="CM149" s="50" t="b">
        <f aca="false">IF(Configuration!$C$26="No","",IFERROR(IF(N(BF149)&gt;=Configuration!$C$49,TRUE(),FALSE()),FALSE()))</f>
        <v>0</v>
      </c>
      <c r="CN149" s="50" t="b">
        <f aca="false">IF(Configuration!$C$27="No","",IFERROR(IF(BD149&lt;&gt;"",TRUE(),FALSE()),FALSE()))</f>
        <v>0</v>
      </c>
      <c r="CO149" s="50" t="b">
        <f aca="false">IF(Configuration!$C$28="No","",IFERROR(IF(N(AU149)&gt;=Configuration!$C$50,TRUE(),FALSE()),FALSE()))</f>
        <v>0</v>
      </c>
      <c r="CP149" s="50" t="b">
        <f aca="false">IF(Configuration!$C$29="No","",IFERROR(IF(AND(N(AR149)&gt;=Configuration!$C$51,AG149&lt;&gt;""),TRUE(),FALSE()),FALSE()))</f>
        <v>0</v>
      </c>
      <c r="CQ149" s="50" t="b">
        <f aca="false">IF(Configuration!$C$30="No","",IFERROR(IF(OR(AW149="Pending",AX149="Yes"),TRUE(),FALSE()),FALSE()))</f>
        <v>0</v>
      </c>
      <c r="CR149" s="50" t="b">
        <f aca="false">IF(Configuration!$C$31="No","",IFERROR(IF(AND(N(BG149)&gt;=Configuration!$C$52,N(AP149)&gt;=1),TRUE(),FALSE()),FALSE()))</f>
        <v>0</v>
      </c>
      <c r="CS149" s="50" t="b">
        <f aca="false">IF(Configuration!$C$32="No","",IFERROR(IF(AND(N(AR149)&gt;=1,OR(AG149&lt;&gt;"",AM149&lt;&gt;"")),TRUE(),FALSE()),FALSE()))</f>
        <v>0</v>
      </c>
      <c r="CT149" s="50" t="b">
        <f aca="false">IF(Configuration!$C$33="No","",IFERROR(IF(AG149&lt;&gt;"",TRUE(),FALSE()),FALSE()))</f>
        <v>0</v>
      </c>
      <c r="CU149" s="50" t="b">
        <f aca="false">IF(Configuration!$C$34="No","",IFERROR(IF(AX149="Yes",TRUE(),FALSE()),FALSE()))</f>
        <v>0</v>
      </c>
      <c r="CV149" s="50" t="b">
        <f aca="false">IF(Configuration!$C$35="No","",IFERROR(IF(OR(BO149="Partial",BO149="Full"),TRUE(),FALSE()),FALSE()))</f>
        <v>0</v>
      </c>
      <c r="CW149" s="50" t="b">
        <f aca="false">IF(Configuration!$C$36="No","",IFERROR(IF(BM149="Survived",TRUE(),FALSE()),FALSE()))</f>
        <v>0</v>
      </c>
      <c r="CX149" s="50" t="b">
        <f aca="false">IF(Configuration!$C$37="No","",IFERROR(IF(AND(BN149="Clean",BP149="None"),TRUE(),FALSE()),FALSE()))</f>
        <v>0</v>
      </c>
      <c r="CY149" s="50" t="b">
        <f aca="false">IF(Configuration!$C$38="No","",IFERROR(IF(N(BK149)&gt;=Configuration!$C$53,TRUE(),FALSE()),FALSE()))</f>
        <v>0</v>
      </c>
      <c r="CZ149" s="50" t="b">
        <f aca="false">IF(Configuration!$C$39="No","",IFERROR(IF(AND(N(BS149)&gt;=2,N(BF149)&gt;=2),TRUE(),FALSE()),FALSE()))</f>
        <v>0</v>
      </c>
      <c r="DA149" s="50" t="b">
        <f aca="false">IF(Configuration!$C$40="No","",IFERROR(IF(OR(N(BG149)&lt;=Configuration!$C$56,N(AY149)&lt;Configuration!$C$57,N(BH149)&lt;=Configuration!$C$58),TRUE(),FALSE()),FALSE()))</f>
        <v>1</v>
      </c>
      <c r="DB149" s="50" t="b">
        <f aca="false">IF(Configuration!$C$41="No","",IFERROR(IF(AND(N(AY149)&gt;=Configuration!$C$54,N(AY149)&lt;=Configuration!$C$55),TRUE(),FALSE()),FALSE()))</f>
        <v>0</v>
      </c>
      <c r="DC149" s="50" t="b">
        <f aca="false">IF(Configuration!$C$42="No","",IFERROR(IF(AND(AG149&lt;&gt;"",AJ149&lt;&gt;""),TRUE(),FALSE()),FALSE()))</f>
        <v>0</v>
      </c>
      <c r="DD149" s="51" t="n">
        <f aca="false">COUNTIF(BW149:DC149,TRUE())</f>
        <v>2</v>
      </c>
    </row>
    <row r="150" customFormat="false" ht="15" hidden="false" customHeight="true" outlineLevel="0" collapsed="false">
      <c r="A150" s="18" t="n">
        <v>111</v>
      </c>
      <c r="B150" s="44"/>
      <c r="C150" s="44"/>
      <c r="D150" s="44"/>
      <c r="E150" s="44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6" t="str">
        <f aca="false">IFERROR(IF(F150&lt;&gt;"",F150,""),"")</f>
        <v/>
      </c>
      <c r="AF150" s="46" t="str">
        <f aca="false">IFERROR(IF(G150&lt;&gt;"",G150,""),"")</f>
        <v/>
      </c>
      <c r="AG150" s="46" t="str">
        <f aca="false">IFERROR(IF(AA150&lt;&gt;"",AA150,IF(R150&lt;&gt;"",R150,"")),"")</f>
        <v/>
      </c>
      <c r="AH150" s="46" t="str">
        <f aca="false">IFERROR(IF(AB150&lt;&gt;"",AB150,IF(S150&lt;&gt;"",S150,"")),"")</f>
        <v/>
      </c>
      <c r="AI150" s="47"/>
      <c r="AJ150" s="47"/>
      <c r="AK150" s="47"/>
      <c r="AL150" s="47"/>
      <c r="AM150" s="47"/>
      <c r="AN150" s="47"/>
      <c r="AO150" s="47"/>
      <c r="AP150" s="47"/>
      <c r="AQ150" s="46" t="str">
        <f aca="false">IFERROR(IF(Y150&lt;&gt;"",VALUE(Y150),""),"")</f>
        <v/>
      </c>
      <c r="AR150" s="47"/>
      <c r="AS150" s="47"/>
      <c r="AT150" s="47"/>
      <c r="AU150" s="47"/>
      <c r="AV150" s="46" t="str">
        <f aca="false">IFERROR(IF(T150&lt;&gt;"",VALUE(T150),""),"")</f>
        <v/>
      </c>
      <c r="AW150" s="46" t="str">
        <f aca="false">IFERROR(IF(N150="","",IF(OR(ISNUMBER(SEARCH("grant",N150)),ISNUMBER(SEARCH("B",AC150))),"Granted",IF(OR(ISNUMBER(SEARCH("pend",N150)),ISNUMBER(SEARCH("A",AC150))),"Pending",IF(ISNUMBER(SEARCH("expir",N150)),"Expired",N150)))),"")</f>
        <v/>
      </c>
      <c r="AX150" s="47"/>
      <c r="AY150" s="46" t="str">
        <f aca="true">IFERROR(IF(M150&lt;&gt;"",ROUND(VALUE(M150),1),IF(L150&lt;&gt;"",ROUND(MAX(0,(DATEVALUE(TEXT(L150,"YYYY-MM-DD"))-TODAY())/365.25),1),"")),"")</f>
        <v/>
      </c>
      <c r="AZ150" s="46" t="str">
        <f aca="false">IFERROR(IF(O150&lt;&gt;"",O150,""),"")</f>
        <v/>
      </c>
      <c r="BA150" s="46" t="str">
        <f aca="false">IFERROR(IF(U150&lt;&gt;"",SUBSTITUTE(SUBSTITUTE(U150,"; ",", "),";",","),""),"")</f>
        <v/>
      </c>
      <c r="BB150" s="47"/>
      <c r="BC150" s="47"/>
      <c r="BD150" s="47"/>
      <c r="BE150" s="47"/>
      <c r="BF150" s="47"/>
      <c r="BG150" s="47"/>
      <c r="BH150" s="47"/>
      <c r="BI150" s="47"/>
      <c r="BJ150" s="47"/>
      <c r="BK150" s="46" t="str">
        <f aca="false">IFERROR(IF(W150&lt;&gt;"",VALUE(W150),""),"")</f>
        <v/>
      </c>
      <c r="BL150" s="46" t="str">
        <f aca="false">IFERROR(IF(X150&lt;&gt;"",VALUE(X150),""),"")</f>
        <v/>
      </c>
      <c r="BM150" s="46" t="str">
        <f aca="false">IFERROR(IF(AD150="","None",IF(ISNUMBER(SEARCH("surv",AD150)),"Survived",IF(ISNUMBER(SEARCH("pend",AD150)),"Pending",IF(ISNUMBER(SEARCH("yes",AD150)),"Pending","None")))),"None")</f>
        <v>None</v>
      </c>
      <c r="BN150" s="47"/>
      <c r="BO150" s="47"/>
      <c r="BP150" s="47"/>
      <c r="BQ150" s="47"/>
      <c r="BR150" s="47"/>
      <c r="BS150" s="47"/>
      <c r="BT150" s="47"/>
      <c r="BU150" s="48" t="n">
        <f aca="false">IFERROR(COUNTA(AE150:BT150)/42,0)</f>
        <v>0.30952380952381</v>
      </c>
      <c r="BV150" s="49"/>
      <c r="BW150" s="50" t="b">
        <f aca="false">IF(Configuration!$C$10="No","",IFERROR(IF(AG150&lt;&gt;"",TRUE(),FALSE()),FALSE()))</f>
        <v>0</v>
      </c>
      <c r="BX150" s="50" t="b">
        <f aca="false">IF(Configuration!$C$11="No","",IFERROR(IF(AND(N(AL150)&gt;=Configuration!$C$44,AM150&lt;&gt;""),TRUE(),FALSE()),FALSE()))</f>
        <v>0</v>
      </c>
      <c r="BY150" s="50" t="b">
        <f aca="false">IF(Configuration!$C$12="No","",IFERROR(IF(AJ150&lt;&gt;"",TRUE(),FALSE()),FALSE()))</f>
        <v>0</v>
      </c>
      <c r="BZ150" s="50" t="b">
        <f aca="false">IF(Configuration!$C$13="No","",IFERROR(IF(AI150&lt;&gt;"",TRUE(),FALSE()),FALSE()))</f>
        <v>0</v>
      </c>
      <c r="CA150" s="50" t="b">
        <f aca="false">IF(Configuration!$C$14="No","",IFERROR(IF(AK150&lt;&gt;"",TRUE(),FALSE()),FALSE()))</f>
        <v>0</v>
      </c>
      <c r="CB150" s="50" t="b">
        <f aca="false">IF(Configuration!$C$15="No","",IFERROR(IF(AND(OR(ISNUMBER(SEARCH("process",AG150)),ISNUMBER(SEARCH("fab",AG150)),ISNUMBER(SEARCH("manufac",AG150))),AO150="Method"),TRUE(),FALSE()),FALSE()))</f>
        <v>0</v>
      </c>
      <c r="CC150" s="50" t="b">
        <f aca="false">IF(Configuration!$C$16="No","",IFERROR(IF(AND(OR(ISNUMBER(SEARCH("material",AG150)),ISNUMBER(SEARCH("chem",AG150)),ISNUMBER(SEARCH("battery",AG150)),ISNUMBER(SEARCH("electrolyte",AG150)),ISNUMBER(SEARCH("polymer",AG150))),OR(AO150="Apparatus",AO150="Method")),TRUE(),FALSE()),FALSE()))</f>
        <v>0</v>
      </c>
      <c r="CD150" s="50" t="b">
        <f aca="false">IF(Configuration!$C$17="No","",IFERROR(IF(AND(OR(AI150="App",AI150="Middleware",AI150="Cloud"),OR(AO150="Method",AO150="CRM")),TRUE(),FALSE()),FALSE()))</f>
        <v>0</v>
      </c>
      <c r="CE150" s="50" t="b">
        <f aca="false">IF(Configuration!$C$18="No","",IFERROR(IF(N(AN150)&gt;=Configuration!$C$45,TRUE(),FALSE()),FALSE()))</f>
        <v>0</v>
      </c>
      <c r="CF150" s="50" t="b">
        <f aca="false">IF(Configuration!$C$19="No","",IFERROR(IF(BE150&lt;&gt;"",TRUE(),FALSE()),FALSE()))</f>
        <v>0</v>
      </c>
      <c r="CG150" s="50" t="b">
        <f aca="false">IF(Configuration!$C$20="No","",IFERROR(IF(AO150&lt;&gt;"",TRUE(),FALSE()),FALSE()))</f>
        <v>0</v>
      </c>
      <c r="CH150" s="50" t="b">
        <f aca="false">IF(Configuration!$C$21="No","",IFERROR(IF(OR(N(AS150)&gt;=Configuration!$C$46,N(AT150)&gt;=Configuration!$C$47),TRUE(),FALSE()),FALSE()))</f>
        <v>0</v>
      </c>
      <c r="CI150" s="50" t="b">
        <f aca="false">IF(Configuration!$C$22="No","",IFERROR(IF(BB150="Yes",TRUE(),FALSE()),FALSE()))</f>
        <v>0</v>
      </c>
      <c r="CJ150" s="50" t="b">
        <f aca="false">IF(Configuration!$C$23="No","",IFERROR(IF(N(AV150)&gt;=Configuration!$C$48,TRUE(),FALSE()),FALSE()))</f>
        <v>0</v>
      </c>
      <c r="CK150" s="50" t="b">
        <f aca="false">IF(Configuration!$C$24="No","",IFERROR(IF(N(AY150)&gt;0,TRUE(),FALSE()),FALSE()))</f>
        <v>0</v>
      </c>
      <c r="CL150" s="50" t="b">
        <f aca="false">IF(Configuration!$C$25="No","",IFERROR(IF(OR(N(AP150)=3,N(AP150)&lt;=1),TRUE(),FALSE()),FALSE()))</f>
        <v>1</v>
      </c>
      <c r="CM150" s="50" t="b">
        <f aca="false">IF(Configuration!$C$26="No","",IFERROR(IF(N(BF150)&gt;=Configuration!$C$49,TRUE(),FALSE()),FALSE()))</f>
        <v>0</v>
      </c>
      <c r="CN150" s="50" t="b">
        <f aca="false">IF(Configuration!$C$27="No","",IFERROR(IF(BD150&lt;&gt;"",TRUE(),FALSE()),FALSE()))</f>
        <v>0</v>
      </c>
      <c r="CO150" s="50" t="b">
        <f aca="false">IF(Configuration!$C$28="No","",IFERROR(IF(N(AU150)&gt;=Configuration!$C$50,TRUE(),FALSE()),FALSE()))</f>
        <v>0</v>
      </c>
      <c r="CP150" s="50" t="b">
        <f aca="false">IF(Configuration!$C$29="No","",IFERROR(IF(AND(N(AR150)&gt;=Configuration!$C$51,AG150&lt;&gt;""),TRUE(),FALSE()),FALSE()))</f>
        <v>0</v>
      </c>
      <c r="CQ150" s="50" t="b">
        <f aca="false">IF(Configuration!$C$30="No","",IFERROR(IF(OR(AW150="Pending",AX150="Yes"),TRUE(),FALSE()),FALSE()))</f>
        <v>0</v>
      </c>
      <c r="CR150" s="50" t="b">
        <f aca="false">IF(Configuration!$C$31="No","",IFERROR(IF(AND(N(BG150)&gt;=Configuration!$C$52,N(AP150)&gt;=1),TRUE(),FALSE()),FALSE()))</f>
        <v>0</v>
      </c>
      <c r="CS150" s="50" t="b">
        <f aca="false">IF(Configuration!$C$32="No","",IFERROR(IF(AND(N(AR150)&gt;=1,OR(AG150&lt;&gt;"",AM150&lt;&gt;"")),TRUE(),FALSE()),FALSE()))</f>
        <v>0</v>
      </c>
      <c r="CT150" s="50" t="b">
        <f aca="false">IF(Configuration!$C$33="No","",IFERROR(IF(AG150&lt;&gt;"",TRUE(),FALSE()),FALSE()))</f>
        <v>0</v>
      </c>
      <c r="CU150" s="50" t="b">
        <f aca="false">IF(Configuration!$C$34="No","",IFERROR(IF(AX150="Yes",TRUE(),FALSE()),FALSE()))</f>
        <v>0</v>
      </c>
      <c r="CV150" s="50" t="b">
        <f aca="false">IF(Configuration!$C$35="No","",IFERROR(IF(OR(BO150="Partial",BO150="Full"),TRUE(),FALSE()),FALSE()))</f>
        <v>0</v>
      </c>
      <c r="CW150" s="50" t="b">
        <f aca="false">IF(Configuration!$C$36="No","",IFERROR(IF(BM150="Survived",TRUE(),FALSE()),FALSE()))</f>
        <v>0</v>
      </c>
      <c r="CX150" s="50" t="b">
        <f aca="false">IF(Configuration!$C$37="No","",IFERROR(IF(AND(BN150="Clean",BP150="None"),TRUE(),FALSE()),FALSE()))</f>
        <v>0</v>
      </c>
      <c r="CY150" s="50" t="b">
        <f aca="false">IF(Configuration!$C$38="No","",IFERROR(IF(N(BK150)&gt;=Configuration!$C$53,TRUE(),FALSE()),FALSE()))</f>
        <v>0</v>
      </c>
      <c r="CZ150" s="50" t="b">
        <f aca="false">IF(Configuration!$C$39="No","",IFERROR(IF(AND(N(BS150)&gt;=2,N(BF150)&gt;=2),TRUE(),FALSE()),FALSE()))</f>
        <v>0</v>
      </c>
      <c r="DA150" s="50" t="b">
        <f aca="false">IF(Configuration!$C$40="No","",IFERROR(IF(OR(N(BG150)&lt;=Configuration!$C$56,N(AY150)&lt;Configuration!$C$57,N(BH150)&lt;=Configuration!$C$58),TRUE(),FALSE()),FALSE()))</f>
        <v>1</v>
      </c>
      <c r="DB150" s="50" t="b">
        <f aca="false">IF(Configuration!$C$41="No","",IFERROR(IF(AND(N(AY150)&gt;=Configuration!$C$54,N(AY150)&lt;=Configuration!$C$55),TRUE(),FALSE()),FALSE()))</f>
        <v>0</v>
      </c>
      <c r="DC150" s="50" t="b">
        <f aca="false">IF(Configuration!$C$42="No","",IFERROR(IF(AND(AG150&lt;&gt;"",AJ150&lt;&gt;""),TRUE(),FALSE()),FALSE()))</f>
        <v>0</v>
      </c>
      <c r="DD150" s="51" t="n">
        <f aca="false">COUNTIF(BW150:DC150,TRUE())</f>
        <v>2</v>
      </c>
    </row>
    <row r="151" customFormat="false" ht="15" hidden="false" customHeight="true" outlineLevel="0" collapsed="false">
      <c r="A151" s="18" t="n">
        <v>112</v>
      </c>
      <c r="B151" s="44"/>
      <c r="C151" s="44"/>
      <c r="D151" s="44"/>
      <c r="E151" s="44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6" t="str">
        <f aca="false">IFERROR(IF(F151&lt;&gt;"",F151,""),"")</f>
        <v/>
      </c>
      <c r="AF151" s="46" t="str">
        <f aca="false">IFERROR(IF(G151&lt;&gt;"",G151,""),"")</f>
        <v/>
      </c>
      <c r="AG151" s="46" t="str">
        <f aca="false">IFERROR(IF(AA151&lt;&gt;"",AA151,IF(R151&lt;&gt;"",R151,"")),"")</f>
        <v/>
      </c>
      <c r="AH151" s="46" t="str">
        <f aca="false">IFERROR(IF(AB151&lt;&gt;"",AB151,IF(S151&lt;&gt;"",S151,"")),"")</f>
        <v/>
      </c>
      <c r="AI151" s="47"/>
      <c r="AJ151" s="47"/>
      <c r="AK151" s="47"/>
      <c r="AL151" s="47"/>
      <c r="AM151" s="47"/>
      <c r="AN151" s="47"/>
      <c r="AO151" s="47"/>
      <c r="AP151" s="47"/>
      <c r="AQ151" s="46" t="str">
        <f aca="false">IFERROR(IF(Y151&lt;&gt;"",VALUE(Y151),""),"")</f>
        <v/>
      </c>
      <c r="AR151" s="47"/>
      <c r="AS151" s="47"/>
      <c r="AT151" s="47"/>
      <c r="AU151" s="47"/>
      <c r="AV151" s="46" t="str">
        <f aca="false">IFERROR(IF(T151&lt;&gt;"",VALUE(T151),""),"")</f>
        <v/>
      </c>
      <c r="AW151" s="46" t="str">
        <f aca="false">IFERROR(IF(N151="","",IF(OR(ISNUMBER(SEARCH("grant",N151)),ISNUMBER(SEARCH("B",AC151))),"Granted",IF(OR(ISNUMBER(SEARCH("pend",N151)),ISNUMBER(SEARCH("A",AC151))),"Pending",IF(ISNUMBER(SEARCH("expir",N151)),"Expired",N151)))),"")</f>
        <v/>
      </c>
      <c r="AX151" s="47"/>
      <c r="AY151" s="46" t="str">
        <f aca="true">IFERROR(IF(M151&lt;&gt;"",ROUND(VALUE(M151),1),IF(L151&lt;&gt;"",ROUND(MAX(0,(DATEVALUE(TEXT(L151,"YYYY-MM-DD"))-TODAY())/365.25),1),"")),"")</f>
        <v/>
      </c>
      <c r="AZ151" s="46" t="str">
        <f aca="false">IFERROR(IF(O151&lt;&gt;"",O151,""),"")</f>
        <v/>
      </c>
      <c r="BA151" s="46" t="str">
        <f aca="false">IFERROR(IF(U151&lt;&gt;"",SUBSTITUTE(SUBSTITUTE(U151,"; ",", "),";",","),""),"")</f>
        <v/>
      </c>
      <c r="BB151" s="47"/>
      <c r="BC151" s="47"/>
      <c r="BD151" s="47"/>
      <c r="BE151" s="47"/>
      <c r="BF151" s="47"/>
      <c r="BG151" s="47"/>
      <c r="BH151" s="47"/>
      <c r="BI151" s="47"/>
      <c r="BJ151" s="47"/>
      <c r="BK151" s="46" t="str">
        <f aca="false">IFERROR(IF(W151&lt;&gt;"",VALUE(W151),""),"")</f>
        <v/>
      </c>
      <c r="BL151" s="46" t="str">
        <f aca="false">IFERROR(IF(X151&lt;&gt;"",VALUE(X151),""),"")</f>
        <v/>
      </c>
      <c r="BM151" s="46" t="str">
        <f aca="false">IFERROR(IF(AD151="","None",IF(ISNUMBER(SEARCH("surv",AD151)),"Survived",IF(ISNUMBER(SEARCH("pend",AD151)),"Pending",IF(ISNUMBER(SEARCH("yes",AD151)),"Pending","None")))),"None")</f>
        <v>None</v>
      </c>
      <c r="BN151" s="47"/>
      <c r="BO151" s="47"/>
      <c r="BP151" s="47"/>
      <c r="BQ151" s="47"/>
      <c r="BR151" s="47"/>
      <c r="BS151" s="47"/>
      <c r="BT151" s="47"/>
      <c r="BU151" s="48" t="n">
        <f aca="false">IFERROR(COUNTA(AE151:BT151)/42,0)</f>
        <v>0.30952380952381</v>
      </c>
      <c r="BV151" s="49"/>
      <c r="BW151" s="50" t="b">
        <f aca="false">IF(Configuration!$C$10="No","",IFERROR(IF(AG151&lt;&gt;"",TRUE(),FALSE()),FALSE()))</f>
        <v>0</v>
      </c>
      <c r="BX151" s="50" t="b">
        <f aca="false">IF(Configuration!$C$11="No","",IFERROR(IF(AND(N(AL151)&gt;=Configuration!$C$44,AM151&lt;&gt;""),TRUE(),FALSE()),FALSE()))</f>
        <v>0</v>
      </c>
      <c r="BY151" s="50" t="b">
        <f aca="false">IF(Configuration!$C$12="No","",IFERROR(IF(AJ151&lt;&gt;"",TRUE(),FALSE()),FALSE()))</f>
        <v>0</v>
      </c>
      <c r="BZ151" s="50" t="b">
        <f aca="false">IF(Configuration!$C$13="No","",IFERROR(IF(AI151&lt;&gt;"",TRUE(),FALSE()),FALSE()))</f>
        <v>0</v>
      </c>
      <c r="CA151" s="50" t="b">
        <f aca="false">IF(Configuration!$C$14="No","",IFERROR(IF(AK151&lt;&gt;"",TRUE(),FALSE()),FALSE()))</f>
        <v>0</v>
      </c>
      <c r="CB151" s="50" t="b">
        <f aca="false">IF(Configuration!$C$15="No","",IFERROR(IF(AND(OR(ISNUMBER(SEARCH("process",AG151)),ISNUMBER(SEARCH("fab",AG151)),ISNUMBER(SEARCH("manufac",AG151))),AO151="Method"),TRUE(),FALSE()),FALSE()))</f>
        <v>0</v>
      </c>
      <c r="CC151" s="50" t="b">
        <f aca="false">IF(Configuration!$C$16="No","",IFERROR(IF(AND(OR(ISNUMBER(SEARCH("material",AG151)),ISNUMBER(SEARCH("chem",AG151)),ISNUMBER(SEARCH("battery",AG151)),ISNUMBER(SEARCH("electrolyte",AG151)),ISNUMBER(SEARCH("polymer",AG151))),OR(AO151="Apparatus",AO151="Method")),TRUE(),FALSE()),FALSE()))</f>
        <v>0</v>
      </c>
      <c r="CD151" s="50" t="b">
        <f aca="false">IF(Configuration!$C$17="No","",IFERROR(IF(AND(OR(AI151="App",AI151="Middleware",AI151="Cloud"),OR(AO151="Method",AO151="CRM")),TRUE(),FALSE()),FALSE()))</f>
        <v>0</v>
      </c>
      <c r="CE151" s="50" t="b">
        <f aca="false">IF(Configuration!$C$18="No","",IFERROR(IF(N(AN151)&gt;=Configuration!$C$45,TRUE(),FALSE()),FALSE()))</f>
        <v>0</v>
      </c>
      <c r="CF151" s="50" t="b">
        <f aca="false">IF(Configuration!$C$19="No","",IFERROR(IF(BE151&lt;&gt;"",TRUE(),FALSE()),FALSE()))</f>
        <v>0</v>
      </c>
      <c r="CG151" s="50" t="b">
        <f aca="false">IF(Configuration!$C$20="No","",IFERROR(IF(AO151&lt;&gt;"",TRUE(),FALSE()),FALSE()))</f>
        <v>0</v>
      </c>
      <c r="CH151" s="50" t="b">
        <f aca="false">IF(Configuration!$C$21="No","",IFERROR(IF(OR(N(AS151)&gt;=Configuration!$C$46,N(AT151)&gt;=Configuration!$C$47),TRUE(),FALSE()),FALSE()))</f>
        <v>0</v>
      </c>
      <c r="CI151" s="50" t="b">
        <f aca="false">IF(Configuration!$C$22="No","",IFERROR(IF(BB151="Yes",TRUE(),FALSE()),FALSE()))</f>
        <v>0</v>
      </c>
      <c r="CJ151" s="50" t="b">
        <f aca="false">IF(Configuration!$C$23="No","",IFERROR(IF(N(AV151)&gt;=Configuration!$C$48,TRUE(),FALSE()),FALSE()))</f>
        <v>0</v>
      </c>
      <c r="CK151" s="50" t="b">
        <f aca="false">IF(Configuration!$C$24="No","",IFERROR(IF(N(AY151)&gt;0,TRUE(),FALSE()),FALSE()))</f>
        <v>0</v>
      </c>
      <c r="CL151" s="50" t="b">
        <f aca="false">IF(Configuration!$C$25="No","",IFERROR(IF(OR(N(AP151)=3,N(AP151)&lt;=1),TRUE(),FALSE()),FALSE()))</f>
        <v>1</v>
      </c>
      <c r="CM151" s="50" t="b">
        <f aca="false">IF(Configuration!$C$26="No","",IFERROR(IF(N(BF151)&gt;=Configuration!$C$49,TRUE(),FALSE()),FALSE()))</f>
        <v>0</v>
      </c>
      <c r="CN151" s="50" t="b">
        <f aca="false">IF(Configuration!$C$27="No","",IFERROR(IF(BD151&lt;&gt;"",TRUE(),FALSE()),FALSE()))</f>
        <v>0</v>
      </c>
      <c r="CO151" s="50" t="b">
        <f aca="false">IF(Configuration!$C$28="No","",IFERROR(IF(N(AU151)&gt;=Configuration!$C$50,TRUE(),FALSE()),FALSE()))</f>
        <v>0</v>
      </c>
      <c r="CP151" s="50" t="b">
        <f aca="false">IF(Configuration!$C$29="No","",IFERROR(IF(AND(N(AR151)&gt;=Configuration!$C$51,AG151&lt;&gt;""),TRUE(),FALSE()),FALSE()))</f>
        <v>0</v>
      </c>
      <c r="CQ151" s="50" t="b">
        <f aca="false">IF(Configuration!$C$30="No","",IFERROR(IF(OR(AW151="Pending",AX151="Yes"),TRUE(),FALSE()),FALSE()))</f>
        <v>0</v>
      </c>
      <c r="CR151" s="50" t="b">
        <f aca="false">IF(Configuration!$C$31="No","",IFERROR(IF(AND(N(BG151)&gt;=Configuration!$C$52,N(AP151)&gt;=1),TRUE(),FALSE()),FALSE()))</f>
        <v>0</v>
      </c>
      <c r="CS151" s="50" t="b">
        <f aca="false">IF(Configuration!$C$32="No","",IFERROR(IF(AND(N(AR151)&gt;=1,OR(AG151&lt;&gt;"",AM151&lt;&gt;"")),TRUE(),FALSE()),FALSE()))</f>
        <v>0</v>
      </c>
      <c r="CT151" s="50" t="b">
        <f aca="false">IF(Configuration!$C$33="No","",IFERROR(IF(AG151&lt;&gt;"",TRUE(),FALSE()),FALSE()))</f>
        <v>0</v>
      </c>
      <c r="CU151" s="50" t="b">
        <f aca="false">IF(Configuration!$C$34="No","",IFERROR(IF(AX151="Yes",TRUE(),FALSE()),FALSE()))</f>
        <v>0</v>
      </c>
      <c r="CV151" s="50" t="b">
        <f aca="false">IF(Configuration!$C$35="No","",IFERROR(IF(OR(BO151="Partial",BO151="Full"),TRUE(),FALSE()),FALSE()))</f>
        <v>0</v>
      </c>
      <c r="CW151" s="50" t="b">
        <f aca="false">IF(Configuration!$C$36="No","",IFERROR(IF(BM151="Survived",TRUE(),FALSE()),FALSE()))</f>
        <v>0</v>
      </c>
      <c r="CX151" s="50" t="b">
        <f aca="false">IF(Configuration!$C$37="No","",IFERROR(IF(AND(BN151="Clean",BP151="None"),TRUE(),FALSE()),FALSE()))</f>
        <v>0</v>
      </c>
      <c r="CY151" s="50" t="b">
        <f aca="false">IF(Configuration!$C$38="No","",IFERROR(IF(N(BK151)&gt;=Configuration!$C$53,TRUE(),FALSE()),FALSE()))</f>
        <v>0</v>
      </c>
      <c r="CZ151" s="50" t="b">
        <f aca="false">IF(Configuration!$C$39="No","",IFERROR(IF(AND(N(BS151)&gt;=2,N(BF151)&gt;=2),TRUE(),FALSE()),FALSE()))</f>
        <v>0</v>
      </c>
      <c r="DA151" s="50" t="b">
        <f aca="false">IF(Configuration!$C$40="No","",IFERROR(IF(OR(N(BG151)&lt;=Configuration!$C$56,N(AY151)&lt;Configuration!$C$57,N(BH151)&lt;=Configuration!$C$58),TRUE(),FALSE()),FALSE()))</f>
        <v>1</v>
      </c>
      <c r="DB151" s="50" t="b">
        <f aca="false">IF(Configuration!$C$41="No","",IFERROR(IF(AND(N(AY151)&gt;=Configuration!$C$54,N(AY151)&lt;=Configuration!$C$55),TRUE(),FALSE()),FALSE()))</f>
        <v>0</v>
      </c>
      <c r="DC151" s="50" t="b">
        <f aca="false">IF(Configuration!$C$42="No","",IFERROR(IF(AND(AG151&lt;&gt;"",AJ151&lt;&gt;""),TRUE(),FALSE()),FALSE()))</f>
        <v>0</v>
      </c>
      <c r="DD151" s="51" t="n">
        <f aca="false">COUNTIF(BW151:DC151,TRUE())</f>
        <v>2</v>
      </c>
    </row>
    <row r="152" customFormat="false" ht="15" hidden="false" customHeight="true" outlineLevel="0" collapsed="false">
      <c r="A152" s="18" t="n">
        <v>113</v>
      </c>
      <c r="B152" s="44"/>
      <c r="C152" s="44"/>
      <c r="D152" s="44"/>
      <c r="E152" s="44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6" t="str">
        <f aca="false">IFERROR(IF(F152&lt;&gt;"",F152,""),"")</f>
        <v/>
      </c>
      <c r="AF152" s="46" t="str">
        <f aca="false">IFERROR(IF(G152&lt;&gt;"",G152,""),"")</f>
        <v/>
      </c>
      <c r="AG152" s="46" t="str">
        <f aca="false">IFERROR(IF(AA152&lt;&gt;"",AA152,IF(R152&lt;&gt;"",R152,"")),"")</f>
        <v/>
      </c>
      <c r="AH152" s="46" t="str">
        <f aca="false">IFERROR(IF(AB152&lt;&gt;"",AB152,IF(S152&lt;&gt;"",S152,"")),"")</f>
        <v/>
      </c>
      <c r="AI152" s="47"/>
      <c r="AJ152" s="47"/>
      <c r="AK152" s="47"/>
      <c r="AL152" s="47"/>
      <c r="AM152" s="47"/>
      <c r="AN152" s="47"/>
      <c r="AO152" s="47"/>
      <c r="AP152" s="47"/>
      <c r="AQ152" s="46" t="str">
        <f aca="false">IFERROR(IF(Y152&lt;&gt;"",VALUE(Y152),""),"")</f>
        <v/>
      </c>
      <c r="AR152" s="47"/>
      <c r="AS152" s="47"/>
      <c r="AT152" s="47"/>
      <c r="AU152" s="47"/>
      <c r="AV152" s="46" t="str">
        <f aca="false">IFERROR(IF(T152&lt;&gt;"",VALUE(T152),""),"")</f>
        <v/>
      </c>
      <c r="AW152" s="46" t="str">
        <f aca="false">IFERROR(IF(N152="","",IF(OR(ISNUMBER(SEARCH("grant",N152)),ISNUMBER(SEARCH("B",AC152))),"Granted",IF(OR(ISNUMBER(SEARCH("pend",N152)),ISNUMBER(SEARCH("A",AC152))),"Pending",IF(ISNUMBER(SEARCH("expir",N152)),"Expired",N152)))),"")</f>
        <v/>
      </c>
      <c r="AX152" s="47"/>
      <c r="AY152" s="46" t="str">
        <f aca="true">IFERROR(IF(M152&lt;&gt;"",ROUND(VALUE(M152),1),IF(L152&lt;&gt;"",ROUND(MAX(0,(DATEVALUE(TEXT(L152,"YYYY-MM-DD"))-TODAY())/365.25),1),"")),"")</f>
        <v/>
      </c>
      <c r="AZ152" s="46" t="str">
        <f aca="false">IFERROR(IF(O152&lt;&gt;"",O152,""),"")</f>
        <v/>
      </c>
      <c r="BA152" s="46" t="str">
        <f aca="false">IFERROR(IF(U152&lt;&gt;"",SUBSTITUTE(SUBSTITUTE(U152,"; ",", "),";",","),""),"")</f>
        <v/>
      </c>
      <c r="BB152" s="47"/>
      <c r="BC152" s="47"/>
      <c r="BD152" s="47"/>
      <c r="BE152" s="47"/>
      <c r="BF152" s="47"/>
      <c r="BG152" s="47"/>
      <c r="BH152" s="47"/>
      <c r="BI152" s="47"/>
      <c r="BJ152" s="47"/>
      <c r="BK152" s="46" t="str">
        <f aca="false">IFERROR(IF(W152&lt;&gt;"",VALUE(W152),""),"")</f>
        <v/>
      </c>
      <c r="BL152" s="46" t="str">
        <f aca="false">IFERROR(IF(X152&lt;&gt;"",VALUE(X152),""),"")</f>
        <v/>
      </c>
      <c r="BM152" s="46" t="str">
        <f aca="false">IFERROR(IF(AD152="","None",IF(ISNUMBER(SEARCH("surv",AD152)),"Survived",IF(ISNUMBER(SEARCH("pend",AD152)),"Pending",IF(ISNUMBER(SEARCH("yes",AD152)),"Pending","None")))),"None")</f>
        <v>None</v>
      </c>
      <c r="BN152" s="47"/>
      <c r="BO152" s="47"/>
      <c r="BP152" s="47"/>
      <c r="BQ152" s="47"/>
      <c r="BR152" s="47"/>
      <c r="BS152" s="47"/>
      <c r="BT152" s="47"/>
      <c r="BU152" s="48" t="n">
        <f aca="false">IFERROR(COUNTA(AE152:BT152)/42,0)</f>
        <v>0.30952380952381</v>
      </c>
      <c r="BV152" s="49"/>
      <c r="BW152" s="50" t="b">
        <f aca="false">IF(Configuration!$C$10="No","",IFERROR(IF(AG152&lt;&gt;"",TRUE(),FALSE()),FALSE()))</f>
        <v>0</v>
      </c>
      <c r="BX152" s="50" t="b">
        <f aca="false">IF(Configuration!$C$11="No","",IFERROR(IF(AND(N(AL152)&gt;=Configuration!$C$44,AM152&lt;&gt;""),TRUE(),FALSE()),FALSE()))</f>
        <v>0</v>
      </c>
      <c r="BY152" s="50" t="b">
        <f aca="false">IF(Configuration!$C$12="No","",IFERROR(IF(AJ152&lt;&gt;"",TRUE(),FALSE()),FALSE()))</f>
        <v>0</v>
      </c>
      <c r="BZ152" s="50" t="b">
        <f aca="false">IF(Configuration!$C$13="No","",IFERROR(IF(AI152&lt;&gt;"",TRUE(),FALSE()),FALSE()))</f>
        <v>0</v>
      </c>
      <c r="CA152" s="50" t="b">
        <f aca="false">IF(Configuration!$C$14="No","",IFERROR(IF(AK152&lt;&gt;"",TRUE(),FALSE()),FALSE()))</f>
        <v>0</v>
      </c>
      <c r="CB152" s="50" t="b">
        <f aca="false">IF(Configuration!$C$15="No","",IFERROR(IF(AND(OR(ISNUMBER(SEARCH("process",AG152)),ISNUMBER(SEARCH("fab",AG152)),ISNUMBER(SEARCH("manufac",AG152))),AO152="Method"),TRUE(),FALSE()),FALSE()))</f>
        <v>0</v>
      </c>
      <c r="CC152" s="50" t="b">
        <f aca="false">IF(Configuration!$C$16="No","",IFERROR(IF(AND(OR(ISNUMBER(SEARCH("material",AG152)),ISNUMBER(SEARCH("chem",AG152)),ISNUMBER(SEARCH("battery",AG152)),ISNUMBER(SEARCH("electrolyte",AG152)),ISNUMBER(SEARCH("polymer",AG152))),OR(AO152="Apparatus",AO152="Method")),TRUE(),FALSE()),FALSE()))</f>
        <v>0</v>
      </c>
      <c r="CD152" s="50" t="b">
        <f aca="false">IF(Configuration!$C$17="No","",IFERROR(IF(AND(OR(AI152="App",AI152="Middleware",AI152="Cloud"),OR(AO152="Method",AO152="CRM")),TRUE(),FALSE()),FALSE()))</f>
        <v>0</v>
      </c>
      <c r="CE152" s="50" t="b">
        <f aca="false">IF(Configuration!$C$18="No","",IFERROR(IF(N(AN152)&gt;=Configuration!$C$45,TRUE(),FALSE()),FALSE()))</f>
        <v>0</v>
      </c>
      <c r="CF152" s="50" t="b">
        <f aca="false">IF(Configuration!$C$19="No","",IFERROR(IF(BE152&lt;&gt;"",TRUE(),FALSE()),FALSE()))</f>
        <v>0</v>
      </c>
      <c r="CG152" s="50" t="b">
        <f aca="false">IF(Configuration!$C$20="No","",IFERROR(IF(AO152&lt;&gt;"",TRUE(),FALSE()),FALSE()))</f>
        <v>0</v>
      </c>
      <c r="CH152" s="50" t="b">
        <f aca="false">IF(Configuration!$C$21="No","",IFERROR(IF(OR(N(AS152)&gt;=Configuration!$C$46,N(AT152)&gt;=Configuration!$C$47),TRUE(),FALSE()),FALSE()))</f>
        <v>0</v>
      </c>
      <c r="CI152" s="50" t="b">
        <f aca="false">IF(Configuration!$C$22="No","",IFERROR(IF(BB152="Yes",TRUE(),FALSE()),FALSE()))</f>
        <v>0</v>
      </c>
      <c r="CJ152" s="50" t="b">
        <f aca="false">IF(Configuration!$C$23="No","",IFERROR(IF(N(AV152)&gt;=Configuration!$C$48,TRUE(),FALSE()),FALSE()))</f>
        <v>0</v>
      </c>
      <c r="CK152" s="50" t="b">
        <f aca="false">IF(Configuration!$C$24="No","",IFERROR(IF(N(AY152)&gt;0,TRUE(),FALSE()),FALSE()))</f>
        <v>0</v>
      </c>
      <c r="CL152" s="50" t="b">
        <f aca="false">IF(Configuration!$C$25="No","",IFERROR(IF(OR(N(AP152)=3,N(AP152)&lt;=1),TRUE(),FALSE()),FALSE()))</f>
        <v>1</v>
      </c>
      <c r="CM152" s="50" t="b">
        <f aca="false">IF(Configuration!$C$26="No","",IFERROR(IF(N(BF152)&gt;=Configuration!$C$49,TRUE(),FALSE()),FALSE()))</f>
        <v>0</v>
      </c>
      <c r="CN152" s="50" t="b">
        <f aca="false">IF(Configuration!$C$27="No","",IFERROR(IF(BD152&lt;&gt;"",TRUE(),FALSE()),FALSE()))</f>
        <v>0</v>
      </c>
      <c r="CO152" s="50" t="b">
        <f aca="false">IF(Configuration!$C$28="No","",IFERROR(IF(N(AU152)&gt;=Configuration!$C$50,TRUE(),FALSE()),FALSE()))</f>
        <v>0</v>
      </c>
      <c r="CP152" s="50" t="b">
        <f aca="false">IF(Configuration!$C$29="No","",IFERROR(IF(AND(N(AR152)&gt;=Configuration!$C$51,AG152&lt;&gt;""),TRUE(),FALSE()),FALSE()))</f>
        <v>0</v>
      </c>
      <c r="CQ152" s="50" t="b">
        <f aca="false">IF(Configuration!$C$30="No","",IFERROR(IF(OR(AW152="Pending",AX152="Yes"),TRUE(),FALSE()),FALSE()))</f>
        <v>0</v>
      </c>
      <c r="CR152" s="50" t="b">
        <f aca="false">IF(Configuration!$C$31="No","",IFERROR(IF(AND(N(BG152)&gt;=Configuration!$C$52,N(AP152)&gt;=1),TRUE(),FALSE()),FALSE()))</f>
        <v>0</v>
      </c>
      <c r="CS152" s="50" t="b">
        <f aca="false">IF(Configuration!$C$32="No","",IFERROR(IF(AND(N(AR152)&gt;=1,OR(AG152&lt;&gt;"",AM152&lt;&gt;"")),TRUE(),FALSE()),FALSE()))</f>
        <v>0</v>
      </c>
      <c r="CT152" s="50" t="b">
        <f aca="false">IF(Configuration!$C$33="No","",IFERROR(IF(AG152&lt;&gt;"",TRUE(),FALSE()),FALSE()))</f>
        <v>0</v>
      </c>
      <c r="CU152" s="50" t="b">
        <f aca="false">IF(Configuration!$C$34="No","",IFERROR(IF(AX152="Yes",TRUE(),FALSE()),FALSE()))</f>
        <v>0</v>
      </c>
      <c r="CV152" s="50" t="b">
        <f aca="false">IF(Configuration!$C$35="No","",IFERROR(IF(OR(BO152="Partial",BO152="Full"),TRUE(),FALSE()),FALSE()))</f>
        <v>0</v>
      </c>
      <c r="CW152" s="50" t="b">
        <f aca="false">IF(Configuration!$C$36="No","",IFERROR(IF(BM152="Survived",TRUE(),FALSE()),FALSE()))</f>
        <v>0</v>
      </c>
      <c r="CX152" s="50" t="b">
        <f aca="false">IF(Configuration!$C$37="No","",IFERROR(IF(AND(BN152="Clean",BP152="None"),TRUE(),FALSE()),FALSE()))</f>
        <v>0</v>
      </c>
      <c r="CY152" s="50" t="b">
        <f aca="false">IF(Configuration!$C$38="No","",IFERROR(IF(N(BK152)&gt;=Configuration!$C$53,TRUE(),FALSE()),FALSE()))</f>
        <v>0</v>
      </c>
      <c r="CZ152" s="50" t="b">
        <f aca="false">IF(Configuration!$C$39="No","",IFERROR(IF(AND(N(BS152)&gt;=2,N(BF152)&gt;=2),TRUE(),FALSE()),FALSE()))</f>
        <v>0</v>
      </c>
      <c r="DA152" s="50" t="b">
        <f aca="false">IF(Configuration!$C$40="No","",IFERROR(IF(OR(N(BG152)&lt;=Configuration!$C$56,N(AY152)&lt;Configuration!$C$57,N(BH152)&lt;=Configuration!$C$58),TRUE(),FALSE()),FALSE()))</f>
        <v>1</v>
      </c>
      <c r="DB152" s="50" t="b">
        <f aca="false">IF(Configuration!$C$41="No","",IFERROR(IF(AND(N(AY152)&gt;=Configuration!$C$54,N(AY152)&lt;=Configuration!$C$55),TRUE(),FALSE()),FALSE()))</f>
        <v>0</v>
      </c>
      <c r="DC152" s="50" t="b">
        <f aca="false">IF(Configuration!$C$42="No","",IFERROR(IF(AND(AG152&lt;&gt;"",AJ152&lt;&gt;""),TRUE(),FALSE()),FALSE()))</f>
        <v>0</v>
      </c>
      <c r="DD152" s="51" t="n">
        <f aca="false">COUNTIF(BW152:DC152,TRUE())</f>
        <v>2</v>
      </c>
    </row>
    <row r="153" customFormat="false" ht="15" hidden="false" customHeight="true" outlineLevel="0" collapsed="false">
      <c r="A153" s="18" t="n">
        <v>114</v>
      </c>
      <c r="B153" s="44"/>
      <c r="C153" s="44"/>
      <c r="D153" s="44"/>
      <c r="E153" s="44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6" t="str">
        <f aca="false">IFERROR(IF(F153&lt;&gt;"",F153,""),"")</f>
        <v/>
      </c>
      <c r="AF153" s="46" t="str">
        <f aca="false">IFERROR(IF(G153&lt;&gt;"",G153,""),"")</f>
        <v/>
      </c>
      <c r="AG153" s="46" t="str">
        <f aca="false">IFERROR(IF(AA153&lt;&gt;"",AA153,IF(R153&lt;&gt;"",R153,"")),"")</f>
        <v/>
      </c>
      <c r="AH153" s="46" t="str">
        <f aca="false">IFERROR(IF(AB153&lt;&gt;"",AB153,IF(S153&lt;&gt;"",S153,"")),"")</f>
        <v/>
      </c>
      <c r="AI153" s="47"/>
      <c r="AJ153" s="47"/>
      <c r="AK153" s="47"/>
      <c r="AL153" s="47"/>
      <c r="AM153" s="47"/>
      <c r="AN153" s="47"/>
      <c r="AO153" s="47"/>
      <c r="AP153" s="47"/>
      <c r="AQ153" s="46" t="str">
        <f aca="false">IFERROR(IF(Y153&lt;&gt;"",VALUE(Y153),""),"")</f>
        <v/>
      </c>
      <c r="AR153" s="47"/>
      <c r="AS153" s="47"/>
      <c r="AT153" s="47"/>
      <c r="AU153" s="47"/>
      <c r="AV153" s="46" t="str">
        <f aca="false">IFERROR(IF(T153&lt;&gt;"",VALUE(T153),""),"")</f>
        <v/>
      </c>
      <c r="AW153" s="46" t="str">
        <f aca="false">IFERROR(IF(N153="","",IF(OR(ISNUMBER(SEARCH("grant",N153)),ISNUMBER(SEARCH("B",AC153))),"Granted",IF(OR(ISNUMBER(SEARCH("pend",N153)),ISNUMBER(SEARCH("A",AC153))),"Pending",IF(ISNUMBER(SEARCH("expir",N153)),"Expired",N153)))),"")</f>
        <v/>
      </c>
      <c r="AX153" s="47"/>
      <c r="AY153" s="46" t="str">
        <f aca="true">IFERROR(IF(M153&lt;&gt;"",ROUND(VALUE(M153),1),IF(L153&lt;&gt;"",ROUND(MAX(0,(DATEVALUE(TEXT(L153,"YYYY-MM-DD"))-TODAY())/365.25),1),"")),"")</f>
        <v/>
      </c>
      <c r="AZ153" s="46" t="str">
        <f aca="false">IFERROR(IF(O153&lt;&gt;"",O153,""),"")</f>
        <v/>
      </c>
      <c r="BA153" s="46" t="str">
        <f aca="false">IFERROR(IF(U153&lt;&gt;"",SUBSTITUTE(SUBSTITUTE(U153,"; ",", "),";",","),""),"")</f>
        <v/>
      </c>
      <c r="BB153" s="47"/>
      <c r="BC153" s="47"/>
      <c r="BD153" s="47"/>
      <c r="BE153" s="47"/>
      <c r="BF153" s="47"/>
      <c r="BG153" s="47"/>
      <c r="BH153" s="47"/>
      <c r="BI153" s="47"/>
      <c r="BJ153" s="47"/>
      <c r="BK153" s="46" t="str">
        <f aca="false">IFERROR(IF(W153&lt;&gt;"",VALUE(W153),""),"")</f>
        <v/>
      </c>
      <c r="BL153" s="46" t="str">
        <f aca="false">IFERROR(IF(X153&lt;&gt;"",VALUE(X153),""),"")</f>
        <v/>
      </c>
      <c r="BM153" s="46" t="str">
        <f aca="false">IFERROR(IF(AD153="","None",IF(ISNUMBER(SEARCH("surv",AD153)),"Survived",IF(ISNUMBER(SEARCH("pend",AD153)),"Pending",IF(ISNUMBER(SEARCH("yes",AD153)),"Pending","None")))),"None")</f>
        <v>None</v>
      </c>
      <c r="BN153" s="47"/>
      <c r="BO153" s="47"/>
      <c r="BP153" s="47"/>
      <c r="BQ153" s="47"/>
      <c r="BR153" s="47"/>
      <c r="BS153" s="47"/>
      <c r="BT153" s="47"/>
      <c r="BU153" s="48" t="n">
        <f aca="false">IFERROR(COUNTA(AE153:BT153)/42,0)</f>
        <v>0.30952380952381</v>
      </c>
      <c r="BV153" s="49"/>
      <c r="BW153" s="50" t="b">
        <f aca="false">IF(Configuration!$C$10="No","",IFERROR(IF(AG153&lt;&gt;"",TRUE(),FALSE()),FALSE()))</f>
        <v>0</v>
      </c>
      <c r="BX153" s="50" t="b">
        <f aca="false">IF(Configuration!$C$11="No","",IFERROR(IF(AND(N(AL153)&gt;=Configuration!$C$44,AM153&lt;&gt;""),TRUE(),FALSE()),FALSE()))</f>
        <v>0</v>
      </c>
      <c r="BY153" s="50" t="b">
        <f aca="false">IF(Configuration!$C$12="No","",IFERROR(IF(AJ153&lt;&gt;"",TRUE(),FALSE()),FALSE()))</f>
        <v>0</v>
      </c>
      <c r="BZ153" s="50" t="b">
        <f aca="false">IF(Configuration!$C$13="No","",IFERROR(IF(AI153&lt;&gt;"",TRUE(),FALSE()),FALSE()))</f>
        <v>0</v>
      </c>
      <c r="CA153" s="50" t="b">
        <f aca="false">IF(Configuration!$C$14="No","",IFERROR(IF(AK153&lt;&gt;"",TRUE(),FALSE()),FALSE()))</f>
        <v>0</v>
      </c>
      <c r="CB153" s="50" t="b">
        <f aca="false">IF(Configuration!$C$15="No","",IFERROR(IF(AND(OR(ISNUMBER(SEARCH("process",AG153)),ISNUMBER(SEARCH("fab",AG153)),ISNUMBER(SEARCH("manufac",AG153))),AO153="Method"),TRUE(),FALSE()),FALSE()))</f>
        <v>0</v>
      </c>
      <c r="CC153" s="50" t="b">
        <f aca="false">IF(Configuration!$C$16="No","",IFERROR(IF(AND(OR(ISNUMBER(SEARCH("material",AG153)),ISNUMBER(SEARCH("chem",AG153)),ISNUMBER(SEARCH("battery",AG153)),ISNUMBER(SEARCH("electrolyte",AG153)),ISNUMBER(SEARCH("polymer",AG153))),OR(AO153="Apparatus",AO153="Method")),TRUE(),FALSE()),FALSE()))</f>
        <v>0</v>
      </c>
      <c r="CD153" s="50" t="b">
        <f aca="false">IF(Configuration!$C$17="No","",IFERROR(IF(AND(OR(AI153="App",AI153="Middleware",AI153="Cloud"),OR(AO153="Method",AO153="CRM")),TRUE(),FALSE()),FALSE()))</f>
        <v>0</v>
      </c>
      <c r="CE153" s="50" t="b">
        <f aca="false">IF(Configuration!$C$18="No","",IFERROR(IF(N(AN153)&gt;=Configuration!$C$45,TRUE(),FALSE()),FALSE()))</f>
        <v>0</v>
      </c>
      <c r="CF153" s="50" t="b">
        <f aca="false">IF(Configuration!$C$19="No","",IFERROR(IF(BE153&lt;&gt;"",TRUE(),FALSE()),FALSE()))</f>
        <v>0</v>
      </c>
      <c r="CG153" s="50" t="b">
        <f aca="false">IF(Configuration!$C$20="No","",IFERROR(IF(AO153&lt;&gt;"",TRUE(),FALSE()),FALSE()))</f>
        <v>0</v>
      </c>
      <c r="CH153" s="50" t="b">
        <f aca="false">IF(Configuration!$C$21="No","",IFERROR(IF(OR(N(AS153)&gt;=Configuration!$C$46,N(AT153)&gt;=Configuration!$C$47),TRUE(),FALSE()),FALSE()))</f>
        <v>0</v>
      </c>
      <c r="CI153" s="50" t="b">
        <f aca="false">IF(Configuration!$C$22="No","",IFERROR(IF(BB153="Yes",TRUE(),FALSE()),FALSE()))</f>
        <v>0</v>
      </c>
      <c r="CJ153" s="50" t="b">
        <f aca="false">IF(Configuration!$C$23="No","",IFERROR(IF(N(AV153)&gt;=Configuration!$C$48,TRUE(),FALSE()),FALSE()))</f>
        <v>0</v>
      </c>
      <c r="CK153" s="50" t="b">
        <f aca="false">IF(Configuration!$C$24="No","",IFERROR(IF(N(AY153)&gt;0,TRUE(),FALSE()),FALSE()))</f>
        <v>0</v>
      </c>
      <c r="CL153" s="50" t="b">
        <f aca="false">IF(Configuration!$C$25="No","",IFERROR(IF(OR(N(AP153)=3,N(AP153)&lt;=1),TRUE(),FALSE()),FALSE()))</f>
        <v>1</v>
      </c>
      <c r="CM153" s="50" t="b">
        <f aca="false">IF(Configuration!$C$26="No","",IFERROR(IF(N(BF153)&gt;=Configuration!$C$49,TRUE(),FALSE()),FALSE()))</f>
        <v>0</v>
      </c>
      <c r="CN153" s="50" t="b">
        <f aca="false">IF(Configuration!$C$27="No","",IFERROR(IF(BD153&lt;&gt;"",TRUE(),FALSE()),FALSE()))</f>
        <v>0</v>
      </c>
      <c r="CO153" s="50" t="b">
        <f aca="false">IF(Configuration!$C$28="No","",IFERROR(IF(N(AU153)&gt;=Configuration!$C$50,TRUE(),FALSE()),FALSE()))</f>
        <v>0</v>
      </c>
      <c r="CP153" s="50" t="b">
        <f aca="false">IF(Configuration!$C$29="No","",IFERROR(IF(AND(N(AR153)&gt;=Configuration!$C$51,AG153&lt;&gt;""),TRUE(),FALSE()),FALSE()))</f>
        <v>0</v>
      </c>
      <c r="CQ153" s="50" t="b">
        <f aca="false">IF(Configuration!$C$30="No","",IFERROR(IF(OR(AW153="Pending",AX153="Yes"),TRUE(),FALSE()),FALSE()))</f>
        <v>0</v>
      </c>
      <c r="CR153" s="50" t="b">
        <f aca="false">IF(Configuration!$C$31="No","",IFERROR(IF(AND(N(BG153)&gt;=Configuration!$C$52,N(AP153)&gt;=1),TRUE(),FALSE()),FALSE()))</f>
        <v>0</v>
      </c>
      <c r="CS153" s="50" t="b">
        <f aca="false">IF(Configuration!$C$32="No","",IFERROR(IF(AND(N(AR153)&gt;=1,OR(AG153&lt;&gt;"",AM153&lt;&gt;"")),TRUE(),FALSE()),FALSE()))</f>
        <v>0</v>
      </c>
      <c r="CT153" s="50" t="b">
        <f aca="false">IF(Configuration!$C$33="No","",IFERROR(IF(AG153&lt;&gt;"",TRUE(),FALSE()),FALSE()))</f>
        <v>0</v>
      </c>
      <c r="CU153" s="50" t="b">
        <f aca="false">IF(Configuration!$C$34="No","",IFERROR(IF(AX153="Yes",TRUE(),FALSE()),FALSE()))</f>
        <v>0</v>
      </c>
      <c r="CV153" s="50" t="b">
        <f aca="false">IF(Configuration!$C$35="No","",IFERROR(IF(OR(BO153="Partial",BO153="Full"),TRUE(),FALSE()),FALSE()))</f>
        <v>0</v>
      </c>
      <c r="CW153" s="50" t="b">
        <f aca="false">IF(Configuration!$C$36="No","",IFERROR(IF(BM153="Survived",TRUE(),FALSE()),FALSE()))</f>
        <v>0</v>
      </c>
      <c r="CX153" s="50" t="b">
        <f aca="false">IF(Configuration!$C$37="No","",IFERROR(IF(AND(BN153="Clean",BP153="None"),TRUE(),FALSE()),FALSE()))</f>
        <v>0</v>
      </c>
      <c r="CY153" s="50" t="b">
        <f aca="false">IF(Configuration!$C$38="No","",IFERROR(IF(N(BK153)&gt;=Configuration!$C$53,TRUE(),FALSE()),FALSE()))</f>
        <v>0</v>
      </c>
      <c r="CZ153" s="50" t="b">
        <f aca="false">IF(Configuration!$C$39="No","",IFERROR(IF(AND(N(BS153)&gt;=2,N(BF153)&gt;=2),TRUE(),FALSE()),FALSE()))</f>
        <v>0</v>
      </c>
      <c r="DA153" s="50" t="b">
        <f aca="false">IF(Configuration!$C$40="No","",IFERROR(IF(OR(N(BG153)&lt;=Configuration!$C$56,N(AY153)&lt;Configuration!$C$57,N(BH153)&lt;=Configuration!$C$58),TRUE(),FALSE()),FALSE()))</f>
        <v>1</v>
      </c>
      <c r="DB153" s="50" t="b">
        <f aca="false">IF(Configuration!$C$41="No","",IFERROR(IF(AND(N(AY153)&gt;=Configuration!$C$54,N(AY153)&lt;=Configuration!$C$55),TRUE(),FALSE()),FALSE()))</f>
        <v>0</v>
      </c>
      <c r="DC153" s="50" t="b">
        <f aca="false">IF(Configuration!$C$42="No","",IFERROR(IF(AND(AG153&lt;&gt;"",AJ153&lt;&gt;""),TRUE(),FALSE()),FALSE()))</f>
        <v>0</v>
      </c>
      <c r="DD153" s="51" t="n">
        <f aca="false">COUNTIF(BW153:DC153,TRUE())</f>
        <v>2</v>
      </c>
    </row>
    <row r="154" customFormat="false" ht="15" hidden="false" customHeight="true" outlineLevel="0" collapsed="false">
      <c r="A154" s="18" t="n">
        <v>115</v>
      </c>
      <c r="B154" s="44"/>
      <c r="C154" s="44"/>
      <c r="D154" s="44"/>
      <c r="E154" s="44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6" t="str">
        <f aca="false">IFERROR(IF(F154&lt;&gt;"",F154,""),"")</f>
        <v/>
      </c>
      <c r="AF154" s="46" t="str">
        <f aca="false">IFERROR(IF(G154&lt;&gt;"",G154,""),"")</f>
        <v/>
      </c>
      <c r="AG154" s="46" t="str">
        <f aca="false">IFERROR(IF(AA154&lt;&gt;"",AA154,IF(R154&lt;&gt;"",R154,"")),"")</f>
        <v/>
      </c>
      <c r="AH154" s="46" t="str">
        <f aca="false">IFERROR(IF(AB154&lt;&gt;"",AB154,IF(S154&lt;&gt;"",S154,"")),"")</f>
        <v/>
      </c>
      <c r="AI154" s="47"/>
      <c r="AJ154" s="47"/>
      <c r="AK154" s="47"/>
      <c r="AL154" s="47"/>
      <c r="AM154" s="47"/>
      <c r="AN154" s="47"/>
      <c r="AO154" s="47"/>
      <c r="AP154" s="47"/>
      <c r="AQ154" s="46" t="str">
        <f aca="false">IFERROR(IF(Y154&lt;&gt;"",VALUE(Y154),""),"")</f>
        <v/>
      </c>
      <c r="AR154" s="47"/>
      <c r="AS154" s="47"/>
      <c r="AT154" s="47"/>
      <c r="AU154" s="47"/>
      <c r="AV154" s="46" t="str">
        <f aca="false">IFERROR(IF(T154&lt;&gt;"",VALUE(T154),""),"")</f>
        <v/>
      </c>
      <c r="AW154" s="46" t="str">
        <f aca="false">IFERROR(IF(N154="","",IF(OR(ISNUMBER(SEARCH("grant",N154)),ISNUMBER(SEARCH("B",AC154))),"Granted",IF(OR(ISNUMBER(SEARCH("pend",N154)),ISNUMBER(SEARCH("A",AC154))),"Pending",IF(ISNUMBER(SEARCH("expir",N154)),"Expired",N154)))),"")</f>
        <v/>
      </c>
      <c r="AX154" s="47"/>
      <c r="AY154" s="46" t="str">
        <f aca="true">IFERROR(IF(M154&lt;&gt;"",ROUND(VALUE(M154),1),IF(L154&lt;&gt;"",ROUND(MAX(0,(DATEVALUE(TEXT(L154,"YYYY-MM-DD"))-TODAY())/365.25),1),"")),"")</f>
        <v/>
      </c>
      <c r="AZ154" s="46" t="str">
        <f aca="false">IFERROR(IF(O154&lt;&gt;"",O154,""),"")</f>
        <v/>
      </c>
      <c r="BA154" s="46" t="str">
        <f aca="false">IFERROR(IF(U154&lt;&gt;"",SUBSTITUTE(SUBSTITUTE(U154,"; ",", "),";",","),""),"")</f>
        <v/>
      </c>
      <c r="BB154" s="47"/>
      <c r="BC154" s="47"/>
      <c r="BD154" s="47"/>
      <c r="BE154" s="47"/>
      <c r="BF154" s="47"/>
      <c r="BG154" s="47"/>
      <c r="BH154" s="47"/>
      <c r="BI154" s="47"/>
      <c r="BJ154" s="47"/>
      <c r="BK154" s="46" t="str">
        <f aca="false">IFERROR(IF(W154&lt;&gt;"",VALUE(W154),""),"")</f>
        <v/>
      </c>
      <c r="BL154" s="46" t="str">
        <f aca="false">IFERROR(IF(X154&lt;&gt;"",VALUE(X154),""),"")</f>
        <v/>
      </c>
      <c r="BM154" s="46" t="str">
        <f aca="false">IFERROR(IF(AD154="","None",IF(ISNUMBER(SEARCH("surv",AD154)),"Survived",IF(ISNUMBER(SEARCH("pend",AD154)),"Pending",IF(ISNUMBER(SEARCH("yes",AD154)),"Pending","None")))),"None")</f>
        <v>None</v>
      </c>
      <c r="BN154" s="47"/>
      <c r="BO154" s="47"/>
      <c r="BP154" s="47"/>
      <c r="BQ154" s="47"/>
      <c r="BR154" s="47"/>
      <c r="BS154" s="47"/>
      <c r="BT154" s="47"/>
      <c r="BU154" s="48" t="n">
        <f aca="false">IFERROR(COUNTA(AE154:BT154)/42,0)</f>
        <v>0.30952380952381</v>
      </c>
      <c r="BV154" s="49"/>
      <c r="BW154" s="50" t="b">
        <f aca="false">IF(Configuration!$C$10="No","",IFERROR(IF(AG154&lt;&gt;"",TRUE(),FALSE()),FALSE()))</f>
        <v>0</v>
      </c>
      <c r="BX154" s="50" t="b">
        <f aca="false">IF(Configuration!$C$11="No","",IFERROR(IF(AND(N(AL154)&gt;=Configuration!$C$44,AM154&lt;&gt;""),TRUE(),FALSE()),FALSE()))</f>
        <v>0</v>
      </c>
      <c r="BY154" s="50" t="b">
        <f aca="false">IF(Configuration!$C$12="No","",IFERROR(IF(AJ154&lt;&gt;"",TRUE(),FALSE()),FALSE()))</f>
        <v>0</v>
      </c>
      <c r="BZ154" s="50" t="b">
        <f aca="false">IF(Configuration!$C$13="No","",IFERROR(IF(AI154&lt;&gt;"",TRUE(),FALSE()),FALSE()))</f>
        <v>0</v>
      </c>
      <c r="CA154" s="50" t="b">
        <f aca="false">IF(Configuration!$C$14="No","",IFERROR(IF(AK154&lt;&gt;"",TRUE(),FALSE()),FALSE()))</f>
        <v>0</v>
      </c>
      <c r="CB154" s="50" t="b">
        <f aca="false">IF(Configuration!$C$15="No","",IFERROR(IF(AND(OR(ISNUMBER(SEARCH("process",AG154)),ISNUMBER(SEARCH("fab",AG154)),ISNUMBER(SEARCH("manufac",AG154))),AO154="Method"),TRUE(),FALSE()),FALSE()))</f>
        <v>0</v>
      </c>
      <c r="CC154" s="50" t="b">
        <f aca="false">IF(Configuration!$C$16="No","",IFERROR(IF(AND(OR(ISNUMBER(SEARCH("material",AG154)),ISNUMBER(SEARCH("chem",AG154)),ISNUMBER(SEARCH("battery",AG154)),ISNUMBER(SEARCH("electrolyte",AG154)),ISNUMBER(SEARCH("polymer",AG154))),OR(AO154="Apparatus",AO154="Method")),TRUE(),FALSE()),FALSE()))</f>
        <v>0</v>
      </c>
      <c r="CD154" s="50" t="b">
        <f aca="false">IF(Configuration!$C$17="No","",IFERROR(IF(AND(OR(AI154="App",AI154="Middleware",AI154="Cloud"),OR(AO154="Method",AO154="CRM")),TRUE(),FALSE()),FALSE()))</f>
        <v>0</v>
      </c>
      <c r="CE154" s="50" t="b">
        <f aca="false">IF(Configuration!$C$18="No","",IFERROR(IF(N(AN154)&gt;=Configuration!$C$45,TRUE(),FALSE()),FALSE()))</f>
        <v>0</v>
      </c>
      <c r="CF154" s="50" t="b">
        <f aca="false">IF(Configuration!$C$19="No","",IFERROR(IF(BE154&lt;&gt;"",TRUE(),FALSE()),FALSE()))</f>
        <v>0</v>
      </c>
      <c r="CG154" s="50" t="b">
        <f aca="false">IF(Configuration!$C$20="No","",IFERROR(IF(AO154&lt;&gt;"",TRUE(),FALSE()),FALSE()))</f>
        <v>0</v>
      </c>
      <c r="CH154" s="50" t="b">
        <f aca="false">IF(Configuration!$C$21="No","",IFERROR(IF(OR(N(AS154)&gt;=Configuration!$C$46,N(AT154)&gt;=Configuration!$C$47),TRUE(),FALSE()),FALSE()))</f>
        <v>0</v>
      </c>
      <c r="CI154" s="50" t="b">
        <f aca="false">IF(Configuration!$C$22="No","",IFERROR(IF(BB154="Yes",TRUE(),FALSE()),FALSE()))</f>
        <v>0</v>
      </c>
      <c r="CJ154" s="50" t="b">
        <f aca="false">IF(Configuration!$C$23="No","",IFERROR(IF(N(AV154)&gt;=Configuration!$C$48,TRUE(),FALSE()),FALSE()))</f>
        <v>0</v>
      </c>
      <c r="CK154" s="50" t="b">
        <f aca="false">IF(Configuration!$C$24="No","",IFERROR(IF(N(AY154)&gt;0,TRUE(),FALSE()),FALSE()))</f>
        <v>0</v>
      </c>
      <c r="CL154" s="50" t="b">
        <f aca="false">IF(Configuration!$C$25="No","",IFERROR(IF(OR(N(AP154)=3,N(AP154)&lt;=1),TRUE(),FALSE()),FALSE()))</f>
        <v>1</v>
      </c>
      <c r="CM154" s="50" t="b">
        <f aca="false">IF(Configuration!$C$26="No","",IFERROR(IF(N(BF154)&gt;=Configuration!$C$49,TRUE(),FALSE()),FALSE()))</f>
        <v>0</v>
      </c>
      <c r="CN154" s="50" t="b">
        <f aca="false">IF(Configuration!$C$27="No","",IFERROR(IF(BD154&lt;&gt;"",TRUE(),FALSE()),FALSE()))</f>
        <v>0</v>
      </c>
      <c r="CO154" s="50" t="b">
        <f aca="false">IF(Configuration!$C$28="No","",IFERROR(IF(N(AU154)&gt;=Configuration!$C$50,TRUE(),FALSE()),FALSE()))</f>
        <v>0</v>
      </c>
      <c r="CP154" s="50" t="b">
        <f aca="false">IF(Configuration!$C$29="No","",IFERROR(IF(AND(N(AR154)&gt;=Configuration!$C$51,AG154&lt;&gt;""),TRUE(),FALSE()),FALSE()))</f>
        <v>0</v>
      </c>
      <c r="CQ154" s="50" t="b">
        <f aca="false">IF(Configuration!$C$30="No","",IFERROR(IF(OR(AW154="Pending",AX154="Yes"),TRUE(),FALSE()),FALSE()))</f>
        <v>0</v>
      </c>
      <c r="CR154" s="50" t="b">
        <f aca="false">IF(Configuration!$C$31="No","",IFERROR(IF(AND(N(BG154)&gt;=Configuration!$C$52,N(AP154)&gt;=1),TRUE(),FALSE()),FALSE()))</f>
        <v>0</v>
      </c>
      <c r="CS154" s="50" t="b">
        <f aca="false">IF(Configuration!$C$32="No","",IFERROR(IF(AND(N(AR154)&gt;=1,OR(AG154&lt;&gt;"",AM154&lt;&gt;"")),TRUE(),FALSE()),FALSE()))</f>
        <v>0</v>
      </c>
      <c r="CT154" s="50" t="b">
        <f aca="false">IF(Configuration!$C$33="No","",IFERROR(IF(AG154&lt;&gt;"",TRUE(),FALSE()),FALSE()))</f>
        <v>0</v>
      </c>
      <c r="CU154" s="50" t="b">
        <f aca="false">IF(Configuration!$C$34="No","",IFERROR(IF(AX154="Yes",TRUE(),FALSE()),FALSE()))</f>
        <v>0</v>
      </c>
      <c r="CV154" s="50" t="b">
        <f aca="false">IF(Configuration!$C$35="No","",IFERROR(IF(OR(BO154="Partial",BO154="Full"),TRUE(),FALSE()),FALSE()))</f>
        <v>0</v>
      </c>
      <c r="CW154" s="50" t="b">
        <f aca="false">IF(Configuration!$C$36="No","",IFERROR(IF(BM154="Survived",TRUE(),FALSE()),FALSE()))</f>
        <v>0</v>
      </c>
      <c r="CX154" s="50" t="b">
        <f aca="false">IF(Configuration!$C$37="No","",IFERROR(IF(AND(BN154="Clean",BP154="None"),TRUE(),FALSE()),FALSE()))</f>
        <v>0</v>
      </c>
      <c r="CY154" s="50" t="b">
        <f aca="false">IF(Configuration!$C$38="No","",IFERROR(IF(N(BK154)&gt;=Configuration!$C$53,TRUE(),FALSE()),FALSE()))</f>
        <v>0</v>
      </c>
      <c r="CZ154" s="50" t="b">
        <f aca="false">IF(Configuration!$C$39="No","",IFERROR(IF(AND(N(BS154)&gt;=2,N(BF154)&gt;=2),TRUE(),FALSE()),FALSE()))</f>
        <v>0</v>
      </c>
      <c r="DA154" s="50" t="b">
        <f aca="false">IF(Configuration!$C$40="No","",IFERROR(IF(OR(N(BG154)&lt;=Configuration!$C$56,N(AY154)&lt;Configuration!$C$57,N(BH154)&lt;=Configuration!$C$58),TRUE(),FALSE()),FALSE()))</f>
        <v>1</v>
      </c>
      <c r="DB154" s="50" t="b">
        <f aca="false">IF(Configuration!$C$41="No","",IFERROR(IF(AND(N(AY154)&gt;=Configuration!$C$54,N(AY154)&lt;=Configuration!$C$55),TRUE(),FALSE()),FALSE()))</f>
        <v>0</v>
      </c>
      <c r="DC154" s="50" t="b">
        <f aca="false">IF(Configuration!$C$42="No","",IFERROR(IF(AND(AG154&lt;&gt;"",AJ154&lt;&gt;""),TRUE(),FALSE()),FALSE()))</f>
        <v>0</v>
      </c>
      <c r="DD154" s="51" t="n">
        <f aca="false">COUNTIF(BW154:DC154,TRUE())</f>
        <v>2</v>
      </c>
    </row>
    <row r="155" customFormat="false" ht="15" hidden="false" customHeight="true" outlineLevel="0" collapsed="false">
      <c r="A155" s="18" t="n">
        <v>116</v>
      </c>
      <c r="B155" s="44"/>
      <c r="C155" s="44"/>
      <c r="D155" s="44"/>
      <c r="E155" s="44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6" t="str">
        <f aca="false">IFERROR(IF(F155&lt;&gt;"",F155,""),"")</f>
        <v/>
      </c>
      <c r="AF155" s="46" t="str">
        <f aca="false">IFERROR(IF(G155&lt;&gt;"",G155,""),"")</f>
        <v/>
      </c>
      <c r="AG155" s="46" t="str">
        <f aca="false">IFERROR(IF(AA155&lt;&gt;"",AA155,IF(R155&lt;&gt;"",R155,"")),"")</f>
        <v/>
      </c>
      <c r="AH155" s="46" t="str">
        <f aca="false">IFERROR(IF(AB155&lt;&gt;"",AB155,IF(S155&lt;&gt;"",S155,"")),"")</f>
        <v/>
      </c>
      <c r="AI155" s="47"/>
      <c r="AJ155" s="47"/>
      <c r="AK155" s="47"/>
      <c r="AL155" s="47"/>
      <c r="AM155" s="47"/>
      <c r="AN155" s="47"/>
      <c r="AO155" s="47"/>
      <c r="AP155" s="47"/>
      <c r="AQ155" s="46" t="str">
        <f aca="false">IFERROR(IF(Y155&lt;&gt;"",VALUE(Y155),""),"")</f>
        <v/>
      </c>
      <c r="AR155" s="47"/>
      <c r="AS155" s="47"/>
      <c r="AT155" s="47"/>
      <c r="AU155" s="47"/>
      <c r="AV155" s="46" t="str">
        <f aca="false">IFERROR(IF(T155&lt;&gt;"",VALUE(T155),""),"")</f>
        <v/>
      </c>
      <c r="AW155" s="46" t="str">
        <f aca="false">IFERROR(IF(N155="","",IF(OR(ISNUMBER(SEARCH("grant",N155)),ISNUMBER(SEARCH("B",AC155))),"Granted",IF(OR(ISNUMBER(SEARCH("pend",N155)),ISNUMBER(SEARCH("A",AC155))),"Pending",IF(ISNUMBER(SEARCH("expir",N155)),"Expired",N155)))),"")</f>
        <v/>
      </c>
      <c r="AX155" s="47"/>
      <c r="AY155" s="46" t="str">
        <f aca="true">IFERROR(IF(M155&lt;&gt;"",ROUND(VALUE(M155),1),IF(L155&lt;&gt;"",ROUND(MAX(0,(DATEVALUE(TEXT(L155,"YYYY-MM-DD"))-TODAY())/365.25),1),"")),"")</f>
        <v/>
      </c>
      <c r="AZ155" s="46" t="str">
        <f aca="false">IFERROR(IF(O155&lt;&gt;"",O155,""),"")</f>
        <v/>
      </c>
      <c r="BA155" s="46" t="str">
        <f aca="false">IFERROR(IF(U155&lt;&gt;"",SUBSTITUTE(SUBSTITUTE(U155,"; ",", "),";",","),""),"")</f>
        <v/>
      </c>
      <c r="BB155" s="47"/>
      <c r="BC155" s="47"/>
      <c r="BD155" s="47"/>
      <c r="BE155" s="47"/>
      <c r="BF155" s="47"/>
      <c r="BG155" s="47"/>
      <c r="BH155" s="47"/>
      <c r="BI155" s="47"/>
      <c r="BJ155" s="47"/>
      <c r="BK155" s="46" t="str">
        <f aca="false">IFERROR(IF(W155&lt;&gt;"",VALUE(W155),""),"")</f>
        <v/>
      </c>
      <c r="BL155" s="46" t="str">
        <f aca="false">IFERROR(IF(X155&lt;&gt;"",VALUE(X155),""),"")</f>
        <v/>
      </c>
      <c r="BM155" s="46" t="str">
        <f aca="false">IFERROR(IF(AD155="","None",IF(ISNUMBER(SEARCH("surv",AD155)),"Survived",IF(ISNUMBER(SEARCH("pend",AD155)),"Pending",IF(ISNUMBER(SEARCH("yes",AD155)),"Pending","None")))),"None")</f>
        <v>None</v>
      </c>
      <c r="BN155" s="47"/>
      <c r="BO155" s="47"/>
      <c r="BP155" s="47"/>
      <c r="BQ155" s="47"/>
      <c r="BR155" s="47"/>
      <c r="BS155" s="47"/>
      <c r="BT155" s="47"/>
      <c r="BU155" s="48" t="n">
        <f aca="false">IFERROR(COUNTA(AE155:BT155)/42,0)</f>
        <v>0.30952380952381</v>
      </c>
      <c r="BV155" s="49"/>
      <c r="BW155" s="50" t="b">
        <f aca="false">IF(Configuration!$C$10="No","",IFERROR(IF(AG155&lt;&gt;"",TRUE(),FALSE()),FALSE()))</f>
        <v>0</v>
      </c>
      <c r="BX155" s="50" t="b">
        <f aca="false">IF(Configuration!$C$11="No","",IFERROR(IF(AND(N(AL155)&gt;=Configuration!$C$44,AM155&lt;&gt;""),TRUE(),FALSE()),FALSE()))</f>
        <v>0</v>
      </c>
      <c r="BY155" s="50" t="b">
        <f aca="false">IF(Configuration!$C$12="No","",IFERROR(IF(AJ155&lt;&gt;"",TRUE(),FALSE()),FALSE()))</f>
        <v>0</v>
      </c>
      <c r="BZ155" s="50" t="b">
        <f aca="false">IF(Configuration!$C$13="No","",IFERROR(IF(AI155&lt;&gt;"",TRUE(),FALSE()),FALSE()))</f>
        <v>0</v>
      </c>
      <c r="CA155" s="50" t="b">
        <f aca="false">IF(Configuration!$C$14="No","",IFERROR(IF(AK155&lt;&gt;"",TRUE(),FALSE()),FALSE()))</f>
        <v>0</v>
      </c>
      <c r="CB155" s="50" t="b">
        <f aca="false">IF(Configuration!$C$15="No","",IFERROR(IF(AND(OR(ISNUMBER(SEARCH("process",AG155)),ISNUMBER(SEARCH("fab",AG155)),ISNUMBER(SEARCH("manufac",AG155))),AO155="Method"),TRUE(),FALSE()),FALSE()))</f>
        <v>0</v>
      </c>
      <c r="CC155" s="50" t="b">
        <f aca="false">IF(Configuration!$C$16="No","",IFERROR(IF(AND(OR(ISNUMBER(SEARCH("material",AG155)),ISNUMBER(SEARCH("chem",AG155)),ISNUMBER(SEARCH("battery",AG155)),ISNUMBER(SEARCH("electrolyte",AG155)),ISNUMBER(SEARCH("polymer",AG155))),OR(AO155="Apparatus",AO155="Method")),TRUE(),FALSE()),FALSE()))</f>
        <v>0</v>
      </c>
      <c r="CD155" s="50" t="b">
        <f aca="false">IF(Configuration!$C$17="No","",IFERROR(IF(AND(OR(AI155="App",AI155="Middleware",AI155="Cloud"),OR(AO155="Method",AO155="CRM")),TRUE(),FALSE()),FALSE()))</f>
        <v>0</v>
      </c>
      <c r="CE155" s="50" t="b">
        <f aca="false">IF(Configuration!$C$18="No","",IFERROR(IF(N(AN155)&gt;=Configuration!$C$45,TRUE(),FALSE()),FALSE()))</f>
        <v>0</v>
      </c>
      <c r="CF155" s="50" t="b">
        <f aca="false">IF(Configuration!$C$19="No","",IFERROR(IF(BE155&lt;&gt;"",TRUE(),FALSE()),FALSE()))</f>
        <v>0</v>
      </c>
      <c r="CG155" s="50" t="b">
        <f aca="false">IF(Configuration!$C$20="No","",IFERROR(IF(AO155&lt;&gt;"",TRUE(),FALSE()),FALSE()))</f>
        <v>0</v>
      </c>
      <c r="CH155" s="50" t="b">
        <f aca="false">IF(Configuration!$C$21="No","",IFERROR(IF(OR(N(AS155)&gt;=Configuration!$C$46,N(AT155)&gt;=Configuration!$C$47),TRUE(),FALSE()),FALSE()))</f>
        <v>0</v>
      </c>
      <c r="CI155" s="50" t="b">
        <f aca="false">IF(Configuration!$C$22="No","",IFERROR(IF(BB155="Yes",TRUE(),FALSE()),FALSE()))</f>
        <v>0</v>
      </c>
      <c r="CJ155" s="50" t="b">
        <f aca="false">IF(Configuration!$C$23="No","",IFERROR(IF(N(AV155)&gt;=Configuration!$C$48,TRUE(),FALSE()),FALSE()))</f>
        <v>0</v>
      </c>
      <c r="CK155" s="50" t="b">
        <f aca="false">IF(Configuration!$C$24="No","",IFERROR(IF(N(AY155)&gt;0,TRUE(),FALSE()),FALSE()))</f>
        <v>0</v>
      </c>
      <c r="CL155" s="50" t="b">
        <f aca="false">IF(Configuration!$C$25="No","",IFERROR(IF(OR(N(AP155)=3,N(AP155)&lt;=1),TRUE(),FALSE()),FALSE()))</f>
        <v>1</v>
      </c>
      <c r="CM155" s="50" t="b">
        <f aca="false">IF(Configuration!$C$26="No","",IFERROR(IF(N(BF155)&gt;=Configuration!$C$49,TRUE(),FALSE()),FALSE()))</f>
        <v>0</v>
      </c>
      <c r="CN155" s="50" t="b">
        <f aca="false">IF(Configuration!$C$27="No","",IFERROR(IF(BD155&lt;&gt;"",TRUE(),FALSE()),FALSE()))</f>
        <v>0</v>
      </c>
      <c r="CO155" s="50" t="b">
        <f aca="false">IF(Configuration!$C$28="No","",IFERROR(IF(N(AU155)&gt;=Configuration!$C$50,TRUE(),FALSE()),FALSE()))</f>
        <v>0</v>
      </c>
      <c r="CP155" s="50" t="b">
        <f aca="false">IF(Configuration!$C$29="No","",IFERROR(IF(AND(N(AR155)&gt;=Configuration!$C$51,AG155&lt;&gt;""),TRUE(),FALSE()),FALSE()))</f>
        <v>0</v>
      </c>
      <c r="CQ155" s="50" t="b">
        <f aca="false">IF(Configuration!$C$30="No","",IFERROR(IF(OR(AW155="Pending",AX155="Yes"),TRUE(),FALSE()),FALSE()))</f>
        <v>0</v>
      </c>
      <c r="CR155" s="50" t="b">
        <f aca="false">IF(Configuration!$C$31="No","",IFERROR(IF(AND(N(BG155)&gt;=Configuration!$C$52,N(AP155)&gt;=1),TRUE(),FALSE()),FALSE()))</f>
        <v>0</v>
      </c>
      <c r="CS155" s="50" t="b">
        <f aca="false">IF(Configuration!$C$32="No","",IFERROR(IF(AND(N(AR155)&gt;=1,OR(AG155&lt;&gt;"",AM155&lt;&gt;"")),TRUE(),FALSE()),FALSE()))</f>
        <v>0</v>
      </c>
      <c r="CT155" s="50" t="b">
        <f aca="false">IF(Configuration!$C$33="No","",IFERROR(IF(AG155&lt;&gt;"",TRUE(),FALSE()),FALSE()))</f>
        <v>0</v>
      </c>
      <c r="CU155" s="50" t="b">
        <f aca="false">IF(Configuration!$C$34="No","",IFERROR(IF(AX155="Yes",TRUE(),FALSE()),FALSE()))</f>
        <v>0</v>
      </c>
      <c r="CV155" s="50" t="b">
        <f aca="false">IF(Configuration!$C$35="No","",IFERROR(IF(OR(BO155="Partial",BO155="Full"),TRUE(),FALSE()),FALSE()))</f>
        <v>0</v>
      </c>
      <c r="CW155" s="50" t="b">
        <f aca="false">IF(Configuration!$C$36="No","",IFERROR(IF(BM155="Survived",TRUE(),FALSE()),FALSE()))</f>
        <v>0</v>
      </c>
      <c r="CX155" s="50" t="b">
        <f aca="false">IF(Configuration!$C$37="No","",IFERROR(IF(AND(BN155="Clean",BP155="None"),TRUE(),FALSE()),FALSE()))</f>
        <v>0</v>
      </c>
      <c r="CY155" s="50" t="b">
        <f aca="false">IF(Configuration!$C$38="No","",IFERROR(IF(N(BK155)&gt;=Configuration!$C$53,TRUE(),FALSE()),FALSE()))</f>
        <v>0</v>
      </c>
      <c r="CZ155" s="50" t="b">
        <f aca="false">IF(Configuration!$C$39="No","",IFERROR(IF(AND(N(BS155)&gt;=2,N(BF155)&gt;=2),TRUE(),FALSE()),FALSE()))</f>
        <v>0</v>
      </c>
      <c r="DA155" s="50" t="b">
        <f aca="false">IF(Configuration!$C$40="No","",IFERROR(IF(OR(N(BG155)&lt;=Configuration!$C$56,N(AY155)&lt;Configuration!$C$57,N(BH155)&lt;=Configuration!$C$58),TRUE(),FALSE()),FALSE()))</f>
        <v>1</v>
      </c>
      <c r="DB155" s="50" t="b">
        <f aca="false">IF(Configuration!$C$41="No","",IFERROR(IF(AND(N(AY155)&gt;=Configuration!$C$54,N(AY155)&lt;=Configuration!$C$55),TRUE(),FALSE()),FALSE()))</f>
        <v>0</v>
      </c>
      <c r="DC155" s="50" t="b">
        <f aca="false">IF(Configuration!$C$42="No","",IFERROR(IF(AND(AG155&lt;&gt;"",AJ155&lt;&gt;""),TRUE(),FALSE()),FALSE()))</f>
        <v>0</v>
      </c>
      <c r="DD155" s="51" t="n">
        <f aca="false">COUNTIF(BW155:DC155,TRUE())</f>
        <v>2</v>
      </c>
    </row>
    <row r="156" customFormat="false" ht="15" hidden="false" customHeight="true" outlineLevel="0" collapsed="false">
      <c r="A156" s="18" t="n">
        <v>117</v>
      </c>
      <c r="B156" s="44"/>
      <c r="C156" s="44"/>
      <c r="D156" s="44"/>
      <c r="E156" s="44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6" t="str">
        <f aca="false">IFERROR(IF(F156&lt;&gt;"",F156,""),"")</f>
        <v/>
      </c>
      <c r="AF156" s="46" t="str">
        <f aca="false">IFERROR(IF(G156&lt;&gt;"",G156,""),"")</f>
        <v/>
      </c>
      <c r="AG156" s="46" t="str">
        <f aca="false">IFERROR(IF(AA156&lt;&gt;"",AA156,IF(R156&lt;&gt;"",R156,"")),"")</f>
        <v/>
      </c>
      <c r="AH156" s="46" t="str">
        <f aca="false">IFERROR(IF(AB156&lt;&gt;"",AB156,IF(S156&lt;&gt;"",S156,"")),"")</f>
        <v/>
      </c>
      <c r="AI156" s="47"/>
      <c r="AJ156" s="47"/>
      <c r="AK156" s="47"/>
      <c r="AL156" s="47"/>
      <c r="AM156" s="47"/>
      <c r="AN156" s="47"/>
      <c r="AO156" s="47"/>
      <c r="AP156" s="47"/>
      <c r="AQ156" s="46" t="str">
        <f aca="false">IFERROR(IF(Y156&lt;&gt;"",VALUE(Y156),""),"")</f>
        <v/>
      </c>
      <c r="AR156" s="47"/>
      <c r="AS156" s="47"/>
      <c r="AT156" s="47"/>
      <c r="AU156" s="47"/>
      <c r="AV156" s="46" t="str">
        <f aca="false">IFERROR(IF(T156&lt;&gt;"",VALUE(T156),""),"")</f>
        <v/>
      </c>
      <c r="AW156" s="46" t="str">
        <f aca="false">IFERROR(IF(N156="","",IF(OR(ISNUMBER(SEARCH("grant",N156)),ISNUMBER(SEARCH("B",AC156))),"Granted",IF(OR(ISNUMBER(SEARCH("pend",N156)),ISNUMBER(SEARCH("A",AC156))),"Pending",IF(ISNUMBER(SEARCH("expir",N156)),"Expired",N156)))),"")</f>
        <v/>
      </c>
      <c r="AX156" s="47"/>
      <c r="AY156" s="46" t="str">
        <f aca="true">IFERROR(IF(M156&lt;&gt;"",ROUND(VALUE(M156),1),IF(L156&lt;&gt;"",ROUND(MAX(0,(DATEVALUE(TEXT(L156,"YYYY-MM-DD"))-TODAY())/365.25),1),"")),"")</f>
        <v/>
      </c>
      <c r="AZ156" s="46" t="str">
        <f aca="false">IFERROR(IF(O156&lt;&gt;"",O156,""),"")</f>
        <v/>
      </c>
      <c r="BA156" s="46" t="str">
        <f aca="false">IFERROR(IF(U156&lt;&gt;"",SUBSTITUTE(SUBSTITUTE(U156,"; ",", "),";",","),""),"")</f>
        <v/>
      </c>
      <c r="BB156" s="47"/>
      <c r="BC156" s="47"/>
      <c r="BD156" s="47"/>
      <c r="BE156" s="47"/>
      <c r="BF156" s="47"/>
      <c r="BG156" s="47"/>
      <c r="BH156" s="47"/>
      <c r="BI156" s="47"/>
      <c r="BJ156" s="47"/>
      <c r="BK156" s="46" t="str">
        <f aca="false">IFERROR(IF(W156&lt;&gt;"",VALUE(W156),""),"")</f>
        <v/>
      </c>
      <c r="BL156" s="46" t="str">
        <f aca="false">IFERROR(IF(X156&lt;&gt;"",VALUE(X156),""),"")</f>
        <v/>
      </c>
      <c r="BM156" s="46" t="str">
        <f aca="false">IFERROR(IF(AD156="","None",IF(ISNUMBER(SEARCH("surv",AD156)),"Survived",IF(ISNUMBER(SEARCH("pend",AD156)),"Pending",IF(ISNUMBER(SEARCH("yes",AD156)),"Pending","None")))),"None")</f>
        <v>None</v>
      </c>
      <c r="BN156" s="47"/>
      <c r="BO156" s="47"/>
      <c r="BP156" s="47"/>
      <c r="BQ156" s="47"/>
      <c r="BR156" s="47"/>
      <c r="BS156" s="47"/>
      <c r="BT156" s="47"/>
      <c r="BU156" s="48" t="n">
        <f aca="false">IFERROR(COUNTA(AE156:BT156)/42,0)</f>
        <v>0.30952380952381</v>
      </c>
      <c r="BV156" s="49"/>
      <c r="BW156" s="50" t="b">
        <f aca="false">IF(Configuration!$C$10="No","",IFERROR(IF(AG156&lt;&gt;"",TRUE(),FALSE()),FALSE()))</f>
        <v>0</v>
      </c>
      <c r="BX156" s="50" t="b">
        <f aca="false">IF(Configuration!$C$11="No","",IFERROR(IF(AND(N(AL156)&gt;=Configuration!$C$44,AM156&lt;&gt;""),TRUE(),FALSE()),FALSE()))</f>
        <v>0</v>
      </c>
      <c r="BY156" s="50" t="b">
        <f aca="false">IF(Configuration!$C$12="No","",IFERROR(IF(AJ156&lt;&gt;"",TRUE(),FALSE()),FALSE()))</f>
        <v>0</v>
      </c>
      <c r="BZ156" s="50" t="b">
        <f aca="false">IF(Configuration!$C$13="No","",IFERROR(IF(AI156&lt;&gt;"",TRUE(),FALSE()),FALSE()))</f>
        <v>0</v>
      </c>
      <c r="CA156" s="50" t="b">
        <f aca="false">IF(Configuration!$C$14="No","",IFERROR(IF(AK156&lt;&gt;"",TRUE(),FALSE()),FALSE()))</f>
        <v>0</v>
      </c>
      <c r="CB156" s="50" t="b">
        <f aca="false">IF(Configuration!$C$15="No","",IFERROR(IF(AND(OR(ISNUMBER(SEARCH("process",AG156)),ISNUMBER(SEARCH("fab",AG156)),ISNUMBER(SEARCH("manufac",AG156))),AO156="Method"),TRUE(),FALSE()),FALSE()))</f>
        <v>0</v>
      </c>
      <c r="CC156" s="50" t="b">
        <f aca="false">IF(Configuration!$C$16="No","",IFERROR(IF(AND(OR(ISNUMBER(SEARCH("material",AG156)),ISNUMBER(SEARCH("chem",AG156)),ISNUMBER(SEARCH("battery",AG156)),ISNUMBER(SEARCH("electrolyte",AG156)),ISNUMBER(SEARCH("polymer",AG156))),OR(AO156="Apparatus",AO156="Method")),TRUE(),FALSE()),FALSE()))</f>
        <v>0</v>
      </c>
      <c r="CD156" s="50" t="b">
        <f aca="false">IF(Configuration!$C$17="No","",IFERROR(IF(AND(OR(AI156="App",AI156="Middleware",AI156="Cloud"),OR(AO156="Method",AO156="CRM")),TRUE(),FALSE()),FALSE()))</f>
        <v>0</v>
      </c>
      <c r="CE156" s="50" t="b">
        <f aca="false">IF(Configuration!$C$18="No","",IFERROR(IF(N(AN156)&gt;=Configuration!$C$45,TRUE(),FALSE()),FALSE()))</f>
        <v>0</v>
      </c>
      <c r="CF156" s="50" t="b">
        <f aca="false">IF(Configuration!$C$19="No","",IFERROR(IF(BE156&lt;&gt;"",TRUE(),FALSE()),FALSE()))</f>
        <v>0</v>
      </c>
      <c r="CG156" s="50" t="b">
        <f aca="false">IF(Configuration!$C$20="No","",IFERROR(IF(AO156&lt;&gt;"",TRUE(),FALSE()),FALSE()))</f>
        <v>0</v>
      </c>
      <c r="CH156" s="50" t="b">
        <f aca="false">IF(Configuration!$C$21="No","",IFERROR(IF(OR(N(AS156)&gt;=Configuration!$C$46,N(AT156)&gt;=Configuration!$C$47),TRUE(),FALSE()),FALSE()))</f>
        <v>0</v>
      </c>
      <c r="CI156" s="50" t="b">
        <f aca="false">IF(Configuration!$C$22="No","",IFERROR(IF(BB156="Yes",TRUE(),FALSE()),FALSE()))</f>
        <v>0</v>
      </c>
      <c r="CJ156" s="50" t="b">
        <f aca="false">IF(Configuration!$C$23="No","",IFERROR(IF(N(AV156)&gt;=Configuration!$C$48,TRUE(),FALSE()),FALSE()))</f>
        <v>0</v>
      </c>
      <c r="CK156" s="50" t="b">
        <f aca="false">IF(Configuration!$C$24="No","",IFERROR(IF(N(AY156)&gt;0,TRUE(),FALSE()),FALSE()))</f>
        <v>0</v>
      </c>
      <c r="CL156" s="50" t="b">
        <f aca="false">IF(Configuration!$C$25="No","",IFERROR(IF(OR(N(AP156)=3,N(AP156)&lt;=1),TRUE(),FALSE()),FALSE()))</f>
        <v>1</v>
      </c>
      <c r="CM156" s="50" t="b">
        <f aca="false">IF(Configuration!$C$26="No","",IFERROR(IF(N(BF156)&gt;=Configuration!$C$49,TRUE(),FALSE()),FALSE()))</f>
        <v>0</v>
      </c>
      <c r="CN156" s="50" t="b">
        <f aca="false">IF(Configuration!$C$27="No","",IFERROR(IF(BD156&lt;&gt;"",TRUE(),FALSE()),FALSE()))</f>
        <v>0</v>
      </c>
      <c r="CO156" s="50" t="b">
        <f aca="false">IF(Configuration!$C$28="No","",IFERROR(IF(N(AU156)&gt;=Configuration!$C$50,TRUE(),FALSE()),FALSE()))</f>
        <v>0</v>
      </c>
      <c r="CP156" s="50" t="b">
        <f aca="false">IF(Configuration!$C$29="No","",IFERROR(IF(AND(N(AR156)&gt;=Configuration!$C$51,AG156&lt;&gt;""),TRUE(),FALSE()),FALSE()))</f>
        <v>0</v>
      </c>
      <c r="CQ156" s="50" t="b">
        <f aca="false">IF(Configuration!$C$30="No","",IFERROR(IF(OR(AW156="Pending",AX156="Yes"),TRUE(),FALSE()),FALSE()))</f>
        <v>0</v>
      </c>
      <c r="CR156" s="50" t="b">
        <f aca="false">IF(Configuration!$C$31="No","",IFERROR(IF(AND(N(BG156)&gt;=Configuration!$C$52,N(AP156)&gt;=1),TRUE(),FALSE()),FALSE()))</f>
        <v>0</v>
      </c>
      <c r="CS156" s="50" t="b">
        <f aca="false">IF(Configuration!$C$32="No","",IFERROR(IF(AND(N(AR156)&gt;=1,OR(AG156&lt;&gt;"",AM156&lt;&gt;"")),TRUE(),FALSE()),FALSE()))</f>
        <v>0</v>
      </c>
      <c r="CT156" s="50" t="b">
        <f aca="false">IF(Configuration!$C$33="No","",IFERROR(IF(AG156&lt;&gt;"",TRUE(),FALSE()),FALSE()))</f>
        <v>0</v>
      </c>
      <c r="CU156" s="50" t="b">
        <f aca="false">IF(Configuration!$C$34="No","",IFERROR(IF(AX156="Yes",TRUE(),FALSE()),FALSE()))</f>
        <v>0</v>
      </c>
      <c r="CV156" s="50" t="b">
        <f aca="false">IF(Configuration!$C$35="No","",IFERROR(IF(OR(BO156="Partial",BO156="Full"),TRUE(),FALSE()),FALSE()))</f>
        <v>0</v>
      </c>
      <c r="CW156" s="50" t="b">
        <f aca="false">IF(Configuration!$C$36="No","",IFERROR(IF(BM156="Survived",TRUE(),FALSE()),FALSE()))</f>
        <v>0</v>
      </c>
      <c r="CX156" s="50" t="b">
        <f aca="false">IF(Configuration!$C$37="No","",IFERROR(IF(AND(BN156="Clean",BP156="None"),TRUE(),FALSE()),FALSE()))</f>
        <v>0</v>
      </c>
      <c r="CY156" s="50" t="b">
        <f aca="false">IF(Configuration!$C$38="No","",IFERROR(IF(N(BK156)&gt;=Configuration!$C$53,TRUE(),FALSE()),FALSE()))</f>
        <v>0</v>
      </c>
      <c r="CZ156" s="50" t="b">
        <f aca="false">IF(Configuration!$C$39="No","",IFERROR(IF(AND(N(BS156)&gt;=2,N(BF156)&gt;=2),TRUE(),FALSE()),FALSE()))</f>
        <v>0</v>
      </c>
      <c r="DA156" s="50" t="b">
        <f aca="false">IF(Configuration!$C$40="No","",IFERROR(IF(OR(N(BG156)&lt;=Configuration!$C$56,N(AY156)&lt;Configuration!$C$57,N(BH156)&lt;=Configuration!$C$58),TRUE(),FALSE()),FALSE()))</f>
        <v>1</v>
      </c>
      <c r="DB156" s="50" t="b">
        <f aca="false">IF(Configuration!$C$41="No","",IFERROR(IF(AND(N(AY156)&gt;=Configuration!$C$54,N(AY156)&lt;=Configuration!$C$55),TRUE(),FALSE()),FALSE()))</f>
        <v>0</v>
      </c>
      <c r="DC156" s="50" t="b">
        <f aca="false">IF(Configuration!$C$42="No","",IFERROR(IF(AND(AG156&lt;&gt;"",AJ156&lt;&gt;""),TRUE(),FALSE()),FALSE()))</f>
        <v>0</v>
      </c>
      <c r="DD156" s="51" t="n">
        <f aca="false">COUNTIF(BW156:DC156,TRUE())</f>
        <v>2</v>
      </c>
    </row>
    <row r="157" customFormat="false" ht="15" hidden="false" customHeight="true" outlineLevel="0" collapsed="false">
      <c r="A157" s="18" t="n">
        <v>118</v>
      </c>
      <c r="B157" s="44"/>
      <c r="C157" s="44"/>
      <c r="D157" s="44"/>
      <c r="E157" s="44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6" t="str">
        <f aca="false">IFERROR(IF(F157&lt;&gt;"",F157,""),"")</f>
        <v/>
      </c>
      <c r="AF157" s="46" t="str">
        <f aca="false">IFERROR(IF(G157&lt;&gt;"",G157,""),"")</f>
        <v/>
      </c>
      <c r="AG157" s="46" t="str">
        <f aca="false">IFERROR(IF(AA157&lt;&gt;"",AA157,IF(R157&lt;&gt;"",R157,"")),"")</f>
        <v/>
      </c>
      <c r="AH157" s="46" t="str">
        <f aca="false">IFERROR(IF(AB157&lt;&gt;"",AB157,IF(S157&lt;&gt;"",S157,"")),"")</f>
        <v/>
      </c>
      <c r="AI157" s="47"/>
      <c r="AJ157" s="47"/>
      <c r="AK157" s="47"/>
      <c r="AL157" s="47"/>
      <c r="AM157" s="47"/>
      <c r="AN157" s="47"/>
      <c r="AO157" s="47"/>
      <c r="AP157" s="47"/>
      <c r="AQ157" s="46" t="str">
        <f aca="false">IFERROR(IF(Y157&lt;&gt;"",VALUE(Y157),""),"")</f>
        <v/>
      </c>
      <c r="AR157" s="47"/>
      <c r="AS157" s="47"/>
      <c r="AT157" s="47"/>
      <c r="AU157" s="47"/>
      <c r="AV157" s="46" t="str">
        <f aca="false">IFERROR(IF(T157&lt;&gt;"",VALUE(T157),""),"")</f>
        <v/>
      </c>
      <c r="AW157" s="46" t="str">
        <f aca="false">IFERROR(IF(N157="","",IF(OR(ISNUMBER(SEARCH("grant",N157)),ISNUMBER(SEARCH("B",AC157))),"Granted",IF(OR(ISNUMBER(SEARCH("pend",N157)),ISNUMBER(SEARCH("A",AC157))),"Pending",IF(ISNUMBER(SEARCH("expir",N157)),"Expired",N157)))),"")</f>
        <v/>
      </c>
      <c r="AX157" s="47"/>
      <c r="AY157" s="46" t="str">
        <f aca="true">IFERROR(IF(M157&lt;&gt;"",ROUND(VALUE(M157),1),IF(L157&lt;&gt;"",ROUND(MAX(0,(DATEVALUE(TEXT(L157,"YYYY-MM-DD"))-TODAY())/365.25),1),"")),"")</f>
        <v/>
      </c>
      <c r="AZ157" s="46" t="str">
        <f aca="false">IFERROR(IF(O157&lt;&gt;"",O157,""),"")</f>
        <v/>
      </c>
      <c r="BA157" s="46" t="str">
        <f aca="false">IFERROR(IF(U157&lt;&gt;"",SUBSTITUTE(SUBSTITUTE(U157,"; ",", "),";",","),""),"")</f>
        <v/>
      </c>
      <c r="BB157" s="47"/>
      <c r="BC157" s="47"/>
      <c r="BD157" s="47"/>
      <c r="BE157" s="47"/>
      <c r="BF157" s="47"/>
      <c r="BG157" s="47"/>
      <c r="BH157" s="47"/>
      <c r="BI157" s="47"/>
      <c r="BJ157" s="47"/>
      <c r="BK157" s="46" t="str">
        <f aca="false">IFERROR(IF(W157&lt;&gt;"",VALUE(W157),""),"")</f>
        <v/>
      </c>
      <c r="BL157" s="46" t="str">
        <f aca="false">IFERROR(IF(X157&lt;&gt;"",VALUE(X157),""),"")</f>
        <v/>
      </c>
      <c r="BM157" s="46" t="str">
        <f aca="false">IFERROR(IF(AD157="","None",IF(ISNUMBER(SEARCH("surv",AD157)),"Survived",IF(ISNUMBER(SEARCH("pend",AD157)),"Pending",IF(ISNUMBER(SEARCH("yes",AD157)),"Pending","None")))),"None")</f>
        <v>None</v>
      </c>
      <c r="BN157" s="47"/>
      <c r="BO157" s="47"/>
      <c r="BP157" s="47"/>
      <c r="BQ157" s="47"/>
      <c r="BR157" s="47"/>
      <c r="BS157" s="47"/>
      <c r="BT157" s="47"/>
      <c r="BU157" s="48" t="n">
        <f aca="false">IFERROR(COUNTA(AE157:BT157)/42,0)</f>
        <v>0.30952380952381</v>
      </c>
      <c r="BV157" s="49"/>
      <c r="BW157" s="50" t="b">
        <f aca="false">IF(Configuration!$C$10="No","",IFERROR(IF(AG157&lt;&gt;"",TRUE(),FALSE()),FALSE()))</f>
        <v>0</v>
      </c>
      <c r="BX157" s="50" t="b">
        <f aca="false">IF(Configuration!$C$11="No","",IFERROR(IF(AND(N(AL157)&gt;=Configuration!$C$44,AM157&lt;&gt;""),TRUE(),FALSE()),FALSE()))</f>
        <v>0</v>
      </c>
      <c r="BY157" s="50" t="b">
        <f aca="false">IF(Configuration!$C$12="No","",IFERROR(IF(AJ157&lt;&gt;"",TRUE(),FALSE()),FALSE()))</f>
        <v>0</v>
      </c>
      <c r="BZ157" s="50" t="b">
        <f aca="false">IF(Configuration!$C$13="No","",IFERROR(IF(AI157&lt;&gt;"",TRUE(),FALSE()),FALSE()))</f>
        <v>0</v>
      </c>
      <c r="CA157" s="50" t="b">
        <f aca="false">IF(Configuration!$C$14="No","",IFERROR(IF(AK157&lt;&gt;"",TRUE(),FALSE()),FALSE()))</f>
        <v>0</v>
      </c>
      <c r="CB157" s="50" t="b">
        <f aca="false">IF(Configuration!$C$15="No","",IFERROR(IF(AND(OR(ISNUMBER(SEARCH("process",AG157)),ISNUMBER(SEARCH("fab",AG157)),ISNUMBER(SEARCH("manufac",AG157))),AO157="Method"),TRUE(),FALSE()),FALSE()))</f>
        <v>0</v>
      </c>
      <c r="CC157" s="50" t="b">
        <f aca="false">IF(Configuration!$C$16="No","",IFERROR(IF(AND(OR(ISNUMBER(SEARCH("material",AG157)),ISNUMBER(SEARCH("chem",AG157)),ISNUMBER(SEARCH("battery",AG157)),ISNUMBER(SEARCH("electrolyte",AG157)),ISNUMBER(SEARCH("polymer",AG157))),OR(AO157="Apparatus",AO157="Method")),TRUE(),FALSE()),FALSE()))</f>
        <v>0</v>
      </c>
      <c r="CD157" s="50" t="b">
        <f aca="false">IF(Configuration!$C$17="No","",IFERROR(IF(AND(OR(AI157="App",AI157="Middleware",AI157="Cloud"),OR(AO157="Method",AO157="CRM")),TRUE(),FALSE()),FALSE()))</f>
        <v>0</v>
      </c>
      <c r="CE157" s="50" t="b">
        <f aca="false">IF(Configuration!$C$18="No","",IFERROR(IF(N(AN157)&gt;=Configuration!$C$45,TRUE(),FALSE()),FALSE()))</f>
        <v>0</v>
      </c>
      <c r="CF157" s="50" t="b">
        <f aca="false">IF(Configuration!$C$19="No","",IFERROR(IF(BE157&lt;&gt;"",TRUE(),FALSE()),FALSE()))</f>
        <v>0</v>
      </c>
      <c r="CG157" s="50" t="b">
        <f aca="false">IF(Configuration!$C$20="No","",IFERROR(IF(AO157&lt;&gt;"",TRUE(),FALSE()),FALSE()))</f>
        <v>0</v>
      </c>
      <c r="CH157" s="50" t="b">
        <f aca="false">IF(Configuration!$C$21="No","",IFERROR(IF(OR(N(AS157)&gt;=Configuration!$C$46,N(AT157)&gt;=Configuration!$C$47),TRUE(),FALSE()),FALSE()))</f>
        <v>0</v>
      </c>
      <c r="CI157" s="50" t="b">
        <f aca="false">IF(Configuration!$C$22="No","",IFERROR(IF(BB157="Yes",TRUE(),FALSE()),FALSE()))</f>
        <v>0</v>
      </c>
      <c r="CJ157" s="50" t="b">
        <f aca="false">IF(Configuration!$C$23="No","",IFERROR(IF(N(AV157)&gt;=Configuration!$C$48,TRUE(),FALSE()),FALSE()))</f>
        <v>0</v>
      </c>
      <c r="CK157" s="50" t="b">
        <f aca="false">IF(Configuration!$C$24="No","",IFERROR(IF(N(AY157)&gt;0,TRUE(),FALSE()),FALSE()))</f>
        <v>0</v>
      </c>
      <c r="CL157" s="50" t="b">
        <f aca="false">IF(Configuration!$C$25="No","",IFERROR(IF(OR(N(AP157)=3,N(AP157)&lt;=1),TRUE(),FALSE()),FALSE()))</f>
        <v>1</v>
      </c>
      <c r="CM157" s="50" t="b">
        <f aca="false">IF(Configuration!$C$26="No","",IFERROR(IF(N(BF157)&gt;=Configuration!$C$49,TRUE(),FALSE()),FALSE()))</f>
        <v>0</v>
      </c>
      <c r="CN157" s="50" t="b">
        <f aca="false">IF(Configuration!$C$27="No","",IFERROR(IF(BD157&lt;&gt;"",TRUE(),FALSE()),FALSE()))</f>
        <v>0</v>
      </c>
      <c r="CO157" s="50" t="b">
        <f aca="false">IF(Configuration!$C$28="No","",IFERROR(IF(N(AU157)&gt;=Configuration!$C$50,TRUE(),FALSE()),FALSE()))</f>
        <v>0</v>
      </c>
      <c r="CP157" s="50" t="b">
        <f aca="false">IF(Configuration!$C$29="No","",IFERROR(IF(AND(N(AR157)&gt;=Configuration!$C$51,AG157&lt;&gt;""),TRUE(),FALSE()),FALSE()))</f>
        <v>0</v>
      </c>
      <c r="CQ157" s="50" t="b">
        <f aca="false">IF(Configuration!$C$30="No","",IFERROR(IF(OR(AW157="Pending",AX157="Yes"),TRUE(),FALSE()),FALSE()))</f>
        <v>0</v>
      </c>
      <c r="CR157" s="50" t="b">
        <f aca="false">IF(Configuration!$C$31="No","",IFERROR(IF(AND(N(BG157)&gt;=Configuration!$C$52,N(AP157)&gt;=1),TRUE(),FALSE()),FALSE()))</f>
        <v>0</v>
      </c>
      <c r="CS157" s="50" t="b">
        <f aca="false">IF(Configuration!$C$32="No","",IFERROR(IF(AND(N(AR157)&gt;=1,OR(AG157&lt;&gt;"",AM157&lt;&gt;"")),TRUE(),FALSE()),FALSE()))</f>
        <v>0</v>
      </c>
      <c r="CT157" s="50" t="b">
        <f aca="false">IF(Configuration!$C$33="No","",IFERROR(IF(AG157&lt;&gt;"",TRUE(),FALSE()),FALSE()))</f>
        <v>0</v>
      </c>
      <c r="CU157" s="50" t="b">
        <f aca="false">IF(Configuration!$C$34="No","",IFERROR(IF(AX157="Yes",TRUE(),FALSE()),FALSE()))</f>
        <v>0</v>
      </c>
      <c r="CV157" s="50" t="b">
        <f aca="false">IF(Configuration!$C$35="No","",IFERROR(IF(OR(BO157="Partial",BO157="Full"),TRUE(),FALSE()),FALSE()))</f>
        <v>0</v>
      </c>
      <c r="CW157" s="50" t="b">
        <f aca="false">IF(Configuration!$C$36="No","",IFERROR(IF(BM157="Survived",TRUE(),FALSE()),FALSE()))</f>
        <v>0</v>
      </c>
      <c r="CX157" s="50" t="b">
        <f aca="false">IF(Configuration!$C$37="No","",IFERROR(IF(AND(BN157="Clean",BP157="None"),TRUE(),FALSE()),FALSE()))</f>
        <v>0</v>
      </c>
      <c r="CY157" s="50" t="b">
        <f aca="false">IF(Configuration!$C$38="No","",IFERROR(IF(N(BK157)&gt;=Configuration!$C$53,TRUE(),FALSE()),FALSE()))</f>
        <v>0</v>
      </c>
      <c r="CZ157" s="50" t="b">
        <f aca="false">IF(Configuration!$C$39="No","",IFERROR(IF(AND(N(BS157)&gt;=2,N(BF157)&gt;=2),TRUE(),FALSE()),FALSE()))</f>
        <v>0</v>
      </c>
      <c r="DA157" s="50" t="b">
        <f aca="false">IF(Configuration!$C$40="No","",IFERROR(IF(OR(N(BG157)&lt;=Configuration!$C$56,N(AY157)&lt;Configuration!$C$57,N(BH157)&lt;=Configuration!$C$58),TRUE(),FALSE()),FALSE()))</f>
        <v>1</v>
      </c>
      <c r="DB157" s="50" t="b">
        <f aca="false">IF(Configuration!$C$41="No","",IFERROR(IF(AND(N(AY157)&gt;=Configuration!$C$54,N(AY157)&lt;=Configuration!$C$55),TRUE(),FALSE()),FALSE()))</f>
        <v>0</v>
      </c>
      <c r="DC157" s="50" t="b">
        <f aca="false">IF(Configuration!$C$42="No","",IFERROR(IF(AND(AG157&lt;&gt;"",AJ157&lt;&gt;""),TRUE(),FALSE()),FALSE()))</f>
        <v>0</v>
      </c>
      <c r="DD157" s="51" t="n">
        <f aca="false">COUNTIF(BW157:DC157,TRUE())</f>
        <v>2</v>
      </c>
    </row>
    <row r="158" customFormat="false" ht="15" hidden="false" customHeight="true" outlineLevel="0" collapsed="false">
      <c r="A158" s="18" t="n">
        <v>119</v>
      </c>
      <c r="B158" s="44"/>
      <c r="C158" s="44"/>
      <c r="D158" s="44"/>
      <c r="E158" s="44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6" t="str">
        <f aca="false">IFERROR(IF(F158&lt;&gt;"",F158,""),"")</f>
        <v/>
      </c>
      <c r="AF158" s="46" t="str">
        <f aca="false">IFERROR(IF(G158&lt;&gt;"",G158,""),"")</f>
        <v/>
      </c>
      <c r="AG158" s="46" t="str">
        <f aca="false">IFERROR(IF(AA158&lt;&gt;"",AA158,IF(R158&lt;&gt;"",R158,"")),"")</f>
        <v/>
      </c>
      <c r="AH158" s="46" t="str">
        <f aca="false">IFERROR(IF(AB158&lt;&gt;"",AB158,IF(S158&lt;&gt;"",S158,"")),"")</f>
        <v/>
      </c>
      <c r="AI158" s="47"/>
      <c r="AJ158" s="47"/>
      <c r="AK158" s="47"/>
      <c r="AL158" s="47"/>
      <c r="AM158" s="47"/>
      <c r="AN158" s="47"/>
      <c r="AO158" s="47"/>
      <c r="AP158" s="47"/>
      <c r="AQ158" s="46" t="str">
        <f aca="false">IFERROR(IF(Y158&lt;&gt;"",VALUE(Y158),""),"")</f>
        <v/>
      </c>
      <c r="AR158" s="47"/>
      <c r="AS158" s="47"/>
      <c r="AT158" s="47"/>
      <c r="AU158" s="47"/>
      <c r="AV158" s="46" t="str">
        <f aca="false">IFERROR(IF(T158&lt;&gt;"",VALUE(T158),""),"")</f>
        <v/>
      </c>
      <c r="AW158" s="46" t="str">
        <f aca="false">IFERROR(IF(N158="","",IF(OR(ISNUMBER(SEARCH("grant",N158)),ISNUMBER(SEARCH("B",AC158))),"Granted",IF(OR(ISNUMBER(SEARCH("pend",N158)),ISNUMBER(SEARCH("A",AC158))),"Pending",IF(ISNUMBER(SEARCH("expir",N158)),"Expired",N158)))),"")</f>
        <v/>
      </c>
      <c r="AX158" s="47"/>
      <c r="AY158" s="46" t="str">
        <f aca="true">IFERROR(IF(M158&lt;&gt;"",ROUND(VALUE(M158),1),IF(L158&lt;&gt;"",ROUND(MAX(0,(DATEVALUE(TEXT(L158,"YYYY-MM-DD"))-TODAY())/365.25),1),"")),"")</f>
        <v/>
      </c>
      <c r="AZ158" s="46" t="str">
        <f aca="false">IFERROR(IF(O158&lt;&gt;"",O158,""),"")</f>
        <v/>
      </c>
      <c r="BA158" s="46" t="str">
        <f aca="false">IFERROR(IF(U158&lt;&gt;"",SUBSTITUTE(SUBSTITUTE(U158,"; ",", "),";",","),""),"")</f>
        <v/>
      </c>
      <c r="BB158" s="47"/>
      <c r="BC158" s="47"/>
      <c r="BD158" s="47"/>
      <c r="BE158" s="47"/>
      <c r="BF158" s="47"/>
      <c r="BG158" s="47"/>
      <c r="BH158" s="47"/>
      <c r="BI158" s="47"/>
      <c r="BJ158" s="47"/>
      <c r="BK158" s="46" t="str">
        <f aca="false">IFERROR(IF(W158&lt;&gt;"",VALUE(W158),""),"")</f>
        <v/>
      </c>
      <c r="BL158" s="46" t="str">
        <f aca="false">IFERROR(IF(X158&lt;&gt;"",VALUE(X158),""),"")</f>
        <v/>
      </c>
      <c r="BM158" s="46" t="str">
        <f aca="false">IFERROR(IF(AD158="","None",IF(ISNUMBER(SEARCH("surv",AD158)),"Survived",IF(ISNUMBER(SEARCH("pend",AD158)),"Pending",IF(ISNUMBER(SEARCH("yes",AD158)),"Pending","None")))),"None")</f>
        <v>None</v>
      </c>
      <c r="BN158" s="47"/>
      <c r="BO158" s="47"/>
      <c r="BP158" s="47"/>
      <c r="BQ158" s="47"/>
      <c r="BR158" s="47"/>
      <c r="BS158" s="47"/>
      <c r="BT158" s="47"/>
      <c r="BU158" s="48" t="n">
        <f aca="false">IFERROR(COUNTA(AE158:BT158)/42,0)</f>
        <v>0.30952380952381</v>
      </c>
      <c r="BV158" s="49"/>
      <c r="BW158" s="50" t="b">
        <f aca="false">IF(Configuration!$C$10="No","",IFERROR(IF(AG158&lt;&gt;"",TRUE(),FALSE()),FALSE()))</f>
        <v>0</v>
      </c>
      <c r="BX158" s="50" t="b">
        <f aca="false">IF(Configuration!$C$11="No","",IFERROR(IF(AND(N(AL158)&gt;=Configuration!$C$44,AM158&lt;&gt;""),TRUE(),FALSE()),FALSE()))</f>
        <v>0</v>
      </c>
      <c r="BY158" s="50" t="b">
        <f aca="false">IF(Configuration!$C$12="No","",IFERROR(IF(AJ158&lt;&gt;"",TRUE(),FALSE()),FALSE()))</f>
        <v>0</v>
      </c>
      <c r="BZ158" s="50" t="b">
        <f aca="false">IF(Configuration!$C$13="No","",IFERROR(IF(AI158&lt;&gt;"",TRUE(),FALSE()),FALSE()))</f>
        <v>0</v>
      </c>
      <c r="CA158" s="50" t="b">
        <f aca="false">IF(Configuration!$C$14="No","",IFERROR(IF(AK158&lt;&gt;"",TRUE(),FALSE()),FALSE()))</f>
        <v>0</v>
      </c>
      <c r="CB158" s="50" t="b">
        <f aca="false">IF(Configuration!$C$15="No","",IFERROR(IF(AND(OR(ISNUMBER(SEARCH("process",AG158)),ISNUMBER(SEARCH("fab",AG158)),ISNUMBER(SEARCH("manufac",AG158))),AO158="Method"),TRUE(),FALSE()),FALSE()))</f>
        <v>0</v>
      </c>
      <c r="CC158" s="50" t="b">
        <f aca="false">IF(Configuration!$C$16="No","",IFERROR(IF(AND(OR(ISNUMBER(SEARCH("material",AG158)),ISNUMBER(SEARCH("chem",AG158)),ISNUMBER(SEARCH("battery",AG158)),ISNUMBER(SEARCH("electrolyte",AG158)),ISNUMBER(SEARCH("polymer",AG158))),OR(AO158="Apparatus",AO158="Method")),TRUE(),FALSE()),FALSE()))</f>
        <v>0</v>
      </c>
      <c r="CD158" s="50" t="b">
        <f aca="false">IF(Configuration!$C$17="No","",IFERROR(IF(AND(OR(AI158="App",AI158="Middleware",AI158="Cloud"),OR(AO158="Method",AO158="CRM")),TRUE(),FALSE()),FALSE()))</f>
        <v>0</v>
      </c>
      <c r="CE158" s="50" t="b">
        <f aca="false">IF(Configuration!$C$18="No","",IFERROR(IF(N(AN158)&gt;=Configuration!$C$45,TRUE(),FALSE()),FALSE()))</f>
        <v>0</v>
      </c>
      <c r="CF158" s="50" t="b">
        <f aca="false">IF(Configuration!$C$19="No","",IFERROR(IF(BE158&lt;&gt;"",TRUE(),FALSE()),FALSE()))</f>
        <v>0</v>
      </c>
      <c r="CG158" s="50" t="b">
        <f aca="false">IF(Configuration!$C$20="No","",IFERROR(IF(AO158&lt;&gt;"",TRUE(),FALSE()),FALSE()))</f>
        <v>0</v>
      </c>
      <c r="CH158" s="50" t="b">
        <f aca="false">IF(Configuration!$C$21="No","",IFERROR(IF(OR(N(AS158)&gt;=Configuration!$C$46,N(AT158)&gt;=Configuration!$C$47),TRUE(),FALSE()),FALSE()))</f>
        <v>0</v>
      </c>
      <c r="CI158" s="50" t="b">
        <f aca="false">IF(Configuration!$C$22="No","",IFERROR(IF(BB158="Yes",TRUE(),FALSE()),FALSE()))</f>
        <v>0</v>
      </c>
      <c r="CJ158" s="50" t="b">
        <f aca="false">IF(Configuration!$C$23="No","",IFERROR(IF(N(AV158)&gt;=Configuration!$C$48,TRUE(),FALSE()),FALSE()))</f>
        <v>0</v>
      </c>
      <c r="CK158" s="50" t="b">
        <f aca="false">IF(Configuration!$C$24="No","",IFERROR(IF(N(AY158)&gt;0,TRUE(),FALSE()),FALSE()))</f>
        <v>0</v>
      </c>
      <c r="CL158" s="50" t="b">
        <f aca="false">IF(Configuration!$C$25="No","",IFERROR(IF(OR(N(AP158)=3,N(AP158)&lt;=1),TRUE(),FALSE()),FALSE()))</f>
        <v>1</v>
      </c>
      <c r="CM158" s="50" t="b">
        <f aca="false">IF(Configuration!$C$26="No","",IFERROR(IF(N(BF158)&gt;=Configuration!$C$49,TRUE(),FALSE()),FALSE()))</f>
        <v>0</v>
      </c>
      <c r="CN158" s="50" t="b">
        <f aca="false">IF(Configuration!$C$27="No","",IFERROR(IF(BD158&lt;&gt;"",TRUE(),FALSE()),FALSE()))</f>
        <v>0</v>
      </c>
      <c r="CO158" s="50" t="b">
        <f aca="false">IF(Configuration!$C$28="No","",IFERROR(IF(N(AU158)&gt;=Configuration!$C$50,TRUE(),FALSE()),FALSE()))</f>
        <v>0</v>
      </c>
      <c r="CP158" s="50" t="b">
        <f aca="false">IF(Configuration!$C$29="No","",IFERROR(IF(AND(N(AR158)&gt;=Configuration!$C$51,AG158&lt;&gt;""),TRUE(),FALSE()),FALSE()))</f>
        <v>0</v>
      </c>
      <c r="CQ158" s="50" t="b">
        <f aca="false">IF(Configuration!$C$30="No","",IFERROR(IF(OR(AW158="Pending",AX158="Yes"),TRUE(),FALSE()),FALSE()))</f>
        <v>0</v>
      </c>
      <c r="CR158" s="50" t="b">
        <f aca="false">IF(Configuration!$C$31="No","",IFERROR(IF(AND(N(BG158)&gt;=Configuration!$C$52,N(AP158)&gt;=1),TRUE(),FALSE()),FALSE()))</f>
        <v>0</v>
      </c>
      <c r="CS158" s="50" t="b">
        <f aca="false">IF(Configuration!$C$32="No","",IFERROR(IF(AND(N(AR158)&gt;=1,OR(AG158&lt;&gt;"",AM158&lt;&gt;"")),TRUE(),FALSE()),FALSE()))</f>
        <v>0</v>
      </c>
      <c r="CT158" s="50" t="b">
        <f aca="false">IF(Configuration!$C$33="No","",IFERROR(IF(AG158&lt;&gt;"",TRUE(),FALSE()),FALSE()))</f>
        <v>0</v>
      </c>
      <c r="CU158" s="50" t="b">
        <f aca="false">IF(Configuration!$C$34="No","",IFERROR(IF(AX158="Yes",TRUE(),FALSE()),FALSE()))</f>
        <v>0</v>
      </c>
      <c r="CV158" s="50" t="b">
        <f aca="false">IF(Configuration!$C$35="No","",IFERROR(IF(OR(BO158="Partial",BO158="Full"),TRUE(),FALSE()),FALSE()))</f>
        <v>0</v>
      </c>
      <c r="CW158" s="50" t="b">
        <f aca="false">IF(Configuration!$C$36="No","",IFERROR(IF(BM158="Survived",TRUE(),FALSE()),FALSE()))</f>
        <v>0</v>
      </c>
      <c r="CX158" s="50" t="b">
        <f aca="false">IF(Configuration!$C$37="No","",IFERROR(IF(AND(BN158="Clean",BP158="None"),TRUE(),FALSE()),FALSE()))</f>
        <v>0</v>
      </c>
      <c r="CY158" s="50" t="b">
        <f aca="false">IF(Configuration!$C$38="No","",IFERROR(IF(N(BK158)&gt;=Configuration!$C$53,TRUE(),FALSE()),FALSE()))</f>
        <v>0</v>
      </c>
      <c r="CZ158" s="50" t="b">
        <f aca="false">IF(Configuration!$C$39="No","",IFERROR(IF(AND(N(BS158)&gt;=2,N(BF158)&gt;=2),TRUE(),FALSE()),FALSE()))</f>
        <v>0</v>
      </c>
      <c r="DA158" s="50" t="b">
        <f aca="false">IF(Configuration!$C$40="No","",IFERROR(IF(OR(N(BG158)&lt;=Configuration!$C$56,N(AY158)&lt;Configuration!$C$57,N(BH158)&lt;=Configuration!$C$58),TRUE(),FALSE()),FALSE()))</f>
        <v>1</v>
      </c>
      <c r="DB158" s="50" t="b">
        <f aca="false">IF(Configuration!$C$41="No","",IFERROR(IF(AND(N(AY158)&gt;=Configuration!$C$54,N(AY158)&lt;=Configuration!$C$55),TRUE(),FALSE()),FALSE()))</f>
        <v>0</v>
      </c>
      <c r="DC158" s="50" t="b">
        <f aca="false">IF(Configuration!$C$42="No","",IFERROR(IF(AND(AG158&lt;&gt;"",AJ158&lt;&gt;""),TRUE(),FALSE()),FALSE()))</f>
        <v>0</v>
      </c>
      <c r="DD158" s="51" t="n">
        <f aca="false">COUNTIF(BW158:DC158,TRUE())</f>
        <v>2</v>
      </c>
    </row>
    <row r="159" customFormat="false" ht="15" hidden="false" customHeight="true" outlineLevel="0" collapsed="false">
      <c r="A159" s="18" t="n">
        <v>120</v>
      </c>
      <c r="B159" s="44"/>
      <c r="C159" s="44"/>
      <c r="D159" s="44"/>
      <c r="E159" s="44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6" t="str">
        <f aca="false">IFERROR(IF(F159&lt;&gt;"",F159,""),"")</f>
        <v/>
      </c>
      <c r="AF159" s="46" t="str">
        <f aca="false">IFERROR(IF(G159&lt;&gt;"",G159,""),"")</f>
        <v/>
      </c>
      <c r="AG159" s="46" t="str">
        <f aca="false">IFERROR(IF(AA159&lt;&gt;"",AA159,IF(R159&lt;&gt;"",R159,"")),"")</f>
        <v/>
      </c>
      <c r="AH159" s="46" t="str">
        <f aca="false">IFERROR(IF(AB159&lt;&gt;"",AB159,IF(S159&lt;&gt;"",S159,"")),"")</f>
        <v/>
      </c>
      <c r="AI159" s="47"/>
      <c r="AJ159" s="47"/>
      <c r="AK159" s="47"/>
      <c r="AL159" s="47"/>
      <c r="AM159" s="47"/>
      <c r="AN159" s="47"/>
      <c r="AO159" s="47"/>
      <c r="AP159" s="47"/>
      <c r="AQ159" s="46" t="str">
        <f aca="false">IFERROR(IF(Y159&lt;&gt;"",VALUE(Y159),""),"")</f>
        <v/>
      </c>
      <c r="AR159" s="47"/>
      <c r="AS159" s="47"/>
      <c r="AT159" s="47"/>
      <c r="AU159" s="47"/>
      <c r="AV159" s="46" t="str">
        <f aca="false">IFERROR(IF(T159&lt;&gt;"",VALUE(T159),""),"")</f>
        <v/>
      </c>
      <c r="AW159" s="46" t="str">
        <f aca="false">IFERROR(IF(N159="","",IF(OR(ISNUMBER(SEARCH("grant",N159)),ISNUMBER(SEARCH("B",AC159))),"Granted",IF(OR(ISNUMBER(SEARCH("pend",N159)),ISNUMBER(SEARCH("A",AC159))),"Pending",IF(ISNUMBER(SEARCH("expir",N159)),"Expired",N159)))),"")</f>
        <v/>
      </c>
      <c r="AX159" s="47"/>
      <c r="AY159" s="46" t="str">
        <f aca="true">IFERROR(IF(M159&lt;&gt;"",ROUND(VALUE(M159),1),IF(L159&lt;&gt;"",ROUND(MAX(0,(DATEVALUE(TEXT(L159,"YYYY-MM-DD"))-TODAY())/365.25),1),"")),"")</f>
        <v/>
      </c>
      <c r="AZ159" s="46" t="str">
        <f aca="false">IFERROR(IF(O159&lt;&gt;"",O159,""),"")</f>
        <v/>
      </c>
      <c r="BA159" s="46" t="str">
        <f aca="false">IFERROR(IF(U159&lt;&gt;"",SUBSTITUTE(SUBSTITUTE(U159,"; ",", "),";",","),""),"")</f>
        <v/>
      </c>
      <c r="BB159" s="47"/>
      <c r="BC159" s="47"/>
      <c r="BD159" s="47"/>
      <c r="BE159" s="47"/>
      <c r="BF159" s="47"/>
      <c r="BG159" s="47"/>
      <c r="BH159" s="47"/>
      <c r="BI159" s="47"/>
      <c r="BJ159" s="47"/>
      <c r="BK159" s="46" t="str">
        <f aca="false">IFERROR(IF(W159&lt;&gt;"",VALUE(W159),""),"")</f>
        <v/>
      </c>
      <c r="BL159" s="46" t="str">
        <f aca="false">IFERROR(IF(X159&lt;&gt;"",VALUE(X159),""),"")</f>
        <v/>
      </c>
      <c r="BM159" s="46" t="str">
        <f aca="false">IFERROR(IF(AD159="","None",IF(ISNUMBER(SEARCH("surv",AD159)),"Survived",IF(ISNUMBER(SEARCH("pend",AD159)),"Pending",IF(ISNUMBER(SEARCH("yes",AD159)),"Pending","None")))),"None")</f>
        <v>None</v>
      </c>
      <c r="BN159" s="47"/>
      <c r="BO159" s="47"/>
      <c r="BP159" s="47"/>
      <c r="BQ159" s="47"/>
      <c r="BR159" s="47"/>
      <c r="BS159" s="47"/>
      <c r="BT159" s="47"/>
      <c r="BU159" s="48" t="n">
        <f aca="false">IFERROR(COUNTA(AE159:BT159)/42,0)</f>
        <v>0.30952380952381</v>
      </c>
      <c r="BV159" s="49"/>
      <c r="BW159" s="50" t="b">
        <f aca="false">IF(Configuration!$C$10="No","",IFERROR(IF(AG159&lt;&gt;"",TRUE(),FALSE()),FALSE()))</f>
        <v>0</v>
      </c>
      <c r="BX159" s="50" t="b">
        <f aca="false">IF(Configuration!$C$11="No","",IFERROR(IF(AND(N(AL159)&gt;=Configuration!$C$44,AM159&lt;&gt;""),TRUE(),FALSE()),FALSE()))</f>
        <v>0</v>
      </c>
      <c r="BY159" s="50" t="b">
        <f aca="false">IF(Configuration!$C$12="No","",IFERROR(IF(AJ159&lt;&gt;"",TRUE(),FALSE()),FALSE()))</f>
        <v>0</v>
      </c>
      <c r="BZ159" s="50" t="b">
        <f aca="false">IF(Configuration!$C$13="No","",IFERROR(IF(AI159&lt;&gt;"",TRUE(),FALSE()),FALSE()))</f>
        <v>0</v>
      </c>
      <c r="CA159" s="50" t="b">
        <f aca="false">IF(Configuration!$C$14="No","",IFERROR(IF(AK159&lt;&gt;"",TRUE(),FALSE()),FALSE()))</f>
        <v>0</v>
      </c>
      <c r="CB159" s="50" t="b">
        <f aca="false">IF(Configuration!$C$15="No","",IFERROR(IF(AND(OR(ISNUMBER(SEARCH("process",AG159)),ISNUMBER(SEARCH("fab",AG159)),ISNUMBER(SEARCH("manufac",AG159))),AO159="Method"),TRUE(),FALSE()),FALSE()))</f>
        <v>0</v>
      </c>
      <c r="CC159" s="50" t="b">
        <f aca="false">IF(Configuration!$C$16="No","",IFERROR(IF(AND(OR(ISNUMBER(SEARCH("material",AG159)),ISNUMBER(SEARCH("chem",AG159)),ISNUMBER(SEARCH("battery",AG159)),ISNUMBER(SEARCH("electrolyte",AG159)),ISNUMBER(SEARCH("polymer",AG159))),OR(AO159="Apparatus",AO159="Method")),TRUE(),FALSE()),FALSE()))</f>
        <v>0</v>
      </c>
      <c r="CD159" s="50" t="b">
        <f aca="false">IF(Configuration!$C$17="No","",IFERROR(IF(AND(OR(AI159="App",AI159="Middleware",AI159="Cloud"),OR(AO159="Method",AO159="CRM")),TRUE(),FALSE()),FALSE()))</f>
        <v>0</v>
      </c>
      <c r="CE159" s="50" t="b">
        <f aca="false">IF(Configuration!$C$18="No","",IFERROR(IF(N(AN159)&gt;=Configuration!$C$45,TRUE(),FALSE()),FALSE()))</f>
        <v>0</v>
      </c>
      <c r="CF159" s="50" t="b">
        <f aca="false">IF(Configuration!$C$19="No","",IFERROR(IF(BE159&lt;&gt;"",TRUE(),FALSE()),FALSE()))</f>
        <v>0</v>
      </c>
      <c r="CG159" s="50" t="b">
        <f aca="false">IF(Configuration!$C$20="No","",IFERROR(IF(AO159&lt;&gt;"",TRUE(),FALSE()),FALSE()))</f>
        <v>0</v>
      </c>
      <c r="CH159" s="50" t="b">
        <f aca="false">IF(Configuration!$C$21="No","",IFERROR(IF(OR(N(AS159)&gt;=Configuration!$C$46,N(AT159)&gt;=Configuration!$C$47),TRUE(),FALSE()),FALSE()))</f>
        <v>0</v>
      </c>
      <c r="CI159" s="50" t="b">
        <f aca="false">IF(Configuration!$C$22="No","",IFERROR(IF(BB159="Yes",TRUE(),FALSE()),FALSE()))</f>
        <v>0</v>
      </c>
      <c r="CJ159" s="50" t="b">
        <f aca="false">IF(Configuration!$C$23="No","",IFERROR(IF(N(AV159)&gt;=Configuration!$C$48,TRUE(),FALSE()),FALSE()))</f>
        <v>0</v>
      </c>
      <c r="CK159" s="50" t="b">
        <f aca="false">IF(Configuration!$C$24="No","",IFERROR(IF(N(AY159)&gt;0,TRUE(),FALSE()),FALSE()))</f>
        <v>0</v>
      </c>
      <c r="CL159" s="50" t="b">
        <f aca="false">IF(Configuration!$C$25="No","",IFERROR(IF(OR(N(AP159)=3,N(AP159)&lt;=1),TRUE(),FALSE()),FALSE()))</f>
        <v>1</v>
      </c>
      <c r="CM159" s="50" t="b">
        <f aca="false">IF(Configuration!$C$26="No","",IFERROR(IF(N(BF159)&gt;=Configuration!$C$49,TRUE(),FALSE()),FALSE()))</f>
        <v>0</v>
      </c>
      <c r="CN159" s="50" t="b">
        <f aca="false">IF(Configuration!$C$27="No","",IFERROR(IF(BD159&lt;&gt;"",TRUE(),FALSE()),FALSE()))</f>
        <v>0</v>
      </c>
      <c r="CO159" s="50" t="b">
        <f aca="false">IF(Configuration!$C$28="No","",IFERROR(IF(N(AU159)&gt;=Configuration!$C$50,TRUE(),FALSE()),FALSE()))</f>
        <v>0</v>
      </c>
      <c r="CP159" s="50" t="b">
        <f aca="false">IF(Configuration!$C$29="No","",IFERROR(IF(AND(N(AR159)&gt;=Configuration!$C$51,AG159&lt;&gt;""),TRUE(),FALSE()),FALSE()))</f>
        <v>0</v>
      </c>
      <c r="CQ159" s="50" t="b">
        <f aca="false">IF(Configuration!$C$30="No","",IFERROR(IF(OR(AW159="Pending",AX159="Yes"),TRUE(),FALSE()),FALSE()))</f>
        <v>0</v>
      </c>
      <c r="CR159" s="50" t="b">
        <f aca="false">IF(Configuration!$C$31="No","",IFERROR(IF(AND(N(BG159)&gt;=Configuration!$C$52,N(AP159)&gt;=1),TRUE(),FALSE()),FALSE()))</f>
        <v>0</v>
      </c>
      <c r="CS159" s="50" t="b">
        <f aca="false">IF(Configuration!$C$32="No","",IFERROR(IF(AND(N(AR159)&gt;=1,OR(AG159&lt;&gt;"",AM159&lt;&gt;"")),TRUE(),FALSE()),FALSE()))</f>
        <v>0</v>
      </c>
      <c r="CT159" s="50" t="b">
        <f aca="false">IF(Configuration!$C$33="No","",IFERROR(IF(AG159&lt;&gt;"",TRUE(),FALSE()),FALSE()))</f>
        <v>0</v>
      </c>
      <c r="CU159" s="50" t="b">
        <f aca="false">IF(Configuration!$C$34="No","",IFERROR(IF(AX159="Yes",TRUE(),FALSE()),FALSE()))</f>
        <v>0</v>
      </c>
      <c r="CV159" s="50" t="b">
        <f aca="false">IF(Configuration!$C$35="No","",IFERROR(IF(OR(BO159="Partial",BO159="Full"),TRUE(),FALSE()),FALSE()))</f>
        <v>0</v>
      </c>
      <c r="CW159" s="50" t="b">
        <f aca="false">IF(Configuration!$C$36="No","",IFERROR(IF(BM159="Survived",TRUE(),FALSE()),FALSE()))</f>
        <v>0</v>
      </c>
      <c r="CX159" s="50" t="b">
        <f aca="false">IF(Configuration!$C$37="No","",IFERROR(IF(AND(BN159="Clean",BP159="None"),TRUE(),FALSE()),FALSE()))</f>
        <v>0</v>
      </c>
      <c r="CY159" s="50" t="b">
        <f aca="false">IF(Configuration!$C$38="No","",IFERROR(IF(N(BK159)&gt;=Configuration!$C$53,TRUE(),FALSE()),FALSE()))</f>
        <v>0</v>
      </c>
      <c r="CZ159" s="50" t="b">
        <f aca="false">IF(Configuration!$C$39="No","",IFERROR(IF(AND(N(BS159)&gt;=2,N(BF159)&gt;=2),TRUE(),FALSE()),FALSE()))</f>
        <v>0</v>
      </c>
      <c r="DA159" s="50" t="b">
        <f aca="false">IF(Configuration!$C$40="No","",IFERROR(IF(OR(N(BG159)&lt;=Configuration!$C$56,N(AY159)&lt;Configuration!$C$57,N(BH159)&lt;=Configuration!$C$58),TRUE(),FALSE()),FALSE()))</f>
        <v>1</v>
      </c>
      <c r="DB159" s="50" t="b">
        <f aca="false">IF(Configuration!$C$41="No","",IFERROR(IF(AND(N(AY159)&gt;=Configuration!$C$54,N(AY159)&lt;=Configuration!$C$55),TRUE(),FALSE()),FALSE()))</f>
        <v>0</v>
      </c>
      <c r="DC159" s="50" t="b">
        <f aca="false">IF(Configuration!$C$42="No","",IFERROR(IF(AND(AG159&lt;&gt;"",AJ159&lt;&gt;""),TRUE(),FALSE()),FALSE()))</f>
        <v>0</v>
      </c>
      <c r="DD159" s="51" t="n">
        <f aca="false">COUNTIF(BW159:DC159,TRUE())</f>
        <v>2</v>
      </c>
    </row>
    <row r="160" customFormat="false" ht="15" hidden="false" customHeight="true" outlineLevel="0" collapsed="false">
      <c r="A160" s="18" t="n">
        <v>121</v>
      </c>
      <c r="B160" s="44"/>
      <c r="C160" s="44"/>
      <c r="D160" s="44"/>
      <c r="E160" s="44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6" t="str">
        <f aca="false">IFERROR(IF(F160&lt;&gt;"",F160,""),"")</f>
        <v/>
      </c>
      <c r="AF160" s="46" t="str">
        <f aca="false">IFERROR(IF(G160&lt;&gt;"",G160,""),"")</f>
        <v/>
      </c>
      <c r="AG160" s="46" t="str">
        <f aca="false">IFERROR(IF(AA160&lt;&gt;"",AA160,IF(R160&lt;&gt;"",R160,"")),"")</f>
        <v/>
      </c>
      <c r="AH160" s="46" t="str">
        <f aca="false">IFERROR(IF(AB160&lt;&gt;"",AB160,IF(S160&lt;&gt;"",S160,"")),"")</f>
        <v/>
      </c>
      <c r="AI160" s="47"/>
      <c r="AJ160" s="47"/>
      <c r="AK160" s="47"/>
      <c r="AL160" s="47"/>
      <c r="AM160" s="47"/>
      <c r="AN160" s="47"/>
      <c r="AO160" s="47"/>
      <c r="AP160" s="47"/>
      <c r="AQ160" s="46" t="str">
        <f aca="false">IFERROR(IF(Y160&lt;&gt;"",VALUE(Y160),""),"")</f>
        <v/>
      </c>
      <c r="AR160" s="47"/>
      <c r="AS160" s="47"/>
      <c r="AT160" s="47"/>
      <c r="AU160" s="47"/>
      <c r="AV160" s="46" t="str">
        <f aca="false">IFERROR(IF(T160&lt;&gt;"",VALUE(T160),""),"")</f>
        <v/>
      </c>
      <c r="AW160" s="46" t="str">
        <f aca="false">IFERROR(IF(N160="","",IF(OR(ISNUMBER(SEARCH("grant",N160)),ISNUMBER(SEARCH("B",AC160))),"Granted",IF(OR(ISNUMBER(SEARCH("pend",N160)),ISNUMBER(SEARCH("A",AC160))),"Pending",IF(ISNUMBER(SEARCH("expir",N160)),"Expired",N160)))),"")</f>
        <v/>
      </c>
      <c r="AX160" s="47"/>
      <c r="AY160" s="46" t="str">
        <f aca="true">IFERROR(IF(M160&lt;&gt;"",ROUND(VALUE(M160),1),IF(L160&lt;&gt;"",ROUND(MAX(0,(DATEVALUE(TEXT(L160,"YYYY-MM-DD"))-TODAY())/365.25),1),"")),"")</f>
        <v/>
      </c>
      <c r="AZ160" s="46" t="str">
        <f aca="false">IFERROR(IF(O160&lt;&gt;"",O160,""),"")</f>
        <v/>
      </c>
      <c r="BA160" s="46" t="str">
        <f aca="false">IFERROR(IF(U160&lt;&gt;"",SUBSTITUTE(SUBSTITUTE(U160,"; ",", "),";",","),""),"")</f>
        <v/>
      </c>
      <c r="BB160" s="47"/>
      <c r="BC160" s="47"/>
      <c r="BD160" s="47"/>
      <c r="BE160" s="47"/>
      <c r="BF160" s="47"/>
      <c r="BG160" s="47"/>
      <c r="BH160" s="47"/>
      <c r="BI160" s="47"/>
      <c r="BJ160" s="47"/>
      <c r="BK160" s="46" t="str">
        <f aca="false">IFERROR(IF(W160&lt;&gt;"",VALUE(W160),""),"")</f>
        <v/>
      </c>
      <c r="BL160" s="46" t="str">
        <f aca="false">IFERROR(IF(X160&lt;&gt;"",VALUE(X160),""),"")</f>
        <v/>
      </c>
      <c r="BM160" s="46" t="str">
        <f aca="false">IFERROR(IF(AD160="","None",IF(ISNUMBER(SEARCH("surv",AD160)),"Survived",IF(ISNUMBER(SEARCH("pend",AD160)),"Pending",IF(ISNUMBER(SEARCH("yes",AD160)),"Pending","None")))),"None")</f>
        <v>None</v>
      </c>
      <c r="BN160" s="47"/>
      <c r="BO160" s="47"/>
      <c r="BP160" s="47"/>
      <c r="BQ160" s="47"/>
      <c r="BR160" s="47"/>
      <c r="BS160" s="47"/>
      <c r="BT160" s="47"/>
      <c r="BU160" s="48" t="n">
        <f aca="false">IFERROR(COUNTA(AE160:BT160)/42,0)</f>
        <v>0.30952380952381</v>
      </c>
      <c r="BV160" s="49"/>
      <c r="BW160" s="50" t="b">
        <f aca="false">IF(Configuration!$C$10="No","",IFERROR(IF(AG160&lt;&gt;"",TRUE(),FALSE()),FALSE()))</f>
        <v>0</v>
      </c>
      <c r="BX160" s="50" t="b">
        <f aca="false">IF(Configuration!$C$11="No","",IFERROR(IF(AND(N(AL160)&gt;=Configuration!$C$44,AM160&lt;&gt;""),TRUE(),FALSE()),FALSE()))</f>
        <v>0</v>
      </c>
      <c r="BY160" s="50" t="b">
        <f aca="false">IF(Configuration!$C$12="No","",IFERROR(IF(AJ160&lt;&gt;"",TRUE(),FALSE()),FALSE()))</f>
        <v>0</v>
      </c>
      <c r="BZ160" s="50" t="b">
        <f aca="false">IF(Configuration!$C$13="No","",IFERROR(IF(AI160&lt;&gt;"",TRUE(),FALSE()),FALSE()))</f>
        <v>0</v>
      </c>
      <c r="CA160" s="50" t="b">
        <f aca="false">IF(Configuration!$C$14="No","",IFERROR(IF(AK160&lt;&gt;"",TRUE(),FALSE()),FALSE()))</f>
        <v>0</v>
      </c>
      <c r="CB160" s="50" t="b">
        <f aca="false">IF(Configuration!$C$15="No","",IFERROR(IF(AND(OR(ISNUMBER(SEARCH("process",AG160)),ISNUMBER(SEARCH("fab",AG160)),ISNUMBER(SEARCH("manufac",AG160))),AO160="Method"),TRUE(),FALSE()),FALSE()))</f>
        <v>0</v>
      </c>
      <c r="CC160" s="50" t="b">
        <f aca="false">IF(Configuration!$C$16="No","",IFERROR(IF(AND(OR(ISNUMBER(SEARCH("material",AG160)),ISNUMBER(SEARCH("chem",AG160)),ISNUMBER(SEARCH("battery",AG160)),ISNUMBER(SEARCH("electrolyte",AG160)),ISNUMBER(SEARCH("polymer",AG160))),OR(AO160="Apparatus",AO160="Method")),TRUE(),FALSE()),FALSE()))</f>
        <v>0</v>
      </c>
      <c r="CD160" s="50" t="b">
        <f aca="false">IF(Configuration!$C$17="No","",IFERROR(IF(AND(OR(AI160="App",AI160="Middleware",AI160="Cloud"),OR(AO160="Method",AO160="CRM")),TRUE(),FALSE()),FALSE()))</f>
        <v>0</v>
      </c>
      <c r="CE160" s="50" t="b">
        <f aca="false">IF(Configuration!$C$18="No","",IFERROR(IF(N(AN160)&gt;=Configuration!$C$45,TRUE(),FALSE()),FALSE()))</f>
        <v>0</v>
      </c>
      <c r="CF160" s="50" t="b">
        <f aca="false">IF(Configuration!$C$19="No","",IFERROR(IF(BE160&lt;&gt;"",TRUE(),FALSE()),FALSE()))</f>
        <v>0</v>
      </c>
      <c r="CG160" s="50" t="b">
        <f aca="false">IF(Configuration!$C$20="No","",IFERROR(IF(AO160&lt;&gt;"",TRUE(),FALSE()),FALSE()))</f>
        <v>0</v>
      </c>
      <c r="CH160" s="50" t="b">
        <f aca="false">IF(Configuration!$C$21="No","",IFERROR(IF(OR(N(AS160)&gt;=Configuration!$C$46,N(AT160)&gt;=Configuration!$C$47),TRUE(),FALSE()),FALSE()))</f>
        <v>0</v>
      </c>
      <c r="CI160" s="50" t="b">
        <f aca="false">IF(Configuration!$C$22="No","",IFERROR(IF(BB160="Yes",TRUE(),FALSE()),FALSE()))</f>
        <v>0</v>
      </c>
      <c r="CJ160" s="50" t="b">
        <f aca="false">IF(Configuration!$C$23="No","",IFERROR(IF(N(AV160)&gt;=Configuration!$C$48,TRUE(),FALSE()),FALSE()))</f>
        <v>0</v>
      </c>
      <c r="CK160" s="50" t="b">
        <f aca="false">IF(Configuration!$C$24="No","",IFERROR(IF(N(AY160)&gt;0,TRUE(),FALSE()),FALSE()))</f>
        <v>0</v>
      </c>
      <c r="CL160" s="50" t="b">
        <f aca="false">IF(Configuration!$C$25="No","",IFERROR(IF(OR(N(AP160)=3,N(AP160)&lt;=1),TRUE(),FALSE()),FALSE()))</f>
        <v>1</v>
      </c>
      <c r="CM160" s="50" t="b">
        <f aca="false">IF(Configuration!$C$26="No","",IFERROR(IF(N(BF160)&gt;=Configuration!$C$49,TRUE(),FALSE()),FALSE()))</f>
        <v>0</v>
      </c>
      <c r="CN160" s="50" t="b">
        <f aca="false">IF(Configuration!$C$27="No","",IFERROR(IF(BD160&lt;&gt;"",TRUE(),FALSE()),FALSE()))</f>
        <v>0</v>
      </c>
      <c r="CO160" s="50" t="b">
        <f aca="false">IF(Configuration!$C$28="No","",IFERROR(IF(N(AU160)&gt;=Configuration!$C$50,TRUE(),FALSE()),FALSE()))</f>
        <v>0</v>
      </c>
      <c r="CP160" s="50" t="b">
        <f aca="false">IF(Configuration!$C$29="No","",IFERROR(IF(AND(N(AR160)&gt;=Configuration!$C$51,AG160&lt;&gt;""),TRUE(),FALSE()),FALSE()))</f>
        <v>0</v>
      </c>
      <c r="CQ160" s="50" t="b">
        <f aca="false">IF(Configuration!$C$30="No","",IFERROR(IF(OR(AW160="Pending",AX160="Yes"),TRUE(),FALSE()),FALSE()))</f>
        <v>0</v>
      </c>
      <c r="CR160" s="50" t="b">
        <f aca="false">IF(Configuration!$C$31="No","",IFERROR(IF(AND(N(BG160)&gt;=Configuration!$C$52,N(AP160)&gt;=1),TRUE(),FALSE()),FALSE()))</f>
        <v>0</v>
      </c>
      <c r="CS160" s="50" t="b">
        <f aca="false">IF(Configuration!$C$32="No","",IFERROR(IF(AND(N(AR160)&gt;=1,OR(AG160&lt;&gt;"",AM160&lt;&gt;"")),TRUE(),FALSE()),FALSE()))</f>
        <v>0</v>
      </c>
      <c r="CT160" s="50" t="b">
        <f aca="false">IF(Configuration!$C$33="No","",IFERROR(IF(AG160&lt;&gt;"",TRUE(),FALSE()),FALSE()))</f>
        <v>0</v>
      </c>
      <c r="CU160" s="50" t="b">
        <f aca="false">IF(Configuration!$C$34="No","",IFERROR(IF(AX160="Yes",TRUE(),FALSE()),FALSE()))</f>
        <v>0</v>
      </c>
      <c r="CV160" s="50" t="b">
        <f aca="false">IF(Configuration!$C$35="No","",IFERROR(IF(OR(BO160="Partial",BO160="Full"),TRUE(),FALSE()),FALSE()))</f>
        <v>0</v>
      </c>
      <c r="CW160" s="50" t="b">
        <f aca="false">IF(Configuration!$C$36="No","",IFERROR(IF(BM160="Survived",TRUE(),FALSE()),FALSE()))</f>
        <v>0</v>
      </c>
      <c r="CX160" s="50" t="b">
        <f aca="false">IF(Configuration!$C$37="No","",IFERROR(IF(AND(BN160="Clean",BP160="None"),TRUE(),FALSE()),FALSE()))</f>
        <v>0</v>
      </c>
      <c r="CY160" s="50" t="b">
        <f aca="false">IF(Configuration!$C$38="No","",IFERROR(IF(N(BK160)&gt;=Configuration!$C$53,TRUE(),FALSE()),FALSE()))</f>
        <v>0</v>
      </c>
      <c r="CZ160" s="50" t="b">
        <f aca="false">IF(Configuration!$C$39="No","",IFERROR(IF(AND(N(BS160)&gt;=2,N(BF160)&gt;=2),TRUE(),FALSE()),FALSE()))</f>
        <v>0</v>
      </c>
      <c r="DA160" s="50" t="b">
        <f aca="false">IF(Configuration!$C$40="No","",IFERROR(IF(OR(N(BG160)&lt;=Configuration!$C$56,N(AY160)&lt;Configuration!$C$57,N(BH160)&lt;=Configuration!$C$58),TRUE(),FALSE()),FALSE()))</f>
        <v>1</v>
      </c>
      <c r="DB160" s="50" t="b">
        <f aca="false">IF(Configuration!$C$41="No","",IFERROR(IF(AND(N(AY160)&gt;=Configuration!$C$54,N(AY160)&lt;=Configuration!$C$55),TRUE(),FALSE()),FALSE()))</f>
        <v>0</v>
      </c>
      <c r="DC160" s="50" t="b">
        <f aca="false">IF(Configuration!$C$42="No","",IFERROR(IF(AND(AG160&lt;&gt;"",AJ160&lt;&gt;""),TRUE(),FALSE()),FALSE()))</f>
        <v>0</v>
      </c>
      <c r="DD160" s="51" t="n">
        <f aca="false">COUNTIF(BW160:DC160,TRUE())</f>
        <v>2</v>
      </c>
    </row>
    <row r="161" customFormat="false" ht="15" hidden="false" customHeight="true" outlineLevel="0" collapsed="false">
      <c r="A161" s="18" t="n">
        <v>122</v>
      </c>
      <c r="B161" s="44"/>
      <c r="C161" s="44"/>
      <c r="D161" s="44"/>
      <c r="E161" s="44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6" t="str">
        <f aca="false">IFERROR(IF(F161&lt;&gt;"",F161,""),"")</f>
        <v/>
      </c>
      <c r="AF161" s="46" t="str">
        <f aca="false">IFERROR(IF(G161&lt;&gt;"",G161,""),"")</f>
        <v/>
      </c>
      <c r="AG161" s="46" t="str">
        <f aca="false">IFERROR(IF(AA161&lt;&gt;"",AA161,IF(R161&lt;&gt;"",R161,"")),"")</f>
        <v/>
      </c>
      <c r="AH161" s="46" t="str">
        <f aca="false">IFERROR(IF(AB161&lt;&gt;"",AB161,IF(S161&lt;&gt;"",S161,"")),"")</f>
        <v/>
      </c>
      <c r="AI161" s="47"/>
      <c r="AJ161" s="47"/>
      <c r="AK161" s="47"/>
      <c r="AL161" s="47"/>
      <c r="AM161" s="47"/>
      <c r="AN161" s="47"/>
      <c r="AO161" s="47"/>
      <c r="AP161" s="47"/>
      <c r="AQ161" s="46" t="str">
        <f aca="false">IFERROR(IF(Y161&lt;&gt;"",VALUE(Y161),""),"")</f>
        <v/>
      </c>
      <c r="AR161" s="47"/>
      <c r="AS161" s="47"/>
      <c r="AT161" s="47"/>
      <c r="AU161" s="47"/>
      <c r="AV161" s="46" t="str">
        <f aca="false">IFERROR(IF(T161&lt;&gt;"",VALUE(T161),""),"")</f>
        <v/>
      </c>
      <c r="AW161" s="46" t="str">
        <f aca="false">IFERROR(IF(N161="","",IF(OR(ISNUMBER(SEARCH("grant",N161)),ISNUMBER(SEARCH("B",AC161))),"Granted",IF(OR(ISNUMBER(SEARCH("pend",N161)),ISNUMBER(SEARCH("A",AC161))),"Pending",IF(ISNUMBER(SEARCH("expir",N161)),"Expired",N161)))),"")</f>
        <v/>
      </c>
      <c r="AX161" s="47"/>
      <c r="AY161" s="46" t="str">
        <f aca="true">IFERROR(IF(M161&lt;&gt;"",ROUND(VALUE(M161),1),IF(L161&lt;&gt;"",ROUND(MAX(0,(DATEVALUE(TEXT(L161,"YYYY-MM-DD"))-TODAY())/365.25),1),"")),"")</f>
        <v/>
      </c>
      <c r="AZ161" s="46" t="str">
        <f aca="false">IFERROR(IF(O161&lt;&gt;"",O161,""),"")</f>
        <v/>
      </c>
      <c r="BA161" s="46" t="str">
        <f aca="false">IFERROR(IF(U161&lt;&gt;"",SUBSTITUTE(SUBSTITUTE(U161,"; ",", "),";",","),""),"")</f>
        <v/>
      </c>
      <c r="BB161" s="47"/>
      <c r="BC161" s="47"/>
      <c r="BD161" s="47"/>
      <c r="BE161" s="47"/>
      <c r="BF161" s="47"/>
      <c r="BG161" s="47"/>
      <c r="BH161" s="47"/>
      <c r="BI161" s="47"/>
      <c r="BJ161" s="47"/>
      <c r="BK161" s="46" t="str">
        <f aca="false">IFERROR(IF(W161&lt;&gt;"",VALUE(W161),""),"")</f>
        <v/>
      </c>
      <c r="BL161" s="46" t="str">
        <f aca="false">IFERROR(IF(X161&lt;&gt;"",VALUE(X161),""),"")</f>
        <v/>
      </c>
      <c r="BM161" s="46" t="str">
        <f aca="false">IFERROR(IF(AD161="","None",IF(ISNUMBER(SEARCH("surv",AD161)),"Survived",IF(ISNUMBER(SEARCH("pend",AD161)),"Pending",IF(ISNUMBER(SEARCH("yes",AD161)),"Pending","None")))),"None")</f>
        <v>None</v>
      </c>
      <c r="BN161" s="47"/>
      <c r="BO161" s="47"/>
      <c r="BP161" s="47"/>
      <c r="BQ161" s="47"/>
      <c r="BR161" s="47"/>
      <c r="BS161" s="47"/>
      <c r="BT161" s="47"/>
      <c r="BU161" s="48" t="n">
        <f aca="false">IFERROR(COUNTA(AE161:BT161)/42,0)</f>
        <v>0.30952380952381</v>
      </c>
      <c r="BV161" s="49"/>
      <c r="BW161" s="50" t="b">
        <f aca="false">IF(Configuration!$C$10="No","",IFERROR(IF(AG161&lt;&gt;"",TRUE(),FALSE()),FALSE()))</f>
        <v>0</v>
      </c>
      <c r="BX161" s="50" t="b">
        <f aca="false">IF(Configuration!$C$11="No","",IFERROR(IF(AND(N(AL161)&gt;=Configuration!$C$44,AM161&lt;&gt;""),TRUE(),FALSE()),FALSE()))</f>
        <v>0</v>
      </c>
      <c r="BY161" s="50" t="b">
        <f aca="false">IF(Configuration!$C$12="No","",IFERROR(IF(AJ161&lt;&gt;"",TRUE(),FALSE()),FALSE()))</f>
        <v>0</v>
      </c>
      <c r="BZ161" s="50" t="b">
        <f aca="false">IF(Configuration!$C$13="No","",IFERROR(IF(AI161&lt;&gt;"",TRUE(),FALSE()),FALSE()))</f>
        <v>0</v>
      </c>
      <c r="CA161" s="50" t="b">
        <f aca="false">IF(Configuration!$C$14="No","",IFERROR(IF(AK161&lt;&gt;"",TRUE(),FALSE()),FALSE()))</f>
        <v>0</v>
      </c>
      <c r="CB161" s="50" t="b">
        <f aca="false">IF(Configuration!$C$15="No","",IFERROR(IF(AND(OR(ISNUMBER(SEARCH("process",AG161)),ISNUMBER(SEARCH("fab",AG161)),ISNUMBER(SEARCH("manufac",AG161))),AO161="Method"),TRUE(),FALSE()),FALSE()))</f>
        <v>0</v>
      </c>
      <c r="CC161" s="50" t="b">
        <f aca="false">IF(Configuration!$C$16="No","",IFERROR(IF(AND(OR(ISNUMBER(SEARCH("material",AG161)),ISNUMBER(SEARCH("chem",AG161)),ISNUMBER(SEARCH("battery",AG161)),ISNUMBER(SEARCH("electrolyte",AG161)),ISNUMBER(SEARCH("polymer",AG161))),OR(AO161="Apparatus",AO161="Method")),TRUE(),FALSE()),FALSE()))</f>
        <v>0</v>
      </c>
      <c r="CD161" s="50" t="b">
        <f aca="false">IF(Configuration!$C$17="No","",IFERROR(IF(AND(OR(AI161="App",AI161="Middleware",AI161="Cloud"),OR(AO161="Method",AO161="CRM")),TRUE(),FALSE()),FALSE()))</f>
        <v>0</v>
      </c>
      <c r="CE161" s="50" t="b">
        <f aca="false">IF(Configuration!$C$18="No","",IFERROR(IF(N(AN161)&gt;=Configuration!$C$45,TRUE(),FALSE()),FALSE()))</f>
        <v>0</v>
      </c>
      <c r="CF161" s="50" t="b">
        <f aca="false">IF(Configuration!$C$19="No","",IFERROR(IF(BE161&lt;&gt;"",TRUE(),FALSE()),FALSE()))</f>
        <v>0</v>
      </c>
      <c r="CG161" s="50" t="b">
        <f aca="false">IF(Configuration!$C$20="No","",IFERROR(IF(AO161&lt;&gt;"",TRUE(),FALSE()),FALSE()))</f>
        <v>0</v>
      </c>
      <c r="CH161" s="50" t="b">
        <f aca="false">IF(Configuration!$C$21="No","",IFERROR(IF(OR(N(AS161)&gt;=Configuration!$C$46,N(AT161)&gt;=Configuration!$C$47),TRUE(),FALSE()),FALSE()))</f>
        <v>0</v>
      </c>
      <c r="CI161" s="50" t="b">
        <f aca="false">IF(Configuration!$C$22="No","",IFERROR(IF(BB161="Yes",TRUE(),FALSE()),FALSE()))</f>
        <v>0</v>
      </c>
      <c r="CJ161" s="50" t="b">
        <f aca="false">IF(Configuration!$C$23="No","",IFERROR(IF(N(AV161)&gt;=Configuration!$C$48,TRUE(),FALSE()),FALSE()))</f>
        <v>0</v>
      </c>
      <c r="CK161" s="50" t="b">
        <f aca="false">IF(Configuration!$C$24="No","",IFERROR(IF(N(AY161)&gt;0,TRUE(),FALSE()),FALSE()))</f>
        <v>0</v>
      </c>
      <c r="CL161" s="50" t="b">
        <f aca="false">IF(Configuration!$C$25="No","",IFERROR(IF(OR(N(AP161)=3,N(AP161)&lt;=1),TRUE(),FALSE()),FALSE()))</f>
        <v>1</v>
      </c>
      <c r="CM161" s="50" t="b">
        <f aca="false">IF(Configuration!$C$26="No","",IFERROR(IF(N(BF161)&gt;=Configuration!$C$49,TRUE(),FALSE()),FALSE()))</f>
        <v>0</v>
      </c>
      <c r="CN161" s="50" t="b">
        <f aca="false">IF(Configuration!$C$27="No","",IFERROR(IF(BD161&lt;&gt;"",TRUE(),FALSE()),FALSE()))</f>
        <v>0</v>
      </c>
      <c r="CO161" s="50" t="b">
        <f aca="false">IF(Configuration!$C$28="No","",IFERROR(IF(N(AU161)&gt;=Configuration!$C$50,TRUE(),FALSE()),FALSE()))</f>
        <v>0</v>
      </c>
      <c r="CP161" s="50" t="b">
        <f aca="false">IF(Configuration!$C$29="No","",IFERROR(IF(AND(N(AR161)&gt;=Configuration!$C$51,AG161&lt;&gt;""),TRUE(),FALSE()),FALSE()))</f>
        <v>0</v>
      </c>
      <c r="CQ161" s="50" t="b">
        <f aca="false">IF(Configuration!$C$30="No","",IFERROR(IF(OR(AW161="Pending",AX161="Yes"),TRUE(),FALSE()),FALSE()))</f>
        <v>0</v>
      </c>
      <c r="CR161" s="50" t="b">
        <f aca="false">IF(Configuration!$C$31="No","",IFERROR(IF(AND(N(BG161)&gt;=Configuration!$C$52,N(AP161)&gt;=1),TRUE(),FALSE()),FALSE()))</f>
        <v>0</v>
      </c>
      <c r="CS161" s="50" t="b">
        <f aca="false">IF(Configuration!$C$32="No","",IFERROR(IF(AND(N(AR161)&gt;=1,OR(AG161&lt;&gt;"",AM161&lt;&gt;"")),TRUE(),FALSE()),FALSE()))</f>
        <v>0</v>
      </c>
      <c r="CT161" s="50" t="b">
        <f aca="false">IF(Configuration!$C$33="No","",IFERROR(IF(AG161&lt;&gt;"",TRUE(),FALSE()),FALSE()))</f>
        <v>0</v>
      </c>
      <c r="CU161" s="50" t="b">
        <f aca="false">IF(Configuration!$C$34="No","",IFERROR(IF(AX161="Yes",TRUE(),FALSE()),FALSE()))</f>
        <v>0</v>
      </c>
      <c r="CV161" s="50" t="b">
        <f aca="false">IF(Configuration!$C$35="No","",IFERROR(IF(OR(BO161="Partial",BO161="Full"),TRUE(),FALSE()),FALSE()))</f>
        <v>0</v>
      </c>
      <c r="CW161" s="50" t="b">
        <f aca="false">IF(Configuration!$C$36="No","",IFERROR(IF(BM161="Survived",TRUE(),FALSE()),FALSE()))</f>
        <v>0</v>
      </c>
      <c r="CX161" s="50" t="b">
        <f aca="false">IF(Configuration!$C$37="No","",IFERROR(IF(AND(BN161="Clean",BP161="None"),TRUE(),FALSE()),FALSE()))</f>
        <v>0</v>
      </c>
      <c r="CY161" s="50" t="b">
        <f aca="false">IF(Configuration!$C$38="No","",IFERROR(IF(N(BK161)&gt;=Configuration!$C$53,TRUE(),FALSE()),FALSE()))</f>
        <v>0</v>
      </c>
      <c r="CZ161" s="50" t="b">
        <f aca="false">IF(Configuration!$C$39="No","",IFERROR(IF(AND(N(BS161)&gt;=2,N(BF161)&gt;=2),TRUE(),FALSE()),FALSE()))</f>
        <v>0</v>
      </c>
      <c r="DA161" s="50" t="b">
        <f aca="false">IF(Configuration!$C$40="No","",IFERROR(IF(OR(N(BG161)&lt;=Configuration!$C$56,N(AY161)&lt;Configuration!$C$57,N(BH161)&lt;=Configuration!$C$58),TRUE(),FALSE()),FALSE()))</f>
        <v>1</v>
      </c>
      <c r="DB161" s="50" t="b">
        <f aca="false">IF(Configuration!$C$41="No","",IFERROR(IF(AND(N(AY161)&gt;=Configuration!$C$54,N(AY161)&lt;=Configuration!$C$55),TRUE(),FALSE()),FALSE()))</f>
        <v>0</v>
      </c>
      <c r="DC161" s="50" t="b">
        <f aca="false">IF(Configuration!$C$42="No","",IFERROR(IF(AND(AG161&lt;&gt;"",AJ161&lt;&gt;""),TRUE(),FALSE()),FALSE()))</f>
        <v>0</v>
      </c>
      <c r="DD161" s="51" t="n">
        <f aca="false">COUNTIF(BW161:DC161,TRUE())</f>
        <v>2</v>
      </c>
    </row>
    <row r="162" customFormat="false" ht="15" hidden="false" customHeight="true" outlineLevel="0" collapsed="false">
      <c r="A162" s="18" t="n">
        <v>123</v>
      </c>
      <c r="B162" s="44"/>
      <c r="C162" s="44"/>
      <c r="D162" s="44"/>
      <c r="E162" s="44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6" t="str">
        <f aca="false">IFERROR(IF(F162&lt;&gt;"",F162,""),"")</f>
        <v/>
      </c>
      <c r="AF162" s="46" t="str">
        <f aca="false">IFERROR(IF(G162&lt;&gt;"",G162,""),"")</f>
        <v/>
      </c>
      <c r="AG162" s="46" t="str">
        <f aca="false">IFERROR(IF(AA162&lt;&gt;"",AA162,IF(R162&lt;&gt;"",R162,"")),"")</f>
        <v/>
      </c>
      <c r="AH162" s="46" t="str">
        <f aca="false">IFERROR(IF(AB162&lt;&gt;"",AB162,IF(S162&lt;&gt;"",S162,"")),"")</f>
        <v/>
      </c>
      <c r="AI162" s="47"/>
      <c r="AJ162" s="47"/>
      <c r="AK162" s="47"/>
      <c r="AL162" s="47"/>
      <c r="AM162" s="47"/>
      <c r="AN162" s="47"/>
      <c r="AO162" s="47"/>
      <c r="AP162" s="47"/>
      <c r="AQ162" s="46" t="str">
        <f aca="false">IFERROR(IF(Y162&lt;&gt;"",VALUE(Y162),""),"")</f>
        <v/>
      </c>
      <c r="AR162" s="47"/>
      <c r="AS162" s="47"/>
      <c r="AT162" s="47"/>
      <c r="AU162" s="47"/>
      <c r="AV162" s="46" t="str">
        <f aca="false">IFERROR(IF(T162&lt;&gt;"",VALUE(T162),""),"")</f>
        <v/>
      </c>
      <c r="AW162" s="46" t="str">
        <f aca="false">IFERROR(IF(N162="","",IF(OR(ISNUMBER(SEARCH("grant",N162)),ISNUMBER(SEARCH("B",AC162))),"Granted",IF(OR(ISNUMBER(SEARCH("pend",N162)),ISNUMBER(SEARCH("A",AC162))),"Pending",IF(ISNUMBER(SEARCH("expir",N162)),"Expired",N162)))),"")</f>
        <v/>
      </c>
      <c r="AX162" s="47"/>
      <c r="AY162" s="46" t="str">
        <f aca="true">IFERROR(IF(M162&lt;&gt;"",ROUND(VALUE(M162),1),IF(L162&lt;&gt;"",ROUND(MAX(0,(DATEVALUE(TEXT(L162,"YYYY-MM-DD"))-TODAY())/365.25),1),"")),"")</f>
        <v/>
      </c>
      <c r="AZ162" s="46" t="str">
        <f aca="false">IFERROR(IF(O162&lt;&gt;"",O162,""),"")</f>
        <v/>
      </c>
      <c r="BA162" s="46" t="str">
        <f aca="false">IFERROR(IF(U162&lt;&gt;"",SUBSTITUTE(SUBSTITUTE(U162,"; ",", "),";",","),""),"")</f>
        <v/>
      </c>
      <c r="BB162" s="47"/>
      <c r="BC162" s="47"/>
      <c r="BD162" s="47"/>
      <c r="BE162" s="47"/>
      <c r="BF162" s="47"/>
      <c r="BG162" s="47"/>
      <c r="BH162" s="47"/>
      <c r="BI162" s="47"/>
      <c r="BJ162" s="47"/>
      <c r="BK162" s="46" t="str">
        <f aca="false">IFERROR(IF(W162&lt;&gt;"",VALUE(W162),""),"")</f>
        <v/>
      </c>
      <c r="BL162" s="46" t="str">
        <f aca="false">IFERROR(IF(X162&lt;&gt;"",VALUE(X162),""),"")</f>
        <v/>
      </c>
      <c r="BM162" s="46" t="str">
        <f aca="false">IFERROR(IF(AD162="","None",IF(ISNUMBER(SEARCH("surv",AD162)),"Survived",IF(ISNUMBER(SEARCH("pend",AD162)),"Pending",IF(ISNUMBER(SEARCH("yes",AD162)),"Pending","None")))),"None")</f>
        <v>None</v>
      </c>
      <c r="BN162" s="47"/>
      <c r="BO162" s="47"/>
      <c r="BP162" s="47"/>
      <c r="BQ162" s="47"/>
      <c r="BR162" s="47"/>
      <c r="BS162" s="47"/>
      <c r="BT162" s="47"/>
      <c r="BU162" s="48" t="n">
        <f aca="false">IFERROR(COUNTA(AE162:BT162)/42,0)</f>
        <v>0.30952380952381</v>
      </c>
      <c r="BV162" s="49"/>
      <c r="BW162" s="50" t="b">
        <f aca="false">IF(Configuration!$C$10="No","",IFERROR(IF(AG162&lt;&gt;"",TRUE(),FALSE()),FALSE()))</f>
        <v>0</v>
      </c>
      <c r="BX162" s="50" t="b">
        <f aca="false">IF(Configuration!$C$11="No","",IFERROR(IF(AND(N(AL162)&gt;=Configuration!$C$44,AM162&lt;&gt;""),TRUE(),FALSE()),FALSE()))</f>
        <v>0</v>
      </c>
      <c r="BY162" s="50" t="b">
        <f aca="false">IF(Configuration!$C$12="No","",IFERROR(IF(AJ162&lt;&gt;"",TRUE(),FALSE()),FALSE()))</f>
        <v>0</v>
      </c>
      <c r="BZ162" s="50" t="b">
        <f aca="false">IF(Configuration!$C$13="No","",IFERROR(IF(AI162&lt;&gt;"",TRUE(),FALSE()),FALSE()))</f>
        <v>0</v>
      </c>
      <c r="CA162" s="50" t="b">
        <f aca="false">IF(Configuration!$C$14="No","",IFERROR(IF(AK162&lt;&gt;"",TRUE(),FALSE()),FALSE()))</f>
        <v>0</v>
      </c>
      <c r="CB162" s="50" t="b">
        <f aca="false">IF(Configuration!$C$15="No","",IFERROR(IF(AND(OR(ISNUMBER(SEARCH("process",AG162)),ISNUMBER(SEARCH("fab",AG162)),ISNUMBER(SEARCH("manufac",AG162))),AO162="Method"),TRUE(),FALSE()),FALSE()))</f>
        <v>0</v>
      </c>
      <c r="CC162" s="50" t="b">
        <f aca="false">IF(Configuration!$C$16="No","",IFERROR(IF(AND(OR(ISNUMBER(SEARCH("material",AG162)),ISNUMBER(SEARCH("chem",AG162)),ISNUMBER(SEARCH("battery",AG162)),ISNUMBER(SEARCH("electrolyte",AG162)),ISNUMBER(SEARCH("polymer",AG162))),OR(AO162="Apparatus",AO162="Method")),TRUE(),FALSE()),FALSE()))</f>
        <v>0</v>
      </c>
      <c r="CD162" s="50" t="b">
        <f aca="false">IF(Configuration!$C$17="No","",IFERROR(IF(AND(OR(AI162="App",AI162="Middleware",AI162="Cloud"),OR(AO162="Method",AO162="CRM")),TRUE(),FALSE()),FALSE()))</f>
        <v>0</v>
      </c>
      <c r="CE162" s="50" t="b">
        <f aca="false">IF(Configuration!$C$18="No","",IFERROR(IF(N(AN162)&gt;=Configuration!$C$45,TRUE(),FALSE()),FALSE()))</f>
        <v>0</v>
      </c>
      <c r="CF162" s="50" t="b">
        <f aca="false">IF(Configuration!$C$19="No","",IFERROR(IF(BE162&lt;&gt;"",TRUE(),FALSE()),FALSE()))</f>
        <v>0</v>
      </c>
      <c r="CG162" s="50" t="b">
        <f aca="false">IF(Configuration!$C$20="No","",IFERROR(IF(AO162&lt;&gt;"",TRUE(),FALSE()),FALSE()))</f>
        <v>0</v>
      </c>
      <c r="CH162" s="50" t="b">
        <f aca="false">IF(Configuration!$C$21="No","",IFERROR(IF(OR(N(AS162)&gt;=Configuration!$C$46,N(AT162)&gt;=Configuration!$C$47),TRUE(),FALSE()),FALSE()))</f>
        <v>0</v>
      </c>
      <c r="CI162" s="50" t="b">
        <f aca="false">IF(Configuration!$C$22="No","",IFERROR(IF(BB162="Yes",TRUE(),FALSE()),FALSE()))</f>
        <v>0</v>
      </c>
      <c r="CJ162" s="50" t="b">
        <f aca="false">IF(Configuration!$C$23="No","",IFERROR(IF(N(AV162)&gt;=Configuration!$C$48,TRUE(),FALSE()),FALSE()))</f>
        <v>0</v>
      </c>
      <c r="CK162" s="50" t="b">
        <f aca="false">IF(Configuration!$C$24="No","",IFERROR(IF(N(AY162)&gt;0,TRUE(),FALSE()),FALSE()))</f>
        <v>0</v>
      </c>
      <c r="CL162" s="50" t="b">
        <f aca="false">IF(Configuration!$C$25="No","",IFERROR(IF(OR(N(AP162)=3,N(AP162)&lt;=1),TRUE(),FALSE()),FALSE()))</f>
        <v>1</v>
      </c>
      <c r="CM162" s="50" t="b">
        <f aca="false">IF(Configuration!$C$26="No","",IFERROR(IF(N(BF162)&gt;=Configuration!$C$49,TRUE(),FALSE()),FALSE()))</f>
        <v>0</v>
      </c>
      <c r="CN162" s="50" t="b">
        <f aca="false">IF(Configuration!$C$27="No","",IFERROR(IF(BD162&lt;&gt;"",TRUE(),FALSE()),FALSE()))</f>
        <v>0</v>
      </c>
      <c r="CO162" s="50" t="b">
        <f aca="false">IF(Configuration!$C$28="No","",IFERROR(IF(N(AU162)&gt;=Configuration!$C$50,TRUE(),FALSE()),FALSE()))</f>
        <v>0</v>
      </c>
      <c r="CP162" s="50" t="b">
        <f aca="false">IF(Configuration!$C$29="No","",IFERROR(IF(AND(N(AR162)&gt;=Configuration!$C$51,AG162&lt;&gt;""),TRUE(),FALSE()),FALSE()))</f>
        <v>0</v>
      </c>
      <c r="CQ162" s="50" t="b">
        <f aca="false">IF(Configuration!$C$30="No","",IFERROR(IF(OR(AW162="Pending",AX162="Yes"),TRUE(),FALSE()),FALSE()))</f>
        <v>0</v>
      </c>
      <c r="CR162" s="50" t="b">
        <f aca="false">IF(Configuration!$C$31="No","",IFERROR(IF(AND(N(BG162)&gt;=Configuration!$C$52,N(AP162)&gt;=1),TRUE(),FALSE()),FALSE()))</f>
        <v>0</v>
      </c>
      <c r="CS162" s="50" t="b">
        <f aca="false">IF(Configuration!$C$32="No","",IFERROR(IF(AND(N(AR162)&gt;=1,OR(AG162&lt;&gt;"",AM162&lt;&gt;"")),TRUE(),FALSE()),FALSE()))</f>
        <v>0</v>
      </c>
      <c r="CT162" s="50" t="b">
        <f aca="false">IF(Configuration!$C$33="No","",IFERROR(IF(AG162&lt;&gt;"",TRUE(),FALSE()),FALSE()))</f>
        <v>0</v>
      </c>
      <c r="CU162" s="50" t="b">
        <f aca="false">IF(Configuration!$C$34="No","",IFERROR(IF(AX162="Yes",TRUE(),FALSE()),FALSE()))</f>
        <v>0</v>
      </c>
      <c r="CV162" s="50" t="b">
        <f aca="false">IF(Configuration!$C$35="No","",IFERROR(IF(OR(BO162="Partial",BO162="Full"),TRUE(),FALSE()),FALSE()))</f>
        <v>0</v>
      </c>
      <c r="CW162" s="50" t="b">
        <f aca="false">IF(Configuration!$C$36="No","",IFERROR(IF(BM162="Survived",TRUE(),FALSE()),FALSE()))</f>
        <v>0</v>
      </c>
      <c r="CX162" s="50" t="b">
        <f aca="false">IF(Configuration!$C$37="No","",IFERROR(IF(AND(BN162="Clean",BP162="None"),TRUE(),FALSE()),FALSE()))</f>
        <v>0</v>
      </c>
      <c r="CY162" s="50" t="b">
        <f aca="false">IF(Configuration!$C$38="No","",IFERROR(IF(N(BK162)&gt;=Configuration!$C$53,TRUE(),FALSE()),FALSE()))</f>
        <v>0</v>
      </c>
      <c r="CZ162" s="50" t="b">
        <f aca="false">IF(Configuration!$C$39="No","",IFERROR(IF(AND(N(BS162)&gt;=2,N(BF162)&gt;=2),TRUE(),FALSE()),FALSE()))</f>
        <v>0</v>
      </c>
      <c r="DA162" s="50" t="b">
        <f aca="false">IF(Configuration!$C$40="No","",IFERROR(IF(OR(N(BG162)&lt;=Configuration!$C$56,N(AY162)&lt;Configuration!$C$57,N(BH162)&lt;=Configuration!$C$58),TRUE(),FALSE()),FALSE()))</f>
        <v>1</v>
      </c>
      <c r="DB162" s="50" t="b">
        <f aca="false">IF(Configuration!$C$41="No","",IFERROR(IF(AND(N(AY162)&gt;=Configuration!$C$54,N(AY162)&lt;=Configuration!$C$55),TRUE(),FALSE()),FALSE()))</f>
        <v>0</v>
      </c>
      <c r="DC162" s="50" t="b">
        <f aca="false">IF(Configuration!$C$42="No","",IFERROR(IF(AND(AG162&lt;&gt;"",AJ162&lt;&gt;""),TRUE(),FALSE()),FALSE()))</f>
        <v>0</v>
      </c>
      <c r="DD162" s="51" t="n">
        <f aca="false">COUNTIF(BW162:DC162,TRUE())</f>
        <v>2</v>
      </c>
    </row>
    <row r="163" customFormat="false" ht="15" hidden="false" customHeight="true" outlineLevel="0" collapsed="false">
      <c r="A163" s="18" t="n">
        <v>124</v>
      </c>
      <c r="B163" s="44"/>
      <c r="C163" s="44"/>
      <c r="D163" s="44"/>
      <c r="E163" s="44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6" t="str">
        <f aca="false">IFERROR(IF(F163&lt;&gt;"",F163,""),"")</f>
        <v/>
      </c>
      <c r="AF163" s="46" t="str">
        <f aca="false">IFERROR(IF(G163&lt;&gt;"",G163,""),"")</f>
        <v/>
      </c>
      <c r="AG163" s="46" t="str">
        <f aca="false">IFERROR(IF(AA163&lt;&gt;"",AA163,IF(R163&lt;&gt;"",R163,"")),"")</f>
        <v/>
      </c>
      <c r="AH163" s="46" t="str">
        <f aca="false">IFERROR(IF(AB163&lt;&gt;"",AB163,IF(S163&lt;&gt;"",S163,"")),"")</f>
        <v/>
      </c>
      <c r="AI163" s="47"/>
      <c r="AJ163" s="47"/>
      <c r="AK163" s="47"/>
      <c r="AL163" s="47"/>
      <c r="AM163" s="47"/>
      <c r="AN163" s="47"/>
      <c r="AO163" s="47"/>
      <c r="AP163" s="47"/>
      <c r="AQ163" s="46" t="str">
        <f aca="false">IFERROR(IF(Y163&lt;&gt;"",VALUE(Y163),""),"")</f>
        <v/>
      </c>
      <c r="AR163" s="47"/>
      <c r="AS163" s="47"/>
      <c r="AT163" s="47"/>
      <c r="AU163" s="47"/>
      <c r="AV163" s="46" t="str">
        <f aca="false">IFERROR(IF(T163&lt;&gt;"",VALUE(T163),""),"")</f>
        <v/>
      </c>
      <c r="AW163" s="46" t="str">
        <f aca="false">IFERROR(IF(N163="","",IF(OR(ISNUMBER(SEARCH("grant",N163)),ISNUMBER(SEARCH("B",AC163))),"Granted",IF(OR(ISNUMBER(SEARCH("pend",N163)),ISNUMBER(SEARCH("A",AC163))),"Pending",IF(ISNUMBER(SEARCH("expir",N163)),"Expired",N163)))),"")</f>
        <v/>
      </c>
      <c r="AX163" s="47"/>
      <c r="AY163" s="46" t="str">
        <f aca="true">IFERROR(IF(M163&lt;&gt;"",ROUND(VALUE(M163),1),IF(L163&lt;&gt;"",ROUND(MAX(0,(DATEVALUE(TEXT(L163,"YYYY-MM-DD"))-TODAY())/365.25),1),"")),"")</f>
        <v/>
      </c>
      <c r="AZ163" s="46" t="str">
        <f aca="false">IFERROR(IF(O163&lt;&gt;"",O163,""),"")</f>
        <v/>
      </c>
      <c r="BA163" s="46" t="str">
        <f aca="false">IFERROR(IF(U163&lt;&gt;"",SUBSTITUTE(SUBSTITUTE(U163,"; ",", "),";",","),""),"")</f>
        <v/>
      </c>
      <c r="BB163" s="47"/>
      <c r="BC163" s="47"/>
      <c r="BD163" s="47"/>
      <c r="BE163" s="47"/>
      <c r="BF163" s="47"/>
      <c r="BG163" s="47"/>
      <c r="BH163" s="47"/>
      <c r="BI163" s="47"/>
      <c r="BJ163" s="47"/>
      <c r="BK163" s="46" t="str">
        <f aca="false">IFERROR(IF(W163&lt;&gt;"",VALUE(W163),""),"")</f>
        <v/>
      </c>
      <c r="BL163" s="46" t="str">
        <f aca="false">IFERROR(IF(X163&lt;&gt;"",VALUE(X163),""),"")</f>
        <v/>
      </c>
      <c r="BM163" s="46" t="str">
        <f aca="false">IFERROR(IF(AD163="","None",IF(ISNUMBER(SEARCH("surv",AD163)),"Survived",IF(ISNUMBER(SEARCH("pend",AD163)),"Pending",IF(ISNUMBER(SEARCH("yes",AD163)),"Pending","None")))),"None")</f>
        <v>None</v>
      </c>
      <c r="BN163" s="47"/>
      <c r="BO163" s="47"/>
      <c r="BP163" s="47"/>
      <c r="BQ163" s="47"/>
      <c r="BR163" s="47"/>
      <c r="BS163" s="47"/>
      <c r="BT163" s="47"/>
      <c r="BU163" s="48" t="n">
        <f aca="false">IFERROR(COUNTA(AE163:BT163)/42,0)</f>
        <v>0.30952380952381</v>
      </c>
      <c r="BV163" s="49"/>
      <c r="BW163" s="50" t="b">
        <f aca="false">IF(Configuration!$C$10="No","",IFERROR(IF(AG163&lt;&gt;"",TRUE(),FALSE()),FALSE()))</f>
        <v>0</v>
      </c>
      <c r="BX163" s="50" t="b">
        <f aca="false">IF(Configuration!$C$11="No","",IFERROR(IF(AND(N(AL163)&gt;=Configuration!$C$44,AM163&lt;&gt;""),TRUE(),FALSE()),FALSE()))</f>
        <v>0</v>
      </c>
      <c r="BY163" s="50" t="b">
        <f aca="false">IF(Configuration!$C$12="No","",IFERROR(IF(AJ163&lt;&gt;"",TRUE(),FALSE()),FALSE()))</f>
        <v>0</v>
      </c>
      <c r="BZ163" s="50" t="b">
        <f aca="false">IF(Configuration!$C$13="No","",IFERROR(IF(AI163&lt;&gt;"",TRUE(),FALSE()),FALSE()))</f>
        <v>0</v>
      </c>
      <c r="CA163" s="50" t="b">
        <f aca="false">IF(Configuration!$C$14="No","",IFERROR(IF(AK163&lt;&gt;"",TRUE(),FALSE()),FALSE()))</f>
        <v>0</v>
      </c>
      <c r="CB163" s="50" t="b">
        <f aca="false">IF(Configuration!$C$15="No","",IFERROR(IF(AND(OR(ISNUMBER(SEARCH("process",AG163)),ISNUMBER(SEARCH("fab",AG163)),ISNUMBER(SEARCH("manufac",AG163))),AO163="Method"),TRUE(),FALSE()),FALSE()))</f>
        <v>0</v>
      </c>
      <c r="CC163" s="50" t="b">
        <f aca="false">IF(Configuration!$C$16="No","",IFERROR(IF(AND(OR(ISNUMBER(SEARCH("material",AG163)),ISNUMBER(SEARCH("chem",AG163)),ISNUMBER(SEARCH("battery",AG163)),ISNUMBER(SEARCH("electrolyte",AG163)),ISNUMBER(SEARCH("polymer",AG163))),OR(AO163="Apparatus",AO163="Method")),TRUE(),FALSE()),FALSE()))</f>
        <v>0</v>
      </c>
      <c r="CD163" s="50" t="b">
        <f aca="false">IF(Configuration!$C$17="No","",IFERROR(IF(AND(OR(AI163="App",AI163="Middleware",AI163="Cloud"),OR(AO163="Method",AO163="CRM")),TRUE(),FALSE()),FALSE()))</f>
        <v>0</v>
      </c>
      <c r="CE163" s="50" t="b">
        <f aca="false">IF(Configuration!$C$18="No","",IFERROR(IF(N(AN163)&gt;=Configuration!$C$45,TRUE(),FALSE()),FALSE()))</f>
        <v>0</v>
      </c>
      <c r="CF163" s="50" t="b">
        <f aca="false">IF(Configuration!$C$19="No","",IFERROR(IF(BE163&lt;&gt;"",TRUE(),FALSE()),FALSE()))</f>
        <v>0</v>
      </c>
      <c r="CG163" s="50" t="b">
        <f aca="false">IF(Configuration!$C$20="No","",IFERROR(IF(AO163&lt;&gt;"",TRUE(),FALSE()),FALSE()))</f>
        <v>0</v>
      </c>
      <c r="CH163" s="50" t="b">
        <f aca="false">IF(Configuration!$C$21="No","",IFERROR(IF(OR(N(AS163)&gt;=Configuration!$C$46,N(AT163)&gt;=Configuration!$C$47),TRUE(),FALSE()),FALSE()))</f>
        <v>0</v>
      </c>
      <c r="CI163" s="50" t="b">
        <f aca="false">IF(Configuration!$C$22="No","",IFERROR(IF(BB163="Yes",TRUE(),FALSE()),FALSE()))</f>
        <v>0</v>
      </c>
      <c r="CJ163" s="50" t="b">
        <f aca="false">IF(Configuration!$C$23="No","",IFERROR(IF(N(AV163)&gt;=Configuration!$C$48,TRUE(),FALSE()),FALSE()))</f>
        <v>0</v>
      </c>
      <c r="CK163" s="50" t="b">
        <f aca="false">IF(Configuration!$C$24="No","",IFERROR(IF(N(AY163)&gt;0,TRUE(),FALSE()),FALSE()))</f>
        <v>0</v>
      </c>
      <c r="CL163" s="50" t="b">
        <f aca="false">IF(Configuration!$C$25="No","",IFERROR(IF(OR(N(AP163)=3,N(AP163)&lt;=1),TRUE(),FALSE()),FALSE()))</f>
        <v>1</v>
      </c>
      <c r="CM163" s="50" t="b">
        <f aca="false">IF(Configuration!$C$26="No","",IFERROR(IF(N(BF163)&gt;=Configuration!$C$49,TRUE(),FALSE()),FALSE()))</f>
        <v>0</v>
      </c>
      <c r="CN163" s="50" t="b">
        <f aca="false">IF(Configuration!$C$27="No","",IFERROR(IF(BD163&lt;&gt;"",TRUE(),FALSE()),FALSE()))</f>
        <v>0</v>
      </c>
      <c r="CO163" s="50" t="b">
        <f aca="false">IF(Configuration!$C$28="No","",IFERROR(IF(N(AU163)&gt;=Configuration!$C$50,TRUE(),FALSE()),FALSE()))</f>
        <v>0</v>
      </c>
      <c r="CP163" s="50" t="b">
        <f aca="false">IF(Configuration!$C$29="No","",IFERROR(IF(AND(N(AR163)&gt;=Configuration!$C$51,AG163&lt;&gt;""),TRUE(),FALSE()),FALSE()))</f>
        <v>0</v>
      </c>
      <c r="CQ163" s="50" t="b">
        <f aca="false">IF(Configuration!$C$30="No","",IFERROR(IF(OR(AW163="Pending",AX163="Yes"),TRUE(),FALSE()),FALSE()))</f>
        <v>0</v>
      </c>
      <c r="CR163" s="50" t="b">
        <f aca="false">IF(Configuration!$C$31="No","",IFERROR(IF(AND(N(BG163)&gt;=Configuration!$C$52,N(AP163)&gt;=1),TRUE(),FALSE()),FALSE()))</f>
        <v>0</v>
      </c>
      <c r="CS163" s="50" t="b">
        <f aca="false">IF(Configuration!$C$32="No","",IFERROR(IF(AND(N(AR163)&gt;=1,OR(AG163&lt;&gt;"",AM163&lt;&gt;"")),TRUE(),FALSE()),FALSE()))</f>
        <v>0</v>
      </c>
      <c r="CT163" s="50" t="b">
        <f aca="false">IF(Configuration!$C$33="No","",IFERROR(IF(AG163&lt;&gt;"",TRUE(),FALSE()),FALSE()))</f>
        <v>0</v>
      </c>
      <c r="CU163" s="50" t="b">
        <f aca="false">IF(Configuration!$C$34="No","",IFERROR(IF(AX163="Yes",TRUE(),FALSE()),FALSE()))</f>
        <v>0</v>
      </c>
      <c r="CV163" s="50" t="b">
        <f aca="false">IF(Configuration!$C$35="No","",IFERROR(IF(OR(BO163="Partial",BO163="Full"),TRUE(),FALSE()),FALSE()))</f>
        <v>0</v>
      </c>
      <c r="CW163" s="50" t="b">
        <f aca="false">IF(Configuration!$C$36="No","",IFERROR(IF(BM163="Survived",TRUE(),FALSE()),FALSE()))</f>
        <v>0</v>
      </c>
      <c r="CX163" s="50" t="b">
        <f aca="false">IF(Configuration!$C$37="No","",IFERROR(IF(AND(BN163="Clean",BP163="None"),TRUE(),FALSE()),FALSE()))</f>
        <v>0</v>
      </c>
      <c r="CY163" s="50" t="b">
        <f aca="false">IF(Configuration!$C$38="No","",IFERROR(IF(N(BK163)&gt;=Configuration!$C$53,TRUE(),FALSE()),FALSE()))</f>
        <v>0</v>
      </c>
      <c r="CZ163" s="50" t="b">
        <f aca="false">IF(Configuration!$C$39="No","",IFERROR(IF(AND(N(BS163)&gt;=2,N(BF163)&gt;=2),TRUE(),FALSE()),FALSE()))</f>
        <v>0</v>
      </c>
      <c r="DA163" s="50" t="b">
        <f aca="false">IF(Configuration!$C$40="No","",IFERROR(IF(OR(N(BG163)&lt;=Configuration!$C$56,N(AY163)&lt;Configuration!$C$57,N(BH163)&lt;=Configuration!$C$58),TRUE(),FALSE()),FALSE()))</f>
        <v>1</v>
      </c>
      <c r="DB163" s="50" t="b">
        <f aca="false">IF(Configuration!$C$41="No","",IFERROR(IF(AND(N(AY163)&gt;=Configuration!$C$54,N(AY163)&lt;=Configuration!$C$55),TRUE(),FALSE()),FALSE()))</f>
        <v>0</v>
      </c>
      <c r="DC163" s="50" t="b">
        <f aca="false">IF(Configuration!$C$42="No","",IFERROR(IF(AND(AG163&lt;&gt;"",AJ163&lt;&gt;""),TRUE(),FALSE()),FALSE()))</f>
        <v>0</v>
      </c>
      <c r="DD163" s="51" t="n">
        <f aca="false">COUNTIF(BW163:DC163,TRUE())</f>
        <v>2</v>
      </c>
    </row>
    <row r="164" customFormat="false" ht="15" hidden="false" customHeight="true" outlineLevel="0" collapsed="false">
      <c r="A164" s="18" t="n">
        <v>125</v>
      </c>
      <c r="B164" s="44"/>
      <c r="C164" s="44"/>
      <c r="D164" s="44"/>
      <c r="E164" s="44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6" t="str">
        <f aca="false">IFERROR(IF(F164&lt;&gt;"",F164,""),"")</f>
        <v/>
      </c>
      <c r="AF164" s="46" t="str">
        <f aca="false">IFERROR(IF(G164&lt;&gt;"",G164,""),"")</f>
        <v/>
      </c>
      <c r="AG164" s="46" t="str">
        <f aca="false">IFERROR(IF(AA164&lt;&gt;"",AA164,IF(R164&lt;&gt;"",R164,"")),"")</f>
        <v/>
      </c>
      <c r="AH164" s="46" t="str">
        <f aca="false">IFERROR(IF(AB164&lt;&gt;"",AB164,IF(S164&lt;&gt;"",S164,"")),"")</f>
        <v/>
      </c>
      <c r="AI164" s="47"/>
      <c r="AJ164" s="47"/>
      <c r="AK164" s="47"/>
      <c r="AL164" s="47"/>
      <c r="AM164" s="47"/>
      <c r="AN164" s="47"/>
      <c r="AO164" s="47"/>
      <c r="AP164" s="47"/>
      <c r="AQ164" s="46" t="str">
        <f aca="false">IFERROR(IF(Y164&lt;&gt;"",VALUE(Y164),""),"")</f>
        <v/>
      </c>
      <c r="AR164" s="47"/>
      <c r="AS164" s="47"/>
      <c r="AT164" s="47"/>
      <c r="AU164" s="47"/>
      <c r="AV164" s="46" t="str">
        <f aca="false">IFERROR(IF(T164&lt;&gt;"",VALUE(T164),""),"")</f>
        <v/>
      </c>
      <c r="AW164" s="46" t="str">
        <f aca="false">IFERROR(IF(N164="","",IF(OR(ISNUMBER(SEARCH("grant",N164)),ISNUMBER(SEARCH("B",AC164))),"Granted",IF(OR(ISNUMBER(SEARCH("pend",N164)),ISNUMBER(SEARCH("A",AC164))),"Pending",IF(ISNUMBER(SEARCH("expir",N164)),"Expired",N164)))),"")</f>
        <v/>
      </c>
      <c r="AX164" s="47"/>
      <c r="AY164" s="46" t="str">
        <f aca="true">IFERROR(IF(M164&lt;&gt;"",ROUND(VALUE(M164),1),IF(L164&lt;&gt;"",ROUND(MAX(0,(DATEVALUE(TEXT(L164,"YYYY-MM-DD"))-TODAY())/365.25),1),"")),"")</f>
        <v/>
      </c>
      <c r="AZ164" s="46" t="str">
        <f aca="false">IFERROR(IF(O164&lt;&gt;"",O164,""),"")</f>
        <v/>
      </c>
      <c r="BA164" s="46" t="str">
        <f aca="false">IFERROR(IF(U164&lt;&gt;"",SUBSTITUTE(SUBSTITUTE(U164,"; ",", "),";",","),""),"")</f>
        <v/>
      </c>
      <c r="BB164" s="47"/>
      <c r="BC164" s="47"/>
      <c r="BD164" s="47"/>
      <c r="BE164" s="47"/>
      <c r="BF164" s="47"/>
      <c r="BG164" s="47"/>
      <c r="BH164" s="47"/>
      <c r="BI164" s="47"/>
      <c r="BJ164" s="47"/>
      <c r="BK164" s="46" t="str">
        <f aca="false">IFERROR(IF(W164&lt;&gt;"",VALUE(W164),""),"")</f>
        <v/>
      </c>
      <c r="BL164" s="46" t="str">
        <f aca="false">IFERROR(IF(X164&lt;&gt;"",VALUE(X164),""),"")</f>
        <v/>
      </c>
      <c r="BM164" s="46" t="str">
        <f aca="false">IFERROR(IF(AD164="","None",IF(ISNUMBER(SEARCH("surv",AD164)),"Survived",IF(ISNUMBER(SEARCH("pend",AD164)),"Pending",IF(ISNUMBER(SEARCH("yes",AD164)),"Pending","None")))),"None")</f>
        <v>None</v>
      </c>
      <c r="BN164" s="47"/>
      <c r="BO164" s="47"/>
      <c r="BP164" s="47"/>
      <c r="BQ164" s="47"/>
      <c r="BR164" s="47"/>
      <c r="BS164" s="47"/>
      <c r="BT164" s="47"/>
      <c r="BU164" s="48" t="n">
        <f aca="false">IFERROR(COUNTA(AE164:BT164)/42,0)</f>
        <v>0.30952380952381</v>
      </c>
      <c r="BV164" s="49"/>
      <c r="BW164" s="50" t="b">
        <f aca="false">IF(Configuration!$C$10="No","",IFERROR(IF(AG164&lt;&gt;"",TRUE(),FALSE()),FALSE()))</f>
        <v>0</v>
      </c>
      <c r="BX164" s="50" t="b">
        <f aca="false">IF(Configuration!$C$11="No","",IFERROR(IF(AND(N(AL164)&gt;=Configuration!$C$44,AM164&lt;&gt;""),TRUE(),FALSE()),FALSE()))</f>
        <v>0</v>
      </c>
      <c r="BY164" s="50" t="b">
        <f aca="false">IF(Configuration!$C$12="No","",IFERROR(IF(AJ164&lt;&gt;"",TRUE(),FALSE()),FALSE()))</f>
        <v>0</v>
      </c>
      <c r="BZ164" s="50" t="b">
        <f aca="false">IF(Configuration!$C$13="No","",IFERROR(IF(AI164&lt;&gt;"",TRUE(),FALSE()),FALSE()))</f>
        <v>0</v>
      </c>
      <c r="CA164" s="50" t="b">
        <f aca="false">IF(Configuration!$C$14="No","",IFERROR(IF(AK164&lt;&gt;"",TRUE(),FALSE()),FALSE()))</f>
        <v>0</v>
      </c>
      <c r="CB164" s="50" t="b">
        <f aca="false">IF(Configuration!$C$15="No","",IFERROR(IF(AND(OR(ISNUMBER(SEARCH("process",AG164)),ISNUMBER(SEARCH("fab",AG164)),ISNUMBER(SEARCH("manufac",AG164))),AO164="Method"),TRUE(),FALSE()),FALSE()))</f>
        <v>0</v>
      </c>
      <c r="CC164" s="50" t="b">
        <f aca="false">IF(Configuration!$C$16="No","",IFERROR(IF(AND(OR(ISNUMBER(SEARCH("material",AG164)),ISNUMBER(SEARCH("chem",AG164)),ISNUMBER(SEARCH("battery",AG164)),ISNUMBER(SEARCH("electrolyte",AG164)),ISNUMBER(SEARCH("polymer",AG164))),OR(AO164="Apparatus",AO164="Method")),TRUE(),FALSE()),FALSE()))</f>
        <v>0</v>
      </c>
      <c r="CD164" s="50" t="b">
        <f aca="false">IF(Configuration!$C$17="No","",IFERROR(IF(AND(OR(AI164="App",AI164="Middleware",AI164="Cloud"),OR(AO164="Method",AO164="CRM")),TRUE(),FALSE()),FALSE()))</f>
        <v>0</v>
      </c>
      <c r="CE164" s="50" t="b">
        <f aca="false">IF(Configuration!$C$18="No","",IFERROR(IF(N(AN164)&gt;=Configuration!$C$45,TRUE(),FALSE()),FALSE()))</f>
        <v>0</v>
      </c>
      <c r="CF164" s="50" t="b">
        <f aca="false">IF(Configuration!$C$19="No","",IFERROR(IF(BE164&lt;&gt;"",TRUE(),FALSE()),FALSE()))</f>
        <v>0</v>
      </c>
      <c r="CG164" s="50" t="b">
        <f aca="false">IF(Configuration!$C$20="No","",IFERROR(IF(AO164&lt;&gt;"",TRUE(),FALSE()),FALSE()))</f>
        <v>0</v>
      </c>
      <c r="CH164" s="50" t="b">
        <f aca="false">IF(Configuration!$C$21="No","",IFERROR(IF(OR(N(AS164)&gt;=Configuration!$C$46,N(AT164)&gt;=Configuration!$C$47),TRUE(),FALSE()),FALSE()))</f>
        <v>0</v>
      </c>
      <c r="CI164" s="50" t="b">
        <f aca="false">IF(Configuration!$C$22="No","",IFERROR(IF(BB164="Yes",TRUE(),FALSE()),FALSE()))</f>
        <v>0</v>
      </c>
      <c r="CJ164" s="50" t="b">
        <f aca="false">IF(Configuration!$C$23="No","",IFERROR(IF(N(AV164)&gt;=Configuration!$C$48,TRUE(),FALSE()),FALSE()))</f>
        <v>0</v>
      </c>
      <c r="CK164" s="50" t="b">
        <f aca="false">IF(Configuration!$C$24="No","",IFERROR(IF(N(AY164)&gt;0,TRUE(),FALSE()),FALSE()))</f>
        <v>0</v>
      </c>
      <c r="CL164" s="50" t="b">
        <f aca="false">IF(Configuration!$C$25="No","",IFERROR(IF(OR(N(AP164)=3,N(AP164)&lt;=1),TRUE(),FALSE()),FALSE()))</f>
        <v>1</v>
      </c>
      <c r="CM164" s="50" t="b">
        <f aca="false">IF(Configuration!$C$26="No","",IFERROR(IF(N(BF164)&gt;=Configuration!$C$49,TRUE(),FALSE()),FALSE()))</f>
        <v>0</v>
      </c>
      <c r="CN164" s="50" t="b">
        <f aca="false">IF(Configuration!$C$27="No","",IFERROR(IF(BD164&lt;&gt;"",TRUE(),FALSE()),FALSE()))</f>
        <v>0</v>
      </c>
      <c r="CO164" s="50" t="b">
        <f aca="false">IF(Configuration!$C$28="No","",IFERROR(IF(N(AU164)&gt;=Configuration!$C$50,TRUE(),FALSE()),FALSE()))</f>
        <v>0</v>
      </c>
      <c r="CP164" s="50" t="b">
        <f aca="false">IF(Configuration!$C$29="No","",IFERROR(IF(AND(N(AR164)&gt;=Configuration!$C$51,AG164&lt;&gt;""),TRUE(),FALSE()),FALSE()))</f>
        <v>0</v>
      </c>
      <c r="CQ164" s="50" t="b">
        <f aca="false">IF(Configuration!$C$30="No","",IFERROR(IF(OR(AW164="Pending",AX164="Yes"),TRUE(),FALSE()),FALSE()))</f>
        <v>0</v>
      </c>
      <c r="CR164" s="50" t="b">
        <f aca="false">IF(Configuration!$C$31="No","",IFERROR(IF(AND(N(BG164)&gt;=Configuration!$C$52,N(AP164)&gt;=1),TRUE(),FALSE()),FALSE()))</f>
        <v>0</v>
      </c>
      <c r="CS164" s="50" t="b">
        <f aca="false">IF(Configuration!$C$32="No","",IFERROR(IF(AND(N(AR164)&gt;=1,OR(AG164&lt;&gt;"",AM164&lt;&gt;"")),TRUE(),FALSE()),FALSE()))</f>
        <v>0</v>
      </c>
      <c r="CT164" s="50" t="b">
        <f aca="false">IF(Configuration!$C$33="No","",IFERROR(IF(AG164&lt;&gt;"",TRUE(),FALSE()),FALSE()))</f>
        <v>0</v>
      </c>
      <c r="CU164" s="50" t="b">
        <f aca="false">IF(Configuration!$C$34="No","",IFERROR(IF(AX164="Yes",TRUE(),FALSE()),FALSE()))</f>
        <v>0</v>
      </c>
      <c r="CV164" s="50" t="b">
        <f aca="false">IF(Configuration!$C$35="No","",IFERROR(IF(OR(BO164="Partial",BO164="Full"),TRUE(),FALSE()),FALSE()))</f>
        <v>0</v>
      </c>
      <c r="CW164" s="50" t="b">
        <f aca="false">IF(Configuration!$C$36="No","",IFERROR(IF(BM164="Survived",TRUE(),FALSE()),FALSE()))</f>
        <v>0</v>
      </c>
      <c r="CX164" s="50" t="b">
        <f aca="false">IF(Configuration!$C$37="No","",IFERROR(IF(AND(BN164="Clean",BP164="None"),TRUE(),FALSE()),FALSE()))</f>
        <v>0</v>
      </c>
      <c r="CY164" s="50" t="b">
        <f aca="false">IF(Configuration!$C$38="No","",IFERROR(IF(N(BK164)&gt;=Configuration!$C$53,TRUE(),FALSE()),FALSE()))</f>
        <v>0</v>
      </c>
      <c r="CZ164" s="50" t="b">
        <f aca="false">IF(Configuration!$C$39="No","",IFERROR(IF(AND(N(BS164)&gt;=2,N(BF164)&gt;=2),TRUE(),FALSE()),FALSE()))</f>
        <v>0</v>
      </c>
      <c r="DA164" s="50" t="b">
        <f aca="false">IF(Configuration!$C$40="No","",IFERROR(IF(OR(N(BG164)&lt;=Configuration!$C$56,N(AY164)&lt;Configuration!$C$57,N(BH164)&lt;=Configuration!$C$58),TRUE(),FALSE()),FALSE()))</f>
        <v>1</v>
      </c>
      <c r="DB164" s="50" t="b">
        <f aca="false">IF(Configuration!$C$41="No","",IFERROR(IF(AND(N(AY164)&gt;=Configuration!$C$54,N(AY164)&lt;=Configuration!$C$55),TRUE(),FALSE()),FALSE()))</f>
        <v>0</v>
      </c>
      <c r="DC164" s="50" t="b">
        <f aca="false">IF(Configuration!$C$42="No","",IFERROR(IF(AND(AG164&lt;&gt;"",AJ164&lt;&gt;""),TRUE(),FALSE()),FALSE()))</f>
        <v>0</v>
      </c>
      <c r="DD164" s="51" t="n">
        <f aca="false">COUNTIF(BW164:DC164,TRUE())</f>
        <v>2</v>
      </c>
    </row>
    <row r="165" customFormat="false" ht="15" hidden="false" customHeight="true" outlineLevel="0" collapsed="false">
      <c r="A165" s="18" t="n">
        <v>126</v>
      </c>
      <c r="B165" s="44"/>
      <c r="C165" s="44"/>
      <c r="D165" s="44"/>
      <c r="E165" s="44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6" t="str">
        <f aca="false">IFERROR(IF(F165&lt;&gt;"",F165,""),"")</f>
        <v/>
      </c>
      <c r="AF165" s="46" t="str">
        <f aca="false">IFERROR(IF(G165&lt;&gt;"",G165,""),"")</f>
        <v/>
      </c>
      <c r="AG165" s="46" t="str">
        <f aca="false">IFERROR(IF(AA165&lt;&gt;"",AA165,IF(R165&lt;&gt;"",R165,"")),"")</f>
        <v/>
      </c>
      <c r="AH165" s="46" t="str">
        <f aca="false">IFERROR(IF(AB165&lt;&gt;"",AB165,IF(S165&lt;&gt;"",S165,"")),"")</f>
        <v/>
      </c>
      <c r="AI165" s="47"/>
      <c r="AJ165" s="47"/>
      <c r="AK165" s="47"/>
      <c r="AL165" s="47"/>
      <c r="AM165" s="47"/>
      <c r="AN165" s="47"/>
      <c r="AO165" s="47"/>
      <c r="AP165" s="47"/>
      <c r="AQ165" s="46" t="str">
        <f aca="false">IFERROR(IF(Y165&lt;&gt;"",VALUE(Y165),""),"")</f>
        <v/>
      </c>
      <c r="AR165" s="47"/>
      <c r="AS165" s="47"/>
      <c r="AT165" s="47"/>
      <c r="AU165" s="47"/>
      <c r="AV165" s="46" t="str">
        <f aca="false">IFERROR(IF(T165&lt;&gt;"",VALUE(T165),""),"")</f>
        <v/>
      </c>
      <c r="AW165" s="46" t="str">
        <f aca="false">IFERROR(IF(N165="","",IF(OR(ISNUMBER(SEARCH("grant",N165)),ISNUMBER(SEARCH("B",AC165))),"Granted",IF(OR(ISNUMBER(SEARCH("pend",N165)),ISNUMBER(SEARCH("A",AC165))),"Pending",IF(ISNUMBER(SEARCH("expir",N165)),"Expired",N165)))),"")</f>
        <v/>
      </c>
      <c r="AX165" s="47"/>
      <c r="AY165" s="46" t="str">
        <f aca="true">IFERROR(IF(M165&lt;&gt;"",ROUND(VALUE(M165),1),IF(L165&lt;&gt;"",ROUND(MAX(0,(DATEVALUE(TEXT(L165,"YYYY-MM-DD"))-TODAY())/365.25),1),"")),"")</f>
        <v/>
      </c>
      <c r="AZ165" s="46" t="str">
        <f aca="false">IFERROR(IF(O165&lt;&gt;"",O165,""),"")</f>
        <v/>
      </c>
      <c r="BA165" s="46" t="str">
        <f aca="false">IFERROR(IF(U165&lt;&gt;"",SUBSTITUTE(SUBSTITUTE(U165,"; ",", "),";",","),""),"")</f>
        <v/>
      </c>
      <c r="BB165" s="47"/>
      <c r="BC165" s="47"/>
      <c r="BD165" s="47"/>
      <c r="BE165" s="47"/>
      <c r="BF165" s="47"/>
      <c r="BG165" s="47"/>
      <c r="BH165" s="47"/>
      <c r="BI165" s="47"/>
      <c r="BJ165" s="47"/>
      <c r="BK165" s="46" t="str">
        <f aca="false">IFERROR(IF(W165&lt;&gt;"",VALUE(W165),""),"")</f>
        <v/>
      </c>
      <c r="BL165" s="46" t="str">
        <f aca="false">IFERROR(IF(X165&lt;&gt;"",VALUE(X165),""),"")</f>
        <v/>
      </c>
      <c r="BM165" s="46" t="str">
        <f aca="false">IFERROR(IF(AD165="","None",IF(ISNUMBER(SEARCH("surv",AD165)),"Survived",IF(ISNUMBER(SEARCH("pend",AD165)),"Pending",IF(ISNUMBER(SEARCH("yes",AD165)),"Pending","None")))),"None")</f>
        <v>None</v>
      </c>
      <c r="BN165" s="47"/>
      <c r="BO165" s="47"/>
      <c r="BP165" s="47"/>
      <c r="BQ165" s="47"/>
      <c r="BR165" s="47"/>
      <c r="BS165" s="47"/>
      <c r="BT165" s="47"/>
      <c r="BU165" s="48" t="n">
        <f aca="false">IFERROR(COUNTA(AE165:BT165)/42,0)</f>
        <v>0.30952380952381</v>
      </c>
      <c r="BV165" s="49"/>
      <c r="BW165" s="50" t="b">
        <f aca="false">IF(Configuration!$C$10="No","",IFERROR(IF(AG165&lt;&gt;"",TRUE(),FALSE()),FALSE()))</f>
        <v>0</v>
      </c>
      <c r="BX165" s="50" t="b">
        <f aca="false">IF(Configuration!$C$11="No","",IFERROR(IF(AND(N(AL165)&gt;=Configuration!$C$44,AM165&lt;&gt;""),TRUE(),FALSE()),FALSE()))</f>
        <v>0</v>
      </c>
      <c r="BY165" s="50" t="b">
        <f aca="false">IF(Configuration!$C$12="No","",IFERROR(IF(AJ165&lt;&gt;"",TRUE(),FALSE()),FALSE()))</f>
        <v>0</v>
      </c>
      <c r="BZ165" s="50" t="b">
        <f aca="false">IF(Configuration!$C$13="No","",IFERROR(IF(AI165&lt;&gt;"",TRUE(),FALSE()),FALSE()))</f>
        <v>0</v>
      </c>
      <c r="CA165" s="50" t="b">
        <f aca="false">IF(Configuration!$C$14="No","",IFERROR(IF(AK165&lt;&gt;"",TRUE(),FALSE()),FALSE()))</f>
        <v>0</v>
      </c>
      <c r="CB165" s="50" t="b">
        <f aca="false">IF(Configuration!$C$15="No","",IFERROR(IF(AND(OR(ISNUMBER(SEARCH("process",AG165)),ISNUMBER(SEARCH("fab",AG165)),ISNUMBER(SEARCH("manufac",AG165))),AO165="Method"),TRUE(),FALSE()),FALSE()))</f>
        <v>0</v>
      </c>
      <c r="CC165" s="50" t="b">
        <f aca="false">IF(Configuration!$C$16="No","",IFERROR(IF(AND(OR(ISNUMBER(SEARCH("material",AG165)),ISNUMBER(SEARCH("chem",AG165)),ISNUMBER(SEARCH("battery",AG165)),ISNUMBER(SEARCH("electrolyte",AG165)),ISNUMBER(SEARCH("polymer",AG165))),OR(AO165="Apparatus",AO165="Method")),TRUE(),FALSE()),FALSE()))</f>
        <v>0</v>
      </c>
      <c r="CD165" s="50" t="b">
        <f aca="false">IF(Configuration!$C$17="No","",IFERROR(IF(AND(OR(AI165="App",AI165="Middleware",AI165="Cloud"),OR(AO165="Method",AO165="CRM")),TRUE(),FALSE()),FALSE()))</f>
        <v>0</v>
      </c>
      <c r="CE165" s="50" t="b">
        <f aca="false">IF(Configuration!$C$18="No","",IFERROR(IF(N(AN165)&gt;=Configuration!$C$45,TRUE(),FALSE()),FALSE()))</f>
        <v>0</v>
      </c>
      <c r="CF165" s="50" t="b">
        <f aca="false">IF(Configuration!$C$19="No","",IFERROR(IF(BE165&lt;&gt;"",TRUE(),FALSE()),FALSE()))</f>
        <v>0</v>
      </c>
      <c r="CG165" s="50" t="b">
        <f aca="false">IF(Configuration!$C$20="No","",IFERROR(IF(AO165&lt;&gt;"",TRUE(),FALSE()),FALSE()))</f>
        <v>0</v>
      </c>
      <c r="CH165" s="50" t="b">
        <f aca="false">IF(Configuration!$C$21="No","",IFERROR(IF(OR(N(AS165)&gt;=Configuration!$C$46,N(AT165)&gt;=Configuration!$C$47),TRUE(),FALSE()),FALSE()))</f>
        <v>0</v>
      </c>
      <c r="CI165" s="50" t="b">
        <f aca="false">IF(Configuration!$C$22="No","",IFERROR(IF(BB165="Yes",TRUE(),FALSE()),FALSE()))</f>
        <v>0</v>
      </c>
      <c r="CJ165" s="50" t="b">
        <f aca="false">IF(Configuration!$C$23="No","",IFERROR(IF(N(AV165)&gt;=Configuration!$C$48,TRUE(),FALSE()),FALSE()))</f>
        <v>0</v>
      </c>
      <c r="CK165" s="50" t="b">
        <f aca="false">IF(Configuration!$C$24="No","",IFERROR(IF(N(AY165)&gt;0,TRUE(),FALSE()),FALSE()))</f>
        <v>0</v>
      </c>
      <c r="CL165" s="50" t="b">
        <f aca="false">IF(Configuration!$C$25="No","",IFERROR(IF(OR(N(AP165)=3,N(AP165)&lt;=1),TRUE(),FALSE()),FALSE()))</f>
        <v>1</v>
      </c>
      <c r="CM165" s="50" t="b">
        <f aca="false">IF(Configuration!$C$26="No","",IFERROR(IF(N(BF165)&gt;=Configuration!$C$49,TRUE(),FALSE()),FALSE()))</f>
        <v>0</v>
      </c>
      <c r="CN165" s="50" t="b">
        <f aca="false">IF(Configuration!$C$27="No","",IFERROR(IF(BD165&lt;&gt;"",TRUE(),FALSE()),FALSE()))</f>
        <v>0</v>
      </c>
      <c r="CO165" s="50" t="b">
        <f aca="false">IF(Configuration!$C$28="No","",IFERROR(IF(N(AU165)&gt;=Configuration!$C$50,TRUE(),FALSE()),FALSE()))</f>
        <v>0</v>
      </c>
      <c r="CP165" s="50" t="b">
        <f aca="false">IF(Configuration!$C$29="No","",IFERROR(IF(AND(N(AR165)&gt;=Configuration!$C$51,AG165&lt;&gt;""),TRUE(),FALSE()),FALSE()))</f>
        <v>0</v>
      </c>
      <c r="CQ165" s="50" t="b">
        <f aca="false">IF(Configuration!$C$30="No","",IFERROR(IF(OR(AW165="Pending",AX165="Yes"),TRUE(),FALSE()),FALSE()))</f>
        <v>0</v>
      </c>
      <c r="CR165" s="50" t="b">
        <f aca="false">IF(Configuration!$C$31="No","",IFERROR(IF(AND(N(BG165)&gt;=Configuration!$C$52,N(AP165)&gt;=1),TRUE(),FALSE()),FALSE()))</f>
        <v>0</v>
      </c>
      <c r="CS165" s="50" t="b">
        <f aca="false">IF(Configuration!$C$32="No","",IFERROR(IF(AND(N(AR165)&gt;=1,OR(AG165&lt;&gt;"",AM165&lt;&gt;"")),TRUE(),FALSE()),FALSE()))</f>
        <v>0</v>
      </c>
      <c r="CT165" s="50" t="b">
        <f aca="false">IF(Configuration!$C$33="No","",IFERROR(IF(AG165&lt;&gt;"",TRUE(),FALSE()),FALSE()))</f>
        <v>0</v>
      </c>
      <c r="CU165" s="50" t="b">
        <f aca="false">IF(Configuration!$C$34="No","",IFERROR(IF(AX165="Yes",TRUE(),FALSE()),FALSE()))</f>
        <v>0</v>
      </c>
      <c r="CV165" s="50" t="b">
        <f aca="false">IF(Configuration!$C$35="No","",IFERROR(IF(OR(BO165="Partial",BO165="Full"),TRUE(),FALSE()),FALSE()))</f>
        <v>0</v>
      </c>
      <c r="CW165" s="50" t="b">
        <f aca="false">IF(Configuration!$C$36="No","",IFERROR(IF(BM165="Survived",TRUE(),FALSE()),FALSE()))</f>
        <v>0</v>
      </c>
      <c r="CX165" s="50" t="b">
        <f aca="false">IF(Configuration!$C$37="No","",IFERROR(IF(AND(BN165="Clean",BP165="None"),TRUE(),FALSE()),FALSE()))</f>
        <v>0</v>
      </c>
      <c r="CY165" s="50" t="b">
        <f aca="false">IF(Configuration!$C$38="No","",IFERROR(IF(N(BK165)&gt;=Configuration!$C$53,TRUE(),FALSE()),FALSE()))</f>
        <v>0</v>
      </c>
      <c r="CZ165" s="50" t="b">
        <f aca="false">IF(Configuration!$C$39="No","",IFERROR(IF(AND(N(BS165)&gt;=2,N(BF165)&gt;=2),TRUE(),FALSE()),FALSE()))</f>
        <v>0</v>
      </c>
      <c r="DA165" s="50" t="b">
        <f aca="false">IF(Configuration!$C$40="No","",IFERROR(IF(OR(N(BG165)&lt;=Configuration!$C$56,N(AY165)&lt;Configuration!$C$57,N(BH165)&lt;=Configuration!$C$58),TRUE(),FALSE()),FALSE()))</f>
        <v>1</v>
      </c>
      <c r="DB165" s="50" t="b">
        <f aca="false">IF(Configuration!$C$41="No","",IFERROR(IF(AND(N(AY165)&gt;=Configuration!$C$54,N(AY165)&lt;=Configuration!$C$55),TRUE(),FALSE()),FALSE()))</f>
        <v>0</v>
      </c>
      <c r="DC165" s="50" t="b">
        <f aca="false">IF(Configuration!$C$42="No","",IFERROR(IF(AND(AG165&lt;&gt;"",AJ165&lt;&gt;""),TRUE(),FALSE()),FALSE()))</f>
        <v>0</v>
      </c>
      <c r="DD165" s="51" t="n">
        <f aca="false">COUNTIF(BW165:DC165,TRUE())</f>
        <v>2</v>
      </c>
    </row>
    <row r="166" customFormat="false" ht="15" hidden="false" customHeight="true" outlineLevel="0" collapsed="false">
      <c r="A166" s="18" t="n">
        <v>127</v>
      </c>
      <c r="B166" s="44"/>
      <c r="C166" s="44"/>
      <c r="D166" s="44"/>
      <c r="E166" s="44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6" t="str">
        <f aca="false">IFERROR(IF(F166&lt;&gt;"",F166,""),"")</f>
        <v/>
      </c>
      <c r="AF166" s="46" t="str">
        <f aca="false">IFERROR(IF(G166&lt;&gt;"",G166,""),"")</f>
        <v/>
      </c>
      <c r="AG166" s="46" t="str">
        <f aca="false">IFERROR(IF(AA166&lt;&gt;"",AA166,IF(R166&lt;&gt;"",R166,"")),"")</f>
        <v/>
      </c>
      <c r="AH166" s="46" t="str">
        <f aca="false">IFERROR(IF(AB166&lt;&gt;"",AB166,IF(S166&lt;&gt;"",S166,"")),"")</f>
        <v/>
      </c>
      <c r="AI166" s="47"/>
      <c r="AJ166" s="47"/>
      <c r="AK166" s="47"/>
      <c r="AL166" s="47"/>
      <c r="AM166" s="47"/>
      <c r="AN166" s="47"/>
      <c r="AO166" s="47"/>
      <c r="AP166" s="47"/>
      <c r="AQ166" s="46" t="str">
        <f aca="false">IFERROR(IF(Y166&lt;&gt;"",VALUE(Y166),""),"")</f>
        <v/>
      </c>
      <c r="AR166" s="47"/>
      <c r="AS166" s="47"/>
      <c r="AT166" s="47"/>
      <c r="AU166" s="47"/>
      <c r="AV166" s="46" t="str">
        <f aca="false">IFERROR(IF(T166&lt;&gt;"",VALUE(T166),""),"")</f>
        <v/>
      </c>
      <c r="AW166" s="46" t="str">
        <f aca="false">IFERROR(IF(N166="","",IF(OR(ISNUMBER(SEARCH("grant",N166)),ISNUMBER(SEARCH("B",AC166))),"Granted",IF(OR(ISNUMBER(SEARCH("pend",N166)),ISNUMBER(SEARCH("A",AC166))),"Pending",IF(ISNUMBER(SEARCH("expir",N166)),"Expired",N166)))),"")</f>
        <v/>
      </c>
      <c r="AX166" s="47"/>
      <c r="AY166" s="46" t="str">
        <f aca="true">IFERROR(IF(M166&lt;&gt;"",ROUND(VALUE(M166),1),IF(L166&lt;&gt;"",ROUND(MAX(0,(DATEVALUE(TEXT(L166,"YYYY-MM-DD"))-TODAY())/365.25),1),"")),"")</f>
        <v/>
      </c>
      <c r="AZ166" s="46" t="str">
        <f aca="false">IFERROR(IF(O166&lt;&gt;"",O166,""),"")</f>
        <v/>
      </c>
      <c r="BA166" s="46" t="str">
        <f aca="false">IFERROR(IF(U166&lt;&gt;"",SUBSTITUTE(SUBSTITUTE(U166,"; ",", "),";",","),""),"")</f>
        <v/>
      </c>
      <c r="BB166" s="47"/>
      <c r="BC166" s="47"/>
      <c r="BD166" s="47"/>
      <c r="BE166" s="47"/>
      <c r="BF166" s="47"/>
      <c r="BG166" s="47"/>
      <c r="BH166" s="47"/>
      <c r="BI166" s="47"/>
      <c r="BJ166" s="47"/>
      <c r="BK166" s="46" t="str">
        <f aca="false">IFERROR(IF(W166&lt;&gt;"",VALUE(W166),""),"")</f>
        <v/>
      </c>
      <c r="BL166" s="46" t="str">
        <f aca="false">IFERROR(IF(X166&lt;&gt;"",VALUE(X166),""),"")</f>
        <v/>
      </c>
      <c r="BM166" s="46" t="str">
        <f aca="false">IFERROR(IF(AD166="","None",IF(ISNUMBER(SEARCH("surv",AD166)),"Survived",IF(ISNUMBER(SEARCH("pend",AD166)),"Pending",IF(ISNUMBER(SEARCH("yes",AD166)),"Pending","None")))),"None")</f>
        <v>None</v>
      </c>
      <c r="BN166" s="47"/>
      <c r="BO166" s="47"/>
      <c r="BP166" s="47"/>
      <c r="BQ166" s="47"/>
      <c r="BR166" s="47"/>
      <c r="BS166" s="47"/>
      <c r="BT166" s="47"/>
      <c r="BU166" s="48" t="n">
        <f aca="false">IFERROR(COUNTA(AE166:BT166)/42,0)</f>
        <v>0.30952380952381</v>
      </c>
      <c r="BV166" s="49"/>
      <c r="BW166" s="50" t="b">
        <f aca="false">IF(Configuration!$C$10="No","",IFERROR(IF(AG166&lt;&gt;"",TRUE(),FALSE()),FALSE()))</f>
        <v>0</v>
      </c>
      <c r="BX166" s="50" t="b">
        <f aca="false">IF(Configuration!$C$11="No","",IFERROR(IF(AND(N(AL166)&gt;=Configuration!$C$44,AM166&lt;&gt;""),TRUE(),FALSE()),FALSE()))</f>
        <v>0</v>
      </c>
      <c r="BY166" s="50" t="b">
        <f aca="false">IF(Configuration!$C$12="No","",IFERROR(IF(AJ166&lt;&gt;"",TRUE(),FALSE()),FALSE()))</f>
        <v>0</v>
      </c>
      <c r="BZ166" s="50" t="b">
        <f aca="false">IF(Configuration!$C$13="No","",IFERROR(IF(AI166&lt;&gt;"",TRUE(),FALSE()),FALSE()))</f>
        <v>0</v>
      </c>
      <c r="CA166" s="50" t="b">
        <f aca="false">IF(Configuration!$C$14="No","",IFERROR(IF(AK166&lt;&gt;"",TRUE(),FALSE()),FALSE()))</f>
        <v>0</v>
      </c>
      <c r="CB166" s="50" t="b">
        <f aca="false">IF(Configuration!$C$15="No","",IFERROR(IF(AND(OR(ISNUMBER(SEARCH("process",AG166)),ISNUMBER(SEARCH("fab",AG166)),ISNUMBER(SEARCH("manufac",AG166))),AO166="Method"),TRUE(),FALSE()),FALSE()))</f>
        <v>0</v>
      </c>
      <c r="CC166" s="50" t="b">
        <f aca="false">IF(Configuration!$C$16="No","",IFERROR(IF(AND(OR(ISNUMBER(SEARCH("material",AG166)),ISNUMBER(SEARCH("chem",AG166)),ISNUMBER(SEARCH("battery",AG166)),ISNUMBER(SEARCH("electrolyte",AG166)),ISNUMBER(SEARCH("polymer",AG166))),OR(AO166="Apparatus",AO166="Method")),TRUE(),FALSE()),FALSE()))</f>
        <v>0</v>
      </c>
      <c r="CD166" s="50" t="b">
        <f aca="false">IF(Configuration!$C$17="No","",IFERROR(IF(AND(OR(AI166="App",AI166="Middleware",AI166="Cloud"),OR(AO166="Method",AO166="CRM")),TRUE(),FALSE()),FALSE()))</f>
        <v>0</v>
      </c>
      <c r="CE166" s="50" t="b">
        <f aca="false">IF(Configuration!$C$18="No","",IFERROR(IF(N(AN166)&gt;=Configuration!$C$45,TRUE(),FALSE()),FALSE()))</f>
        <v>0</v>
      </c>
      <c r="CF166" s="50" t="b">
        <f aca="false">IF(Configuration!$C$19="No","",IFERROR(IF(BE166&lt;&gt;"",TRUE(),FALSE()),FALSE()))</f>
        <v>0</v>
      </c>
      <c r="CG166" s="50" t="b">
        <f aca="false">IF(Configuration!$C$20="No","",IFERROR(IF(AO166&lt;&gt;"",TRUE(),FALSE()),FALSE()))</f>
        <v>0</v>
      </c>
      <c r="CH166" s="50" t="b">
        <f aca="false">IF(Configuration!$C$21="No","",IFERROR(IF(OR(N(AS166)&gt;=Configuration!$C$46,N(AT166)&gt;=Configuration!$C$47),TRUE(),FALSE()),FALSE()))</f>
        <v>0</v>
      </c>
      <c r="CI166" s="50" t="b">
        <f aca="false">IF(Configuration!$C$22="No","",IFERROR(IF(BB166="Yes",TRUE(),FALSE()),FALSE()))</f>
        <v>0</v>
      </c>
      <c r="CJ166" s="50" t="b">
        <f aca="false">IF(Configuration!$C$23="No","",IFERROR(IF(N(AV166)&gt;=Configuration!$C$48,TRUE(),FALSE()),FALSE()))</f>
        <v>0</v>
      </c>
      <c r="CK166" s="50" t="b">
        <f aca="false">IF(Configuration!$C$24="No","",IFERROR(IF(N(AY166)&gt;0,TRUE(),FALSE()),FALSE()))</f>
        <v>0</v>
      </c>
      <c r="CL166" s="50" t="b">
        <f aca="false">IF(Configuration!$C$25="No","",IFERROR(IF(OR(N(AP166)=3,N(AP166)&lt;=1),TRUE(),FALSE()),FALSE()))</f>
        <v>1</v>
      </c>
      <c r="CM166" s="50" t="b">
        <f aca="false">IF(Configuration!$C$26="No","",IFERROR(IF(N(BF166)&gt;=Configuration!$C$49,TRUE(),FALSE()),FALSE()))</f>
        <v>0</v>
      </c>
      <c r="CN166" s="50" t="b">
        <f aca="false">IF(Configuration!$C$27="No","",IFERROR(IF(BD166&lt;&gt;"",TRUE(),FALSE()),FALSE()))</f>
        <v>0</v>
      </c>
      <c r="CO166" s="50" t="b">
        <f aca="false">IF(Configuration!$C$28="No","",IFERROR(IF(N(AU166)&gt;=Configuration!$C$50,TRUE(),FALSE()),FALSE()))</f>
        <v>0</v>
      </c>
      <c r="CP166" s="50" t="b">
        <f aca="false">IF(Configuration!$C$29="No","",IFERROR(IF(AND(N(AR166)&gt;=Configuration!$C$51,AG166&lt;&gt;""),TRUE(),FALSE()),FALSE()))</f>
        <v>0</v>
      </c>
      <c r="CQ166" s="50" t="b">
        <f aca="false">IF(Configuration!$C$30="No","",IFERROR(IF(OR(AW166="Pending",AX166="Yes"),TRUE(),FALSE()),FALSE()))</f>
        <v>0</v>
      </c>
      <c r="CR166" s="50" t="b">
        <f aca="false">IF(Configuration!$C$31="No","",IFERROR(IF(AND(N(BG166)&gt;=Configuration!$C$52,N(AP166)&gt;=1),TRUE(),FALSE()),FALSE()))</f>
        <v>0</v>
      </c>
      <c r="CS166" s="50" t="b">
        <f aca="false">IF(Configuration!$C$32="No","",IFERROR(IF(AND(N(AR166)&gt;=1,OR(AG166&lt;&gt;"",AM166&lt;&gt;"")),TRUE(),FALSE()),FALSE()))</f>
        <v>0</v>
      </c>
      <c r="CT166" s="50" t="b">
        <f aca="false">IF(Configuration!$C$33="No","",IFERROR(IF(AG166&lt;&gt;"",TRUE(),FALSE()),FALSE()))</f>
        <v>0</v>
      </c>
      <c r="CU166" s="50" t="b">
        <f aca="false">IF(Configuration!$C$34="No","",IFERROR(IF(AX166="Yes",TRUE(),FALSE()),FALSE()))</f>
        <v>0</v>
      </c>
      <c r="CV166" s="50" t="b">
        <f aca="false">IF(Configuration!$C$35="No","",IFERROR(IF(OR(BO166="Partial",BO166="Full"),TRUE(),FALSE()),FALSE()))</f>
        <v>0</v>
      </c>
      <c r="CW166" s="50" t="b">
        <f aca="false">IF(Configuration!$C$36="No","",IFERROR(IF(BM166="Survived",TRUE(),FALSE()),FALSE()))</f>
        <v>0</v>
      </c>
      <c r="CX166" s="50" t="b">
        <f aca="false">IF(Configuration!$C$37="No","",IFERROR(IF(AND(BN166="Clean",BP166="None"),TRUE(),FALSE()),FALSE()))</f>
        <v>0</v>
      </c>
      <c r="CY166" s="50" t="b">
        <f aca="false">IF(Configuration!$C$38="No","",IFERROR(IF(N(BK166)&gt;=Configuration!$C$53,TRUE(),FALSE()),FALSE()))</f>
        <v>0</v>
      </c>
      <c r="CZ166" s="50" t="b">
        <f aca="false">IF(Configuration!$C$39="No","",IFERROR(IF(AND(N(BS166)&gt;=2,N(BF166)&gt;=2),TRUE(),FALSE()),FALSE()))</f>
        <v>0</v>
      </c>
      <c r="DA166" s="50" t="b">
        <f aca="false">IF(Configuration!$C$40="No","",IFERROR(IF(OR(N(BG166)&lt;=Configuration!$C$56,N(AY166)&lt;Configuration!$C$57,N(BH166)&lt;=Configuration!$C$58),TRUE(),FALSE()),FALSE()))</f>
        <v>1</v>
      </c>
      <c r="DB166" s="50" t="b">
        <f aca="false">IF(Configuration!$C$41="No","",IFERROR(IF(AND(N(AY166)&gt;=Configuration!$C$54,N(AY166)&lt;=Configuration!$C$55),TRUE(),FALSE()),FALSE()))</f>
        <v>0</v>
      </c>
      <c r="DC166" s="50" t="b">
        <f aca="false">IF(Configuration!$C$42="No","",IFERROR(IF(AND(AG166&lt;&gt;"",AJ166&lt;&gt;""),TRUE(),FALSE()),FALSE()))</f>
        <v>0</v>
      </c>
      <c r="DD166" s="51" t="n">
        <f aca="false">COUNTIF(BW166:DC166,TRUE())</f>
        <v>2</v>
      </c>
    </row>
    <row r="167" customFormat="false" ht="15" hidden="false" customHeight="true" outlineLevel="0" collapsed="false">
      <c r="A167" s="18" t="n">
        <v>128</v>
      </c>
      <c r="B167" s="44"/>
      <c r="C167" s="44"/>
      <c r="D167" s="44"/>
      <c r="E167" s="44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6" t="str">
        <f aca="false">IFERROR(IF(F167&lt;&gt;"",F167,""),"")</f>
        <v/>
      </c>
      <c r="AF167" s="46" t="str">
        <f aca="false">IFERROR(IF(G167&lt;&gt;"",G167,""),"")</f>
        <v/>
      </c>
      <c r="AG167" s="46" t="str">
        <f aca="false">IFERROR(IF(AA167&lt;&gt;"",AA167,IF(R167&lt;&gt;"",R167,"")),"")</f>
        <v/>
      </c>
      <c r="AH167" s="46" t="str">
        <f aca="false">IFERROR(IF(AB167&lt;&gt;"",AB167,IF(S167&lt;&gt;"",S167,"")),"")</f>
        <v/>
      </c>
      <c r="AI167" s="47"/>
      <c r="AJ167" s="47"/>
      <c r="AK167" s="47"/>
      <c r="AL167" s="47"/>
      <c r="AM167" s="47"/>
      <c r="AN167" s="47"/>
      <c r="AO167" s="47"/>
      <c r="AP167" s="47"/>
      <c r="AQ167" s="46" t="str">
        <f aca="false">IFERROR(IF(Y167&lt;&gt;"",VALUE(Y167),""),"")</f>
        <v/>
      </c>
      <c r="AR167" s="47"/>
      <c r="AS167" s="47"/>
      <c r="AT167" s="47"/>
      <c r="AU167" s="47"/>
      <c r="AV167" s="46" t="str">
        <f aca="false">IFERROR(IF(T167&lt;&gt;"",VALUE(T167),""),"")</f>
        <v/>
      </c>
      <c r="AW167" s="46" t="str">
        <f aca="false">IFERROR(IF(N167="","",IF(OR(ISNUMBER(SEARCH("grant",N167)),ISNUMBER(SEARCH("B",AC167))),"Granted",IF(OR(ISNUMBER(SEARCH("pend",N167)),ISNUMBER(SEARCH("A",AC167))),"Pending",IF(ISNUMBER(SEARCH("expir",N167)),"Expired",N167)))),"")</f>
        <v/>
      </c>
      <c r="AX167" s="47"/>
      <c r="AY167" s="46" t="str">
        <f aca="true">IFERROR(IF(M167&lt;&gt;"",ROUND(VALUE(M167),1),IF(L167&lt;&gt;"",ROUND(MAX(0,(DATEVALUE(TEXT(L167,"YYYY-MM-DD"))-TODAY())/365.25),1),"")),"")</f>
        <v/>
      </c>
      <c r="AZ167" s="46" t="str">
        <f aca="false">IFERROR(IF(O167&lt;&gt;"",O167,""),"")</f>
        <v/>
      </c>
      <c r="BA167" s="46" t="str">
        <f aca="false">IFERROR(IF(U167&lt;&gt;"",SUBSTITUTE(SUBSTITUTE(U167,"; ",", "),";",","),""),"")</f>
        <v/>
      </c>
      <c r="BB167" s="47"/>
      <c r="BC167" s="47"/>
      <c r="BD167" s="47"/>
      <c r="BE167" s="47"/>
      <c r="BF167" s="47"/>
      <c r="BG167" s="47"/>
      <c r="BH167" s="47"/>
      <c r="BI167" s="47"/>
      <c r="BJ167" s="47"/>
      <c r="BK167" s="46" t="str">
        <f aca="false">IFERROR(IF(W167&lt;&gt;"",VALUE(W167),""),"")</f>
        <v/>
      </c>
      <c r="BL167" s="46" t="str">
        <f aca="false">IFERROR(IF(X167&lt;&gt;"",VALUE(X167),""),"")</f>
        <v/>
      </c>
      <c r="BM167" s="46" t="str">
        <f aca="false">IFERROR(IF(AD167="","None",IF(ISNUMBER(SEARCH("surv",AD167)),"Survived",IF(ISNUMBER(SEARCH("pend",AD167)),"Pending",IF(ISNUMBER(SEARCH("yes",AD167)),"Pending","None")))),"None")</f>
        <v>None</v>
      </c>
      <c r="BN167" s="47"/>
      <c r="BO167" s="47"/>
      <c r="BP167" s="47"/>
      <c r="BQ167" s="47"/>
      <c r="BR167" s="47"/>
      <c r="BS167" s="47"/>
      <c r="BT167" s="47"/>
      <c r="BU167" s="48" t="n">
        <f aca="false">IFERROR(COUNTA(AE167:BT167)/42,0)</f>
        <v>0.30952380952381</v>
      </c>
      <c r="BV167" s="49"/>
      <c r="BW167" s="50" t="b">
        <f aca="false">IF(Configuration!$C$10="No","",IFERROR(IF(AG167&lt;&gt;"",TRUE(),FALSE()),FALSE()))</f>
        <v>0</v>
      </c>
      <c r="BX167" s="50" t="b">
        <f aca="false">IF(Configuration!$C$11="No","",IFERROR(IF(AND(N(AL167)&gt;=Configuration!$C$44,AM167&lt;&gt;""),TRUE(),FALSE()),FALSE()))</f>
        <v>0</v>
      </c>
      <c r="BY167" s="50" t="b">
        <f aca="false">IF(Configuration!$C$12="No","",IFERROR(IF(AJ167&lt;&gt;"",TRUE(),FALSE()),FALSE()))</f>
        <v>0</v>
      </c>
      <c r="BZ167" s="50" t="b">
        <f aca="false">IF(Configuration!$C$13="No","",IFERROR(IF(AI167&lt;&gt;"",TRUE(),FALSE()),FALSE()))</f>
        <v>0</v>
      </c>
      <c r="CA167" s="50" t="b">
        <f aca="false">IF(Configuration!$C$14="No","",IFERROR(IF(AK167&lt;&gt;"",TRUE(),FALSE()),FALSE()))</f>
        <v>0</v>
      </c>
      <c r="CB167" s="50" t="b">
        <f aca="false">IF(Configuration!$C$15="No","",IFERROR(IF(AND(OR(ISNUMBER(SEARCH("process",AG167)),ISNUMBER(SEARCH("fab",AG167)),ISNUMBER(SEARCH("manufac",AG167))),AO167="Method"),TRUE(),FALSE()),FALSE()))</f>
        <v>0</v>
      </c>
      <c r="CC167" s="50" t="b">
        <f aca="false">IF(Configuration!$C$16="No","",IFERROR(IF(AND(OR(ISNUMBER(SEARCH("material",AG167)),ISNUMBER(SEARCH("chem",AG167)),ISNUMBER(SEARCH("battery",AG167)),ISNUMBER(SEARCH("electrolyte",AG167)),ISNUMBER(SEARCH("polymer",AG167))),OR(AO167="Apparatus",AO167="Method")),TRUE(),FALSE()),FALSE()))</f>
        <v>0</v>
      </c>
      <c r="CD167" s="50" t="b">
        <f aca="false">IF(Configuration!$C$17="No","",IFERROR(IF(AND(OR(AI167="App",AI167="Middleware",AI167="Cloud"),OR(AO167="Method",AO167="CRM")),TRUE(),FALSE()),FALSE()))</f>
        <v>0</v>
      </c>
      <c r="CE167" s="50" t="b">
        <f aca="false">IF(Configuration!$C$18="No","",IFERROR(IF(N(AN167)&gt;=Configuration!$C$45,TRUE(),FALSE()),FALSE()))</f>
        <v>0</v>
      </c>
      <c r="CF167" s="50" t="b">
        <f aca="false">IF(Configuration!$C$19="No","",IFERROR(IF(BE167&lt;&gt;"",TRUE(),FALSE()),FALSE()))</f>
        <v>0</v>
      </c>
      <c r="CG167" s="50" t="b">
        <f aca="false">IF(Configuration!$C$20="No","",IFERROR(IF(AO167&lt;&gt;"",TRUE(),FALSE()),FALSE()))</f>
        <v>0</v>
      </c>
      <c r="CH167" s="50" t="b">
        <f aca="false">IF(Configuration!$C$21="No","",IFERROR(IF(OR(N(AS167)&gt;=Configuration!$C$46,N(AT167)&gt;=Configuration!$C$47),TRUE(),FALSE()),FALSE()))</f>
        <v>0</v>
      </c>
      <c r="CI167" s="50" t="b">
        <f aca="false">IF(Configuration!$C$22="No","",IFERROR(IF(BB167="Yes",TRUE(),FALSE()),FALSE()))</f>
        <v>0</v>
      </c>
      <c r="CJ167" s="50" t="b">
        <f aca="false">IF(Configuration!$C$23="No","",IFERROR(IF(N(AV167)&gt;=Configuration!$C$48,TRUE(),FALSE()),FALSE()))</f>
        <v>0</v>
      </c>
      <c r="CK167" s="50" t="b">
        <f aca="false">IF(Configuration!$C$24="No","",IFERROR(IF(N(AY167)&gt;0,TRUE(),FALSE()),FALSE()))</f>
        <v>0</v>
      </c>
      <c r="CL167" s="50" t="b">
        <f aca="false">IF(Configuration!$C$25="No","",IFERROR(IF(OR(N(AP167)=3,N(AP167)&lt;=1),TRUE(),FALSE()),FALSE()))</f>
        <v>1</v>
      </c>
      <c r="CM167" s="50" t="b">
        <f aca="false">IF(Configuration!$C$26="No","",IFERROR(IF(N(BF167)&gt;=Configuration!$C$49,TRUE(),FALSE()),FALSE()))</f>
        <v>0</v>
      </c>
      <c r="CN167" s="50" t="b">
        <f aca="false">IF(Configuration!$C$27="No","",IFERROR(IF(BD167&lt;&gt;"",TRUE(),FALSE()),FALSE()))</f>
        <v>0</v>
      </c>
      <c r="CO167" s="50" t="b">
        <f aca="false">IF(Configuration!$C$28="No","",IFERROR(IF(N(AU167)&gt;=Configuration!$C$50,TRUE(),FALSE()),FALSE()))</f>
        <v>0</v>
      </c>
      <c r="CP167" s="50" t="b">
        <f aca="false">IF(Configuration!$C$29="No","",IFERROR(IF(AND(N(AR167)&gt;=Configuration!$C$51,AG167&lt;&gt;""),TRUE(),FALSE()),FALSE()))</f>
        <v>0</v>
      </c>
      <c r="CQ167" s="50" t="b">
        <f aca="false">IF(Configuration!$C$30="No","",IFERROR(IF(OR(AW167="Pending",AX167="Yes"),TRUE(),FALSE()),FALSE()))</f>
        <v>0</v>
      </c>
      <c r="CR167" s="50" t="b">
        <f aca="false">IF(Configuration!$C$31="No","",IFERROR(IF(AND(N(BG167)&gt;=Configuration!$C$52,N(AP167)&gt;=1),TRUE(),FALSE()),FALSE()))</f>
        <v>0</v>
      </c>
      <c r="CS167" s="50" t="b">
        <f aca="false">IF(Configuration!$C$32="No","",IFERROR(IF(AND(N(AR167)&gt;=1,OR(AG167&lt;&gt;"",AM167&lt;&gt;"")),TRUE(),FALSE()),FALSE()))</f>
        <v>0</v>
      </c>
      <c r="CT167" s="50" t="b">
        <f aca="false">IF(Configuration!$C$33="No","",IFERROR(IF(AG167&lt;&gt;"",TRUE(),FALSE()),FALSE()))</f>
        <v>0</v>
      </c>
      <c r="CU167" s="50" t="b">
        <f aca="false">IF(Configuration!$C$34="No","",IFERROR(IF(AX167="Yes",TRUE(),FALSE()),FALSE()))</f>
        <v>0</v>
      </c>
      <c r="CV167" s="50" t="b">
        <f aca="false">IF(Configuration!$C$35="No","",IFERROR(IF(OR(BO167="Partial",BO167="Full"),TRUE(),FALSE()),FALSE()))</f>
        <v>0</v>
      </c>
      <c r="CW167" s="50" t="b">
        <f aca="false">IF(Configuration!$C$36="No","",IFERROR(IF(BM167="Survived",TRUE(),FALSE()),FALSE()))</f>
        <v>0</v>
      </c>
      <c r="CX167" s="50" t="b">
        <f aca="false">IF(Configuration!$C$37="No","",IFERROR(IF(AND(BN167="Clean",BP167="None"),TRUE(),FALSE()),FALSE()))</f>
        <v>0</v>
      </c>
      <c r="CY167" s="50" t="b">
        <f aca="false">IF(Configuration!$C$38="No","",IFERROR(IF(N(BK167)&gt;=Configuration!$C$53,TRUE(),FALSE()),FALSE()))</f>
        <v>0</v>
      </c>
      <c r="CZ167" s="50" t="b">
        <f aca="false">IF(Configuration!$C$39="No","",IFERROR(IF(AND(N(BS167)&gt;=2,N(BF167)&gt;=2),TRUE(),FALSE()),FALSE()))</f>
        <v>0</v>
      </c>
      <c r="DA167" s="50" t="b">
        <f aca="false">IF(Configuration!$C$40="No","",IFERROR(IF(OR(N(BG167)&lt;=Configuration!$C$56,N(AY167)&lt;Configuration!$C$57,N(BH167)&lt;=Configuration!$C$58),TRUE(),FALSE()),FALSE()))</f>
        <v>1</v>
      </c>
      <c r="DB167" s="50" t="b">
        <f aca="false">IF(Configuration!$C$41="No","",IFERROR(IF(AND(N(AY167)&gt;=Configuration!$C$54,N(AY167)&lt;=Configuration!$C$55),TRUE(),FALSE()),FALSE()))</f>
        <v>0</v>
      </c>
      <c r="DC167" s="50" t="b">
        <f aca="false">IF(Configuration!$C$42="No","",IFERROR(IF(AND(AG167&lt;&gt;"",AJ167&lt;&gt;""),TRUE(),FALSE()),FALSE()))</f>
        <v>0</v>
      </c>
      <c r="DD167" s="51" t="n">
        <f aca="false">COUNTIF(BW167:DC167,TRUE())</f>
        <v>2</v>
      </c>
    </row>
    <row r="168" customFormat="false" ht="15" hidden="false" customHeight="true" outlineLevel="0" collapsed="false">
      <c r="A168" s="18" t="n">
        <v>129</v>
      </c>
      <c r="B168" s="44"/>
      <c r="C168" s="44"/>
      <c r="D168" s="44"/>
      <c r="E168" s="44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6" t="str">
        <f aca="false">IFERROR(IF(F168&lt;&gt;"",F168,""),"")</f>
        <v/>
      </c>
      <c r="AF168" s="46" t="str">
        <f aca="false">IFERROR(IF(G168&lt;&gt;"",G168,""),"")</f>
        <v/>
      </c>
      <c r="AG168" s="46" t="str">
        <f aca="false">IFERROR(IF(AA168&lt;&gt;"",AA168,IF(R168&lt;&gt;"",R168,"")),"")</f>
        <v/>
      </c>
      <c r="AH168" s="46" t="str">
        <f aca="false">IFERROR(IF(AB168&lt;&gt;"",AB168,IF(S168&lt;&gt;"",S168,"")),"")</f>
        <v/>
      </c>
      <c r="AI168" s="47"/>
      <c r="AJ168" s="47"/>
      <c r="AK168" s="47"/>
      <c r="AL168" s="47"/>
      <c r="AM168" s="47"/>
      <c r="AN168" s="47"/>
      <c r="AO168" s="47"/>
      <c r="AP168" s="47"/>
      <c r="AQ168" s="46" t="str">
        <f aca="false">IFERROR(IF(Y168&lt;&gt;"",VALUE(Y168),""),"")</f>
        <v/>
      </c>
      <c r="AR168" s="47"/>
      <c r="AS168" s="47"/>
      <c r="AT168" s="47"/>
      <c r="AU168" s="47"/>
      <c r="AV168" s="46" t="str">
        <f aca="false">IFERROR(IF(T168&lt;&gt;"",VALUE(T168),""),"")</f>
        <v/>
      </c>
      <c r="AW168" s="46" t="str">
        <f aca="false">IFERROR(IF(N168="","",IF(OR(ISNUMBER(SEARCH("grant",N168)),ISNUMBER(SEARCH("B",AC168))),"Granted",IF(OR(ISNUMBER(SEARCH("pend",N168)),ISNUMBER(SEARCH("A",AC168))),"Pending",IF(ISNUMBER(SEARCH("expir",N168)),"Expired",N168)))),"")</f>
        <v/>
      </c>
      <c r="AX168" s="47"/>
      <c r="AY168" s="46" t="str">
        <f aca="true">IFERROR(IF(M168&lt;&gt;"",ROUND(VALUE(M168),1),IF(L168&lt;&gt;"",ROUND(MAX(0,(DATEVALUE(TEXT(L168,"YYYY-MM-DD"))-TODAY())/365.25),1),"")),"")</f>
        <v/>
      </c>
      <c r="AZ168" s="46" t="str">
        <f aca="false">IFERROR(IF(O168&lt;&gt;"",O168,""),"")</f>
        <v/>
      </c>
      <c r="BA168" s="46" t="str">
        <f aca="false">IFERROR(IF(U168&lt;&gt;"",SUBSTITUTE(SUBSTITUTE(U168,"; ",", "),";",","),""),"")</f>
        <v/>
      </c>
      <c r="BB168" s="47"/>
      <c r="BC168" s="47"/>
      <c r="BD168" s="47"/>
      <c r="BE168" s="47"/>
      <c r="BF168" s="47"/>
      <c r="BG168" s="47"/>
      <c r="BH168" s="47"/>
      <c r="BI168" s="47"/>
      <c r="BJ168" s="47"/>
      <c r="BK168" s="46" t="str">
        <f aca="false">IFERROR(IF(W168&lt;&gt;"",VALUE(W168),""),"")</f>
        <v/>
      </c>
      <c r="BL168" s="46" t="str">
        <f aca="false">IFERROR(IF(X168&lt;&gt;"",VALUE(X168),""),"")</f>
        <v/>
      </c>
      <c r="BM168" s="46" t="str">
        <f aca="false">IFERROR(IF(AD168="","None",IF(ISNUMBER(SEARCH("surv",AD168)),"Survived",IF(ISNUMBER(SEARCH("pend",AD168)),"Pending",IF(ISNUMBER(SEARCH("yes",AD168)),"Pending","None")))),"None")</f>
        <v>None</v>
      </c>
      <c r="BN168" s="47"/>
      <c r="BO168" s="47"/>
      <c r="BP168" s="47"/>
      <c r="BQ168" s="47"/>
      <c r="BR168" s="47"/>
      <c r="BS168" s="47"/>
      <c r="BT168" s="47"/>
      <c r="BU168" s="48" t="n">
        <f aca="false">IFERROR(COUNTA(AE168:BT168)/42,0)</f>
        <v>0.30952380952381</v>
      </c>
      <c r="BV168" s="49"/>
      <c r="BW168" s="50" t="b">
        <f aca="false">IF(Configuration!$C$10="No","",IFERROR(IF(AG168&lt;&gt;"",TRUE(),FALSE()),FALSE()))</f>
        <v>0</v>
      </c>
      <c r="BX168" s="50" t="b">
        <f aca="false">IF(Configuration!$C$11="No","",IFERROR(IF(AND(N(AL168)&gt;=Configuration!$C$44,AM168&lt;&gt;""),TRUE(),FALSE()),FALSE()))</f>
        <v>0</v>
      </c>
      <c r="BY168" s="50" t="b">
        <f aca="false">IF(Configuration!$C$12="No","",IFERROR(IF(AJ168&lt;&gt;"",TRUE(),FALSE()),FALSE()))</f>
        <v>0</v>
      </c>
      <c r="BZ168" s="50" t="b">
        <f aca="false">IF(Configuration!$C$13="No","",IFERROR(IF(AI168&lt;&gt;"",TRUE(),FALSE()),FALSE()))</f>
        <v>0</v>
      </c>
      <c r="CA168" s="50" t="b">
        <f aca="false">IF(Configuration!$C$14="No","",IFERROR(IF(AK168&lt;&gt;"",TRUE(),FALSE()),FALSE()))</f>
        <v>0</v>
      </c>
      <c r="CB168" s="50" t="b">
        <f aca="false">IF(Configuration!$C$15="No","",IFERROR(IF(AND(OR(ISNUMBER(SEARCH("process",AG168)),ISNUMBER(SEARCH("fab",AG168)),ISNUMBER(SEARCH("manufac",AG168))),AO168="Method"),TRUE(),FALSE()),FALSE()))</f>
        <v>0</v>
      </c>
      <c r="CC168" s="50" t="b">
        <f aca="false">IF(Configuration!$C$16="No","",IFERROR(IF(AND(OR(ISNUMBER(SEARCH("material",AG168)),ISNUMBER(SEARCH("chem",AG168)),ISNUMBER(SEARCH("battery",AG168)),ISNUMBER(SEARCH("electrolyte",AG168)),ISNUMBER(SEARCH("polymer",AG168))),OR(AO168="Apparatus",AO168="Method")),TRUE(),FALSE()),FALSE()))</f>
        <v>0</v>
      </c>
      <c r="CD168" s="50" t="b">
        <f aca="false">IF(Configuration!$C$17="No","",IFERROR(IF(AND(OR(AI168="App",AI168="Middleware",AI168="Cloud"),OR(AO168="Method",AO168="CRM")),TRUE(),FALSE()),FALSE()))</f>
        <v>0</v>
      </c>
      <c r="CE168" s="50" t="b">
        <f aca="false">IF(Configuration!$C$18="No","",IFERROR(IF(N(AN168)&gt;=Configuration!$C$45,TRUE(),FALSE()),FALSE()))</f>
        <v>0</v>
      </c>
      <c r="CF168" s="50" t="b">
        <f aca="false">IF(Configuration!$C$19="No","",IFERROR(IF(BE168&lt;&gt;"",TRUE(),FALSE()),FALSE()))</f>
        <v>0</v>
      </c>
      <c r="CG168" s="50" t="b">
        <f aca="false">IF(Configuration!$C$20="No","",IFERROR(IF(AO168&lt;&gt;"",TRUE(),FALSE()),FALSE()))</f>
        <v>0</v>
      </c>
      <c r="CH168" s="50" t="b">
        <f aca="false">IF(Configuration!$C$21="No","",IFERROR(IF(OR(N(AS168)&gt;=Configuration!$C$46,N(AT168)&gt;=Configuration!$C$47),TRUE(),FALSE()),FALSE()))</f>
        <v>0</v>
      </c>
      <c r="CI168" s="50" t="b">
        <f aca="false">IF(Configuration!$C$22="No","",IFERROR(IF(BB168="Yes",TRUE(),FALSE()),FALSE()))</f>
        <v>0</v>
      </c>
      <c r="CJ168" s="50" t="b">
        <f aca="false">IF(Configuration!$C$23="No","",IFERROR(IF(N(AV168)&gt;=Configuration!$C$48,TRUE(),FALSE()),FALSE()))</f>
        <v>0</v>
      </c>
      <c r="CK168" s="50" t="b">
        <f aca="false">IF(Configuration!$C$24="No","",IFERROR(IF(N(AY168)&gt;0,TRUE(),FALSE()),FALSE()))</f>
        <v>0</v>
      </c>
      <c r="CL168" s="50" t="b">
        <f aca="false">IF(Configuration!$C$25="No","",IFERROR(IF(OR(N(AP168)=3,N(AP168)&lt;=1),TRUE(),FALSE()),FALSE()))</f>
        <v>1</v>
      </c>
      <c r="CM168" s="50" t="b">
        <f aca="false">IF(Configuration!$C$26="No","",IFERROR(IF(N(BF168)&gt;=Configuration!$C$49,TRUE(),FALSE()),FALSE()))</f>
        <v>0</v>
      </c>
      <c r="CN168" s="50" t="b">
        <f aca="false">IF(Configuration!$C$27="No","",IFERROR(IF(BD168&lt;&gt;"",TRUE(),FALSE()),FALSE()))</f>
        <v>0</v>
      </c>
      <c r="CO168" s="50" t="b">
        <f aca="false">IF(Configuration!$C$28="No","",IFERROR(IF(N(AU168)&gt;=Configuration!$C$50,TRUE(),FALSE()),FALSE()))</f>
        <v>0</v>
      </c>
      <c r="CP168" s="50" t="b">
        <f aca="false">IF(Configuration!$C$29="No","",IFERROR(IF(AND(N(AR168)&gt;=Configuration!$C$51,AG168&lt;&gt;""),TRUE(),FALSE()),FALSE()))</f>
        <v>0</v>
      </c>
      <c r="CQ168" s="50" t="b">
        <f aca="false">IF(Configuration!$C$30="No","",IFERROR(IF(OR(AW168="Pending",AX168="Yes"),TRUE(),FALSE()),FALSE()))</f>
        <v>0</v>
      </c>
      <c r="CR168" s="50" t="b">
        <f aca="false">IF(Configuration!$C$31="No","",IFERROR(IF(AND(N(BG168)&gt;=Configuration!$C$52,N(AP168)&gt;=1),TRUE(),FALSE()),FALSE()))</f>
        <v>0</v>
      </c>
      <c r="CS168" s="50" t="b">
        <f aca="false">IF(Configuration!$C$32="No","",IFERROR(IF(AND(N(AR168)&gt;=1,OR(AG168&lt;&gt;"",AM168&lt;&gt;"")),TRUE(),FALSE()),FALSE()))</f>
        <v>0</v>
      </c>
      <c r="CT168" s="50" t="b">
        <f aca="false">IF(Configuration!$C$33="No","",IFERROR(IF(AG168&lt;&gt;"",TRUE(),FALSE()),FALSE()))</f>
        <v>0</v>
      </c>
      <c r="CU168" s="50" t="b">
        <f aca="false">IF(Configuration!$C$34="No","",IFERROR(IF(AX168="Yes",TRUE(),FALSE()),FALSE()))</f>
        <v>0</v>
      </c>
      <c r="CV168" s="50" t="b">
        <f aca="false">IF(Configuration!$C$35="No","",IFERROR(IF(OR(BO168="Partial",BO168="Full"),TRUE(),FALSE()),FALSE()))</f>
        <v>0</v>
      </c>
      <c r="CW168" s="50" t="b">
        <f aca="false">IF(Configuration!$C$36="No","",IFERROR(IF(BM168="Survived",TRUE(),FALSE()),FALSE()))</f>
        <v>0</v>
      </c>
      <c r="CX168" s="50" t="b">
        <f aca="false">IF(Configuration!$C$37="No","",IFERROR(IF(AND(BN168="Clean",BP168="None"),TRUE(),FALSE()),FALSE()))</f>
        <v>0</v>
      </c>
      <c r="CY168" s="50" t="b">
        <f aca="false">IF(Configuration!$C$38="No","",IFERROR(IF(N(BK168)&gt;=Configuration!$C$53,TRUE(),FALSE()),FALSE()))</f>
        <v>0</v>
      </c>
      <c r="CZ168" s="50" t="b">
        <f aca="false">IF(Configuration!$C$39="No","",IFERROR(IF(AND(N(BS168)&gt;=2,N(BF168)&gt;=2),TRUE(),FALSE()),FALSE()))</f>
        <v>0</v>
      </c>
      <c r="DA168" s="50" t="b">
        <f aca="false">IF(Configuration!$C$40="No","",IFERROR(IF(OR(N(BG168)&lt;=Configuration!$C$56,N(AY168)&lt;Configuration!$C$57,N(BH168)&lt;=Configuration!$C$58),TRUE(),FALSE()),FALSE()))</f>
        <v>1</v>
      </c>
      <c r="DB168" s="50" t="b">
        <f aca="false">IF(Configuration!$C$41="No","",IFERROR(IF(AND(N(AY168)&gt;=Configuration!$C$54,N(AY168)&lt;=Configuration!$C$55),TRUE(),FALSE()),FALSE()))</f>
        <v>0</v>
      </c>
      <c r="DC168" s="50" t="b">
        <f aca="false">IF(Configuration!$C$42="No","",IFERROR(IF(AND(AG168&lt;&gt;"",AJ168&lt;&gt;""),TRUE(),FALSE()),FALSE()))</f>
        <v>0</v>
      </c>
      <c r="DD168" s="51" t="n">
        <f aca="false">COUNTIF(BW168:DC168,TRUE())</f>
        <v>2</v>
      </c>
    </row>
    <row r="169" customFormat="false" ht="15" hidden="false" customHeight="true" outlineLevel="0" collapsed="false">
      <c r="A169" s="18" t="n">
        <v>130</v>
      </c>
      <c r="B169" s="44"/>
      <c r="C169" s="44"/>
      <c r="D169" s="44"/>
      <c r="E169" s="44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6" t="str">
        <f aca="false">IFERROR(IF(F169&lt;&gt;"",F169,""),"")</f>
        <v/>
      </c>
      <c r="AF169" s="46" t="str">
        <f aca="false">IFERROR(IF(G169&lt;&gt;"",G169,""),"")</f>
        <v/>
      </c>
      <c r="AG169" s="46" t="str">
        <f aca="false">IFERROR(IF(AA169&lt;&gt;"",AA169,IF(R169&lt;&gt;"",R169,"")),"")</f>
        <v/>
      </c>
      <c r="AH169" s="46" t="str">
        <f aca="false">IFERROR(IF(AB169&lt;&gt;"",AB169,IF(S169&lt;&gt;"",S169,"")),"")</f>
        <v/>
      </c>
      <c r="AI169" s="47"/>
      <c r="AJ169" s="47"/>
      <c r="AK169" s="47"/>
      <c r="AL169" s="47"/>
      <c r="AM169" s="47"/>
      <c r="AN169" s="47"/>
      <c r="AO169" s="47"/>
      <c r="AP169" s="47"/>
      <c r="AQ169" s="46" t="str">
        <f aca="false">IFERROR(IF(Y169&lt;&gt;"",VALUE(Y169),""),"")</f>
        <v/>
      </c>
      <c r="AR169" s="47"/>
      <c r="AS169" s="47"/>
      <c r="AT169" s="47"/>
      <c r="AU169" s="47"/>
      <c r="AV169" s="46" t="str">
        <f aca="false">IFERROR(IF(T169&lt;&gt;"",VALUE(T169),""),"")</f>
        <v/>
      </c>
      <c r="AW169" s="46" t="str">
        <f aca="false">IFERROR(IF(N169="","",IF(OR(ISNUMBER(SEARCH("grant",N169)),ISNUMBER(SEARCH("B",AC169))),"Granted",IF(OR(ISNUMBER(SEARCH("pend",N169)),ISNUMBER(SEARCH("A",AC169))),"Pending",IF(ISNUMBER(SEARCH("expir",N169)),"Expired",N169)))),"")</f>
        <v/>
      </c>
      <c r="AX169" s="47"/>
      <c r="AY169" s="46" t="str">
        <f aca="true">IFERROR(IF(M169&lt;&gt;"",ROUND(VALUE(M169),1),IF(L169&lt;&gt;"",ROUND(MAX(0,(DATEVALUE(TEXT(L169,"YYYY-MM-DD"))-TODAY())/365.25),1),"")),"")</f>
        <v/>
      </c>
      <c r="AZ169" s="46" t="str">
        <f aca="false">IFERROR(IF(O169&lt;&gt;"",O169,""),"")</f>
        <v/>
      </c>
      <c r="BA169" s="46" t="str">
        <f aca="false">IFERROR(IF(U169&lt;&gt;"",SUBSTITUTE(SUBSTITUTE(U169,"; ",", "),";",","),""),"")</f>
        <v/>
      </c>
      <c r="BB169" s="47"/>
      <c r="BC169" s="47"/>
      <c r="BD169" s="47"/>
      <c r="BE169" s="47"/>
      <c r="BF169" s="47"/>
      <c r="BG169" s="47"/>
      <c r="BH169" s="47"/>
      <c r="BI169" s="47"/>
      <c r="BJ169" s="47"/>
      <c r="BK169" s="46" t="str">
        <f aca="false">IFERROR(IF(W169&lt;&gt;"",VALUE(W169),""),"")</f>
        <v/>
      </c>
      <c r="BL169" s="46" t="str">
        <f aca="false">IFERROR(IF(X169&lt;&gt;"",VALUE(X169),""),"")</f>
        <v/>
      </c>
      <c r="BM169" s="46" t="str">
        <f aca="false">IFERROR(IF(AD169="","None",IF(ISNUMBER(SEARCH("surv",AD169)),"Survived",IF(ISNUMBER(SEARCH("pend",AD169)),"Pending",IF(ISNUMBER(SEARCH("yes",AD169)),"Pending","None")))),"None")</f>
        <v>None</v>
      </c>
      <c r="BN169" s="47"/>
      <c r="BO169" s="47"/>
      <c r="BP169" s="47"/>
      <c r="BQ169" s="47"/>
      <c r="BR169" s="47"/>
      <c r="BS169" s="47"/>
      <c r="BT169" s="47"/>
      <c r="BU169" s="48" t="n">
        <f aca="false">IFERROR(COUNTA(AE169:BT169)/42,0)</f>
        <v>0.30952380952381</v>
      </c>
      <c r="BV169" s="49"/>
      <c r="BW169" s="50" t="b">
        <f aca="false">IF(Configuration!$C$10="No","",IFERROR(IF(AG169&lt;&gt;"",TRUE(),FALSE()),FALSE()))</f>
        <v>0</v>
      </c>
      <c r="BX169" s="50" t="b">
        <f aca="false">IF(Configuration!$C$11="No","",IFERROR(IF(AND(N(AL169)&gt;=Configuration!$C$44,AM169&lt;&gt;""),TRUE(),FALSE()),FALSE()))</f>
        <v>0</v>
      </c>
      <c r="BY169" s="50" t="b">
        <f aca="false">IF(Configuration!$C$12="No","",IFERROR(IF(AJ169&lt;&gt;"",TRUE(),FALSE()),FALSE()))</f>
        <v>0</v>
      </c>
      <c r="BZ169" s="50" t="b">
        <f aca="false">IF(Configuration!$C$13="No","",IFERROR(IF(AI169&lt;&gt;"",TRUE(),FALSE()),FALSE()))</f>
        <v>0</v>
      </c>
      <c r="CA169" s="50" t="b">
        <f aca="false">IF(Configuration!$C$14="No","",IFERROR(IF(AK169&lt;&gt;"",TRUE(),FALSE()),FALSE()))</f>
        <v>0</v>
      </c>
      <c r="CB169" s="50" t="b">
        <f aca="false">IF(Configuration!$C$15="No","",IFERROR(IF(AND(OR(ISNUMBER(SEARCH("process",AG169)),ISNUMBER(SEARCH("fab",AG169)),ISNUMBER(SEARCH("manufac",AG169))),AO169="Method"),TRUE(),FALSE()),FALSE()))</f>
        <v>0</v>
      </c>
      <c r="CC169" s="50" t="b">
        <f aca="false">IF(Configuration!$C$16="No","",IFERROR(IF(AND(OR(ISNUMBER(SEARCH("material",AG169)),ISNUMBER(SEARCH("chem",AG169)),ISNUMBER(SEARCH("battery",AG169)),ISNUMBER(SEARCH("electrolyte",AG169)),ISNUMBER(SEARCH("polymer",AG169))),OR(AO169="Apparatus",AO169="Method")),TRUE(),FALSE()),FALSE()))</f>
        <v>0</v>
      </c>
      <c r="CD169" s="50" t="b">
        <f aca="false">IF(Configuration!$C$17="No","",IFERROR(IF(AND(OR(AI169="App",AI169="Middleware",AI169="Cloud"),OR(AO169="Method",AO169="CRM")),TRUE(),FALSE()),FALSE()))</f>
        <v>0</v>
      </c>
      <c r="CE169" s="50" t="b">
        <f aca="false">IF(Configuration!$C$18="No","",IFERROR(IF(N(AN169)&gt;=Configuration!$C$45,TRUE(),FALSE()),FALSE()))</f>
        <v>0</v>
      </c>
      <c r="CF169" s="50" t="b">
        <f aca="false">IF(Configuration!$C$19="No","",IFERROR(IF(BE169&lt;&gt;"",TRUE(),FALSE()),FALSE()))</f>
        <v>0</v>
      </c>
      <c r="CG169" s="50" t="b">
        <f aca="false">IF(Configuration!$C$20="No","",IFERROR(IF(AO169&lt;&gt;"",TRUE(),FALSE()),FALSE()))</f>
        <v>0</v>
      </c>
      <c r="CH169" s="50" t="b">
        <f aca="false">IF(Configuration!$C$21="No","",IFERROR(IF(OR(N(AS169)&gt;=Configuration!$C$46,N(AT169)&gt;=Configuration!$C$47),TRUE(),FALSE()),FALSE()))</f>
        <v>0</v>
      </c>
      <c r="CI169" s="50" t="b">
        <f aca="false">IF(Configuration!$C$22="No","",IFERROR(IF(BB169="Yes",TRUE(),FALSE()),FALSE()))</f>
        <v>0</v>
      </c>
      <c r="CJ169" s="50" t="b">
        <f aca="false">IF(Configuration!$C$23="No","",IFERROR(IF(N(AV169)&gt;=Configuration!$C$48,TRUE(),FALSE()),FALSE()))</f>
        <v>0</v>
      </c>
      <c r="CK169" s="50" t="b">
        <f aca="false">IF(Configuration!$C$24="No","",IFERROR(IF(N(AY169)&gt;0,TRUE(),FALSE()),FALSE()))</f>
        <v>0</v>
      </c>
      <c r="CL169" s="50" t="b">
        <f aca="false">IF(Configuration!$C$25="No","",IFERROR(IF(OR(N(AP169)=3,N(AP169)&lt;=1),TRUE(),FALSE()),FALSE()))</f>
        <v>1</v>
      </c>
      <c r="CM169" s="50" t="b">
        <f aca="false">IF(Configuration!$C$26="No","",IFERROR(IF(N(BF169)&gt;=Configuration!$C$49,TRUE(),FALSE()),FALSE()))</f>
        <v>0</v>
      </c>
      <c r="CN169" s="50" t="b">
        <f aca="false">IF(Configuration!$C$27="No","",IFERROR(IF(BD169&lt;&gt;"",TRUE(),FALSE()),FALSE()))</f>
        <v>0</v>
      </c>
      <c r="CO169" s="50" t="b">
        <f aca="false">IF(Configuration!$C$28="No","",IFERROR(IF(N(AU169)&gt;=Configuration!$C$50,TRUE(),FALSE()),FALSE()))</f>
        <v>0</v>
      </c>
      <c r="CP169" s="50" t="b">
        <f aca="false">IF(Configuration!$C$29="No","",IFERROR(IF(AND(N(AR169)&gt;=Configuration!$C$51,AG169&lt;&gt;""),TRUE(),FALSE()),FALSE()))</f>
        <v>0</v>
      </c>
      <c r="CQ169" s="50" t="b">
        <f aca="false">IF(Configuration!$C$30="No","",IFERROR(IF(OR(AW169="Pending",AX169="Yes"),TRUE(),FALSE()),FALSE()))</f>
        <v>0</v>
      </c>
      <c r="CR169" s="50" t="b">
        <f aca="false">IF(Configuration!$C$31="No","",IFERROR(IF(AND(N(BG169)&gt;=Configuration!$C$52,N(AP169)&gt;=1),TRUE(),FALSE()),FALSE()))</f>
        <v>0</v>
      </c>
      <c r="CS169" s="50" t="b">
        <f aca="false">IF(Configuration!$C$32="No","",IFERROR(IF(AND(N(AR169)&gt;=1,OR(AG169&lt;&gt;"",AM169&lt;&gt;"")),TRUE(),FALSE()),FALSE()))</f>
        <v>0</v>
      </c>
      <c r="CT169" s="50" t="b">
        <f aca="false">IF(Configuration!$C$33="No","",IFERROR(IF(AG169&lt;&gt;"",TRUE(),FALSE()),FALSE()))</f>
        <v>0</v>
      </c>
      <c r="CU169" s="50" t="b">
        <f aca="false">IF(Configuration!$C$34="No","",IFERROR(IF(AX169="Yes",TRUE(),FALSE()),FALSE()))</f>
        <v>0</v>
      </c>
      <c r="CV169" s="50" t="b">
        <f aca="false">IF(Configuration!$C$35="No","",IFERROR(IF(OR(BO169="Partial",BO169="Full"),TRUE(),FALSE()),FALSE()))</f>
        <v>0</v>
      </c>
      <c r="CW169" s="50" t="b">
        <f aca="false">IF(Configuration!$C$36="No","",IFERROR(IF(BM169="Survived",TRUE(),FALSE()),FALSE()))</f>
        <v>0</v>
      </c>
      <c r="CX169" s="50" t="b">
        <f aca="false">IF(Configuration!$C$37="No","",IFERROR(IF(AND(BN169="Clean",BP169="None"),TRUE(),FALSE()),FALSE()))</f>
        <v>0</v>
      </c>
      <c r="CY169" s="50" t="b">
        <f aca="false">IF(Configuration!$C$38="No","",IFERROR(IF(N(BK169)&gt;=Configuration!$C$53,TRUE(),FALSE()),FALSE()))</f>
        <v>0</v>
      </c>
      <c r="CZ169" s="50" t="b">
        <f aca="false">IF(Configuration!$C$39="No","",IFERROR(IF(AND(N(BS169)&gt;=2,N(BF169)&gt;=2),TRUE(),FALSE()),FALSE()))</f>
        <v>0</v>
      </c>
      <c r="DA169" s="50" t="b">
        <f aca="false">IF(Configuration!$C$40="No","",IFERROR(IF(OR(N(BG169)&lt;=Configuration!$C$56,N(AY169)&lt;Configuration!$C$57,N(BH169)&lt;=Configuration!$C$58),TRUE(),FALSE()),FALSE()))</f>
        <v>1</v>
      </c>
      <c r="DB169" s="50" t="b">
        <f aca="false">IF(Configuration!$C$41="No","",IFERROR(IF(AND(N(AY169)&gt;=Configuration!$C$54,N(AY169)&lt;=Configuration!$C$55),TRUE(),FALSE()),FALSE()))</f>
        <v>0</v>
      </c>
      <c r="DC169" s="50" t="b">
        <f aca="false">IF(Configuration!$C$42="No","",IFERROR(IF(AND(AG169&lt;&gt;"",AJ169&lt;&gt;""),TRUE(),FALSE()),FALSE()))</f>
        <v>0</v>
      </c>
      <c r="DD169" s="51" t="n">
        <f aca="false">COUNTIF(BW169:DC169,TRUE())</f>
        <v>2</v>
      </c>
    </row>
    <row r="170" customFormat="false" ht="15" hidden="false" customHeight="true" outlineLevel="0" collapsed="false">
      <c r="A170" s="18" t="n">
        <v>131</v>
      </c>
      <c r="B170" s="44"/>
      <c r="C170" s="44"/>
      <c r="D170" s="44"/>
      <c r="E170" s="44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6" t="str">
        <f aca="false">IFERROR(IF(F170&lt;&gt;"",F170,""),"")</f>
        <v/>
      </c>
      <c r="AF170" s="46" t="str">
        <f aca="false">IFERROR(IF(G170&lt;&gt;"",G170,""),"")</f>
        <v/>
      </c>
      <c r="AG170" s="46" t="str">
        <f aca="false">IFERROR(IF(AA170&lt;&gt;"",AA170,IF(R170&lt;&gt;"",R170,"")),"")</f>
        <v/>
      </c>
      <c r="AH170" s="46" t="str">
        <f aca="false">IFERROR(IF(AB170&lt;&gt;"",AB170,IF(S170&lt;&gt;"",S170,"")),"")</f>
        <v/>
      </c>
      <c r="AI170" s="47"/>
      <c r="AJ170" s="47"/>
      <c r="AK170" s="47"/>
      <c r="AL170" s="47"/>
      <c r="AM170" s="47"/>
      <c r="AN170" s="47"/>
      <c r="AO170" s="47"/>
      <c r="AP170" s="47"/>
      <c r="AQ170" s="46" t="str">
        <f aca="false">IFERROR(IF(Y170&lt;&gt;"",VALUE(Y170),""),"")</f>
        <v/>
      </c>
      <c r="AR170" s="47"/>
      <c r="AS170" s="47"/>
      <c r="AT170" s="47"/>
      <c r="AU170" s="47"/>
      <c r="AV170" s="46" t="str">
        <f aca="false">IFERROR(IF(T170&lt;&gt;"",VALUE(T170),""),"")</f>
        <v/>
      </c>
      <c r="AW170" s="46" t="str">
        <f aca="false">IFERROR(IF(N170="","",IF(OR(ISNUMBER(SEARCH("grant",N170)),ISNUMBER(SEARCH("B",AC170))),"Granted",IF(OR(ISNUMBER(SEARCH("pend",N170)),ISNUMBER(SEARCH("A",AC170))),"Pending",IF(ISNUMBER(SEARCH("expir",N170)),"Expired",N170)))),"")</f>
        <v/>
      </c>
      <c r="AX170" s="47"/>
      <c r="AY170" s="46" t="str">
        <f aca="true">IFERROR(IF(M170&lt;&gt;"",ROUND(VALUE(M170),1),IF(L170&lt;&gt;"",ROUND(MAX(0,(DATEVALUE(TEXT(L170,"YYYY-MM-DD"))-TODAY())/365.25),1),"")),"")</f>
        <v/>
      </c>
      <c r="AZ170" s="46" t="str">
        <f aca="false">IFERROR(IF(O170&lt;&gt;"",O170,""),"")</f>
        <v/>
      </c>
      <c r="BA170" s="46" t="str">
        <f aca="false">IFERROR(IF(U170&lt;&gt;"",SUBSTITUTE(SUBSTITUTE(U170,"; ",", "),";",","),""),"")</f>
        <v/>
      </c>
      <c r="BB170" s="47"/>
      <c r="BC170" s="47"/>
      <c r="BD170" s="47"/>
      <c r="BE170" s="47"/>
      <c r="BF170" s="47"/>
      <c r="BG170" s="47"/>
      <c r="BH170" s="47"/>
      <c r="BI170" s="47"/>
      <c r="BJ170" s="47"/>
      <c r="BK170" s="46" t="str">
        <f aca="false">IFERROR(IF(W170&lt;&gt;"",VALUE(W170),""),"")</f>
        <v/>
      </c>
      <c r="BL170" s="46" t="str">
        <f aca="false">IFERROR(IF(X170&lt;&gt;"",VALUE(X170),""),"")</f>
        <v/>
      </c>
      <c r="BM170" s="46" t="str">
        <f aca="false">IFERROR(IF(AD170="","None",IF(ISNUMBER(SEARCH("surv",AD170)),"Survived",IF(ISNUMBER(SEARCH("pend",AD170)),"Pending",IF(ISNUMBER(SEARCH("yes",AD170)),"Pending","None")))),"None")</f>
        <v>None</v>
      </c>
      <c r="BN170" s="47"/>
      <c r="BO170" s="47"/>
      <c r="BP170" s="47"/>
      <c r="BQ170" s="47"/>
      <c r="BR170" s="47"/>
      <c r="BS170" s="47"/>
      <c r="BT170" s="47"/>
      <c r="BU170" s="48" t="n">
        <f aca="false">IFERROR(COUNTA(AE170:BT170)/42,0)</f>
        <v>0.30952380952381</v>
      </c>
      <c r="BV170" s="49"/>
      <c r="BW170" s="50" t="b">
        <f aca="false">IF(Configuration!$C$10="No","",IFERROR(IF(AG170&lt;&gt;"",TRUE(),FALSE()),FALSE()))</f>
        <v>0</v>
      </c>
      <c r="BX170" s="50" t="b">
        <f aca="false">IF(Configuration!$C$11="No","",IFERROR(IF(AND(N(AL170)&gt;=Configuration!$C$44,AM170&lt;&gt;""),TRUE(),FALSE()),FALSE()))</f>
        <v>0</v>
      </c>
      <c r="BY170" s="50" t="b">
        <f aca="false">IF(Configuration!$C$12="No","",IFERROR(IF(AJ170&lt;&gt;"",TRUE(),FALSE()),FALSE()))</f>
        <v>0</v>
      </c>
      <c r="BZ170" s="50" t="b">
        <f aca="false">IF(Configuration!$C$13="No","",IFERROR(IF(AI170&lt;&gt;"",TRUE(),FALSE()),FALSE()))</f>
        <v>0</v>
      </c>
      <c r="CA170" s="50" t="b">
        <f aca="false">IF(Configuration!$C$14="No","",IFERROR(IF(AK170&lt;&gt;"",TRUE(),FALSE()),FALSE()))</f>
        <v>0</v>
      </c>
      <c r="CB170" s="50" t="b">
        <f aca="false">IF(Configuration!$C$15="No","",IFERROR(IF(AND(OR(ISNUMBER(SEARCH("process",AG170)),ISNUMBER(SEARCH("fab",AG170)),ISNUMBER(SEARCH("manufac",AG170))),AO170="Method"),TRUE(),FALSE()),FALSE()))</f>
        <v>0</v>
      </c>
      <c r="CC170" s="50" t="b">
        <f aca="false">IF(Configuration!$C$16="No","",IFERROR(IF(AND(OR(ISNUMBER(SEARCH("material",AG170)),ISNUMBER(SEARCH("chem",AG170)),ISNUMBER(SEARCH("battery",AG170)),ISNUMBER(SEARCH("electrolyte",AG170)),ISNUMBER(SEARCH("polymer",AG170))),OR(AO170="Apparatus",AO170="Method")),TRUE(),FALSE()),FALSE()))</f>
        <v>0</v>
      </c>
      <c r="CD170" s="50" t="b">
        <f aca="false">IF(Configuration!$C$17="No","",IFERROR(IF(AND(OR(AI170="App",AI170="Middleware",AI170="Cloud"),OR(AO170="Method",AO170="CRM")),TRUE(),FALSE()),FALSE()))</f>
        <v>0</v>
      </c>
      <c r="CE170" s="50" t="b">
        <f aca="false">IF(Configuration!$C$18="No","",IFERROR(IF(N(AN170)&gt;=Configuration!$C$45,TRUE(),FALSE()),FALSE()))</f>
        <v>0</v>
      </c>
      <c r="CF170" s="50" t="b">
        <f aca="false">IF(Configuration!$C$19="No","",IFERROR(IF(BE170&lt;&gt;"",TRUE(),FALSE()),FALSE()))</f>
        <v>0</v>
      </c>
      <c r="CG170" s="50" t="b">
        <f aca="false">IF(Configuration!$C$20="No","",IFERROR(IF(AO170&lt;&gt;"",TRUE(),FALSE()),FALSE()))</f>
        <v>0</v>
      </c>
      <c r="CH170" s="50" t="b">
        <f aca="false">IF(Configuration!$C$21="No","",IFERROR(IF(OR(N(AS170)&gt;=Configuration!$C$46,N(AT170)&gt;=Configuration!$C$47),TRUE(),FALSE()),FALSE()))</f>
        <v>0</v>
      </c>
      <c r="CI170" s="50" t="b">
        <f aca="false">IF(Configuration!$C$22="No","",IFERROR(IF(BB170="Yes",TRUE(),FALSE()),FALSE()))</f>
        <v>0</v>
      </c>
      <c r="CJ170" s="50" t="b">
        <f aca="false">IF(Configuration!$C$23="No","",IFERROR(IF(N(AV170)&gt;=Configuration!$C$48,TRUE(),FALSE()),FALSE()))</f>
        <v>0</v>
      </c>
      <c r="CK170" s="50" t="b">
        <f aca="false">IF(Configuration!$C$24="No","",IFERROR(IF(N(AY170)&gt;0,TRUE(),FALSE()),FALSE()))</f>
        <v>0</v>
      </c>
      <c r="CL170" s="50" t="b">
        <f aca="false">IF(Configuration!$C$25="No","",IFERROR(IF(OR(N(AP170)=3,N(AP170)&lt;=1),TRUE(),FALSE()),FALSE()))</f>
        <v>1</v>
      </c>
      <c r="CM170" s="50" t="b">
        <f aca="false">IF(Configuration!$C$26="No","",IFERROR(IF(N(BF170)&gt;=Configuration!$C$49,TRUE(),FALSE()),FALSE()))</f>
        <v>0</v>
      </c>
      <c r="CN170" s="50" t="b">
        <f aca="false">IF(Configuration!$C$27="No","",IFERROR(IF(BD170&lt;&gt;"",TRUE(),FALSE()),FALSE()))</f>
        <v>0</v>
      </c>
      <c r="CO170" s="50" t="b">
        <f aca="false">IF(Configuration!$C$28="No","",IFERROR(IF(N(AU170)&gt;=Configuration!$C$50,TRUE(),FALSE()),FALSE()))</f>
        <v>0</v>
      </c>
      <c r="CP170" s="50" t="b">
        <f aca="false">IF(Configuration!$C$29="No","",IFERROR(IF(AND(N(AR170)&gt;=Configuration!$C$51,AG170&lt;&gt;""),TRUE(),FALSE()),FALSE()))</f>
        <v>0</v>
      </c>
      <c r="CQ170" s="50" t="b">
        <f aca="false">IF(Configuration!$C$30="No","",IFERROR(IF(OR(AW170="Pending",AX170="Yes"),TRUE(),FALSE()),FALSE()))</f>
        <v>0</v>
      </c>
      <c r="CR170" s="50" t="b">
        <f aca="false">IF(Configuration!$C$31="No","",IFERROR(IF(AND(N(BG170)&gt;=Configuration!$C$52,N(AP170)&gt;=1),TRUE(),FALSE()),FALSE()))</f>
        <v>0</v>
      </c>
      <c r="CS170" s="50" t="b">
        <f aca="false">IF(Configuration!$C$32="No","",IFERROR(IF(AND(N(AR170)&gt;=1,OR(AG170&lt;&gt;"",AM170&lt;&gt;"")),TRUE(),FALSE()),FALSE()))</f>
        <v>0</v>
      </c>
      <c r="CT170" s="50" t="b">
        <f aca="false">IF(Configuration!$C$33="No","",IFERROR(IF(AG170&lt;&gt;"",TRUE(),FALSE()),FALSE()))</f>
        <v>0</v>
      </c>
      <c r="CU170" s="50" t="b">
        <f aca="false">IF(Configuration!$C$34="No","",IFERROR(IF(AX170="Yes",TRUE(),FALSE()),FALSE()))</f>
        <v>0</v>
      </c>
      <c r="CV170" s="50" t="b">
        <f aca="false">IF(Configuration!$C$35="No","",IFERROR(IF(OR(BO170="Partial",BO170="Full"),TRUE(),FALSE()),FALSE()))</f>
        <v>0</v>
      </c>
      <c r="CW170" s="50" t="b">
        <f aca="false">IF(Configuration!$C$36="No","",IFERROR(IF(BM170="Survived",TRUE(),FALSE()),FALSE()))</f>
        <v>0</v>
      </c>
      <c r="CX170" s="50" t="b">
        <f aca="false">IF(Configuration!$C$37="No","",IFERROR(IF(AND(BN170="Clean",BP170="None"),TRUE(),FALSE()),FALSE()))</f>
        <v>0</v>
      </c>
      <c r="CY170" s="50" t="b">
        <f aca="false">IF(Configuration!$C$38="No","",IFERROR(IF(N(BK170)&gt;=Configuration!$C$53,TRUE(),FALSE()),FALSE()))</f>
        <v>0</v>
      </c>
      <c r="CZ170" s="50" t="b">
        <f aca="false">IF(Configuration!$C$39="No","",IFERROR(IF(AND(N(BS170)&gt;=2,N(BF170)&gt;=2),TRUE(),FALSE()),FALSE()))</f>
        <v>0</v>
      </c>
      <c r="DA170" s="50" t="b">
        <f aca="false">IF(Configuration!$C$40="No","",IFERROR(IF(OR(N(BG170)&lt;=Configuration!$C$56,N(AY170)&lt;Configuration!$C$57,N(BH170)&lt;=Configuration!$C$58),TRUE(),FALSE()),FALSE()))</f>
        <v>1</v>
      </c>
      <c r="DB170" s="50" t="b">
        <f aca="false">IF(Configuration!$C$41="No","",IFERROR(IF(AND(N(AY170)&gt;=Configuration!$C$54,N(AY170)&lt;=Configuration!$C$55),TRUE(),FALSE()),FALSE()))</f>
        <v>0</v>
      </c>
      <c r="DC170" s="50" t="b">
        <f aca="false">IF(Configuration!$C$42="No","",IFERROR(IF(AND(AG170&lt;&gt;"",AJ170&lt;&gt;""),TRUE(),FALSE()),FALSE()))</f>
        <v>0</v>
      </c>
      <c r="DD170" s="51" t="n">
        <f aca="false">COUNTIF(BW170:DC170,TRUE())</f>
        <v>2</v>
      </c>
    </row>
    <row r="171" customFormat="false" ht="15" hidden="false" customHeight="true" outlineLevel="0" collapsed="false">
      <c r="A171" s="18" t="n">
        <v>132</v>
      </c>
      <c r="B171" s="44"/>
      <c r="C171" s="44"/>
      <c r="D171" s="44"/>
      <c r="E171" s="44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6" t="str">
        <f aca="false">IFERROR(IF(F171&lt;&gt;"",F171,""),"")</f>
        <v/>
      </c>
      <c r="AF171" s="46" t="str">
        <f aca="false">IFERROR(IF(G171&lt;&gt;"",G171,""),"")</f>
        <v/>
      </c>
      <c r="AG171" s="46" t="str">
        <f aca="false">IFERROR(IF(AA171&lt;&gt;"",AA171,IF(R171&lt;&gt;"",R171,"")),"")</f>
        <v/>
      </c>
      <c r="AH171" s="46" t="str">
        <f aca="false">IFERROR(IF(AB171&lt;&gt;"",AB171,IF(S171&lt;&gt;"",S171,"")),"")</f>
        <v/>
      </c>
      <c r="AI171" s="47"/>
      <c r="AJ171" s="47"/>
      <c r="AK171" s="47"/>
      <c r="AL171" s="47"/>
      <c r="AM171" s="47"/>
      <c r="AN171" s="47"/>
      <c r="AO171" s="47"/>
      <c r="AP171" s="47"/>
      <c r="AQ171" s="46" t="str">
        <f aca="false">IFERROR(IF(Y171&lt;&gt;"",VALUE(Y171),""),"")</f>
        <v/>
      </c>
      <c r="AR171" s="47"/>
      <c r="AS171" s="47"/>
      <c r="AT171" s="47"/>
      <c r="AU171" s="47"/>
      <c r="AV171" s="46" t="str">
        <f aca="false">IFERROR(IF(T171&lt;&gt;"",VALUE(T171),""),"")</f>
        <v/>
      </c>
      <c r="AW171" s="46" t="str">
        <f aca="false">IFERROR(IF(N171="","",IF(OR(ISNUMBER(SEARCH("grant",N171)),ISNUMBER(SEARCH("B",AC171))),"Granted",IF(OR(ISNUMBER(SEARCH("pend",N171)),ISNUMBER(SEARCH("A",AC171))),"Pending",IF(ISNUMBER(SEARCH("expir",N171)),"Expired",N171)))),"")</f>
        <v/>
      </c>
      <c r="AX171" s="47"/>
      <c r="AY171" s="46" t="str">
        <f aca="true">IFERROR(IF(M171&lt;&gt;"",ROUND(VALUE(M171),1),IF(L171&lt;&gt;"",ROUND(MAX(0,(DATEVALUE(TEXT(L171,"YYYY-MM-DD"))-TODAY())/365.25),1),"")),"")</f>
        <v/>
      </c>
      <c r="AZ171" s="46" t="str">
        <f aca="false">IFERROR(IF(O171&lt;&gt;"",O171,""),"")</f>
        <v/>
      </c>
      <c r="BA171" s="46" t="str">
        <f aca="false">IFERROR(IF(U171&lt;&gt;"",SUBSTITUTE(SUBSTITUTE(U171,"; ",", "),";",","),""),"")</f>
        <v/>
      </c>
      <c r="BB171" s="47"/>
      <c r="BC171" s="47"/>
      <c r="BD171" s="47"/>
      <c r="BE171" s="47"/>
      <c r="BF171" s="47"/>
      <c r="BG171" s="47"/>
      <c r="BH171" s="47"/>
      <c r="BI171" s="47"/>
      <c r="BJ171" s="47"/>
      <c r="BK171" s="46" t="str">
        <f aca="false">IFERROR(IF(W171&lt;&gt;"",VALUE(W171),""),"")</f>
        <v/>
      </c>
      <c r="BL171" s="46" t="str">
        <f aca="false">IFERROR(IF(X171&lt;&gt;"",VALUE(X171),""),"")</f>
        <v/>
      </c>
      <c r="BM171" s="46" t="str">
        <f aca="false">IFERROR(IF(AD171="","None",IF(ISNUMBER(SEARCH("surv",AD171)),"Survived",IF(ISNUMBER(SEARCH("pend",AD171)),"Pending",IF(ISNUMBER(SEARCH("yes",AD171)),"Pending","None")))),"None")</f>
        <v>None</v>
      </c>
      <c r="BN171" s="47"/>
      <c r="BO171" s="47"/>
      <c r="BP171" s="47"/>
      <c r="BQ171" s="47"/>
      <c r="BR171" s="47"/>
      <c r="BS171" s="47"/>
      <c r="BT171" s="47"/>
      <c r="BU171" s="48" t="n">
        <f aca="false">IFERROR(COUNTA(AE171:BT171)/42,0)</f>
        <v>0.30952380952381</v>
      </c>
      <c r="BV171" s="49"/>
      <c r="BW171" s="50" t="b">
        <f aca="false">IF(Configuration!$C$10="No","",IFERROR(IF(AG171&lt;&gt;"",TRUE(),FALSE()),FALSE()))</f>
        <v>0</v>
      </c>
      <c r="BX171" s="50" t="b">
        <f aca="false">IF(Configuration!$C$11="No","",IFERROR(IF(AND(N(AL171)&gt;=Configuration!$C$44,AM171&lt;&gt;""),TRUE(),FALSE()),FALSE()))</f>
        <v>0</v>
      </c>
      <c r="BY171" s="50" t="b">
        <f aca="false">IF(Configuration!$C$12="No","",IFERROR(IF(AJ171&lt;&gt;"",TRUE(),FALSE()),FALSE()))</f>
        <v>0</v>
      </c>
      <c r="BZ171" s="50" t="b">
        <f aca="false">IF(Configuration!$C$13="No","",IFERROR(IF(AI171&lt;&gt;"",TRUE(),FALSE()),FALSE()))</f>
        <v>0</v>
      </c>
      <c r="CA171" s="50" t="b">
        <f aca="false">IF(Configuration!$C$14="No","",IFERROR(IF(AK171&lt;&gt;"",TRUE(),FALSE()),FALSE()))</f>
        <v>0</v>
      </c>
      <c r="CB171" s="50" t="b">
        <f aca="false">IF(Configuration!$C$15="No","",IFERROR(IF(AND(OR(ISNUMBER(SEARCH("process",AG171)),ISNUMBER(SEARCH("fab",AG171)),ISNUMBER(SEARCH("manufac",AG171))),AO171="Method"),TRUE(),FALSE()),FALSE()))</f>
        <v>0</v>
      </c>
      <c r="CC171" s="50" t="b">
        <f aca="false">IF(Configuration!$C$16="No","",IFERROR(IF(AND(OR(ISNUMBER(SEARCH("material",AG171)),ISNUMBER(SEARCH("chem",AG171)),ISNUMBER(SEARCH("battery",AG171)),ISNUMBER(SEARCH("electrolyte",AG171)),ISNUMBER(SEARCH("polymer",AG171))),OR(AO171="Apparatus",AO171="Method")),TRUE(),FALSE()),FALSE()))</f>
        <v>0</v>
      </c>
      <c r="CD171" s="50" t="b">
        <f aca="false">IF(Configuration!$C$17="No","",IFERROR(IF(AND(OR(AI171="App",AI171="Middleware",AI171="Cloud"),OR(AO171="Method",AO171="CRM")),TRUE(),FALSE()),FALSE()))</f>
        <v>0</v>
      </c>
      <c r="CE171" s="50" t="b">
        <f aca="false">IF(Configuration!$C$18="No","",IFERROR(IF(N(AN171)&gt;=Configuration!$C$45,TRUE(),FALSE()),FALSE()))</f>
        <v>0</v>
      </c>
      <c r="CF171" s="50" t="b">
        <f aca="false">IF(Configuration!$C$19="No","",IFERROR(IF(BE171&lt;&gt;"",TRUE(),FALSE()),FALSE()))</f>
        <v>0</v>
      </c>
      <c r="CG171" s="50" t="b">
        <f aca="false">IF(Configuration!$C$20="No","",IFERROR(IF(AO171&lt;&gt;"",TRUE(),FALSE()),FALSE()))</f>
        <v>0</v>
      </c>
      <c r="CH171" s="50" t="b">
        <f aca="false">IF(Configuration!$C$21="No","",IFERROR(IF(OR(N(AS171)&gt;=Configuration!$C$46,N(AT171)&gt;=Configuration!$C$47),TRUE(),FALSE()),FALSE()))</f>
        <v>0</v>
      </c>
      <c r="CI171" s="50" t="b">
        <f aca="false">IF(Configuration!$C$22="No","",IFERROR(IF(BB171="Yes",TRUE(),FALSE()),FALSE()))</f>
        <v>0</v>
      </c>
      <c r="CJ171" s="50" t="b">
        <f aca="false">IF(Configuration!$C$23="No","",IFERROR(IF(N(AV171)&gt;=Configuration!$C$48,TRUE(),FALSE()),FALSE()))</f>
        <v>0</v>
      </c>
      <c r="CK171" s="50" t="b">
        <f aca="false">IF(Configuration!$C$24="No","",IFERROR(IF(N(AY171)&gt;0,TRUE(),FALSE()),FALSE()))</f>
        <v>0</v>
      </c>
      <c r="CL171" s="50" t="b">
        <f aca="false">IF(Configuration!$C$25="No","",IFERROR(IF(OR(N(AP171)=3,N(AP171)&lt;=1),TRUE(),FALSE()),FALSE()))</f>
        <v>1</v>
      </c>
      <c r="CM171" s="50" t="b">
        <f aca="false">IF(Configuration!$C$26="No","",IFERROR(IF(N(BF171)&gt;=Configuration!$C$49,TRUE(),FALSE()),FALSE()))</f>
        <v>0</v>
      </c>
      <c r="CN171" s="50" t="b">
        <f aca="false">IF(Configuration!$C$27="No","",IFERROR(IF(BD171&lt;&gt;"",TRUE(),FALSE()),FALSE()))</f>
        <v>0</v>
      </c>
      <c r="CO171" s="50" t="b">
        <f aca="false">IF(Configuration!$C$28="No","",IFERROR(IF(N(AU171)&gt;=Configuration!$C$50,TRUE(),FALSE()),FALSE()))</f>
        <v>0</v>
      </c>
      <c r="CP171" s="50" t="b">
        <f aca="false">IF(Configuration!$C$29="No","",IFERROR(IF(AND(N(AR171)&gt;=Configuration!$C$51,AG171&lt;&gt;""),TRUE(),FALSE()),FALSE()))</f>
        <v>0</v>
      </c>
      <c r="CQ171" s="50" t="b">
        <f aca="false">IF(Configuration!$C$30="No","",IFERROR(IF(OR(AW171="Pending",AX171="Yes"),TRUE(),FALSE()),FALSE()))</f>
        <v>0</v>
      </c>
      <c r="CR171" s="50" t="b">
        <f aca="false">IF(Configuration!$C$31="No","",IFERROR(IF(AND(N(BG171)&gt;=Configuration!$C$52,N(AP171)&gt;=1),TRUE(),FALSE()),FALSE()))</f>
        <v>0</v>
      </c>
      <c r="CS171" s="50" t="b">
        <f aca="false">IF(Configuration!$C$32="No","",IFERROR(IF(AND(N(AR171)&gt;=1,OR(AG171&lt;&gt;"",AM171&lt;&gt;"")),TRUE(),FALSE()),FALSE()))</f>
        <v>0</v>
      </c>
      <c r="CT171" s="50" t="b">
        <f aca="false">IF(Configuration!$C$33="No","",IFERROR(IF(AG171&lt;&gt;"",TRUE(),FALSE()),FALSE()))</f>
        <v>0</v>
      </c>
      <c r="CU171" s="50" t="b">
        <f aca="false">IF(Configuration!$C$34="No","",IFERROR(IF(AX171="Yes",TRUE(),FALSE()),FALSE()))</f>
        <v>0</v>
      </c>
      <c r="CV171" s="50" t="b">
        <f aca="false">IF(Configuration!$C$35="No","",IFERROR(IF(OR(BO171="Partial",BO171="Full"),TRUE(),FALSE()),FALSE()))</f>
        <v>0</v>
      </c>
      <c r="CW171" s="50" t="b">
        <f aca="false">IF(Configuration!$C$36="No","",IFERROR(IF(BM171="Survived",TRUE(),FALSE()),FALSE()))</f>
        <v>0</v>
      </c>
      <c r="CX171" s="50" t="b">
        <f aca="false">IF(Configuration!$C$37="No","",IFERROR(IF(AND(BN171="Clean",BP171="None"),TRUE(),FALSE()),FALSE()))</f>
        <v>0</v>
      </c>
      <c r="CY171" s="50" t="b">
        <f aca="false">IF(Configuration!$C$38="No","",IFERROR(IF(N(BK171)&gt;=Configuration!$C$53,TRUE(),FALSE()),FALSE()))</f>
        <v>0</v>
      </c>
      <c r="CZ171" s="50" t="b">
        <f aca="false">IF(Configuration!$C$39="No","",IFERROR(IF(AND(N(BS171)&gt;=2,N(BF171)&gt;=2),TRUE(),FALSE()),FALSE()))</f>
        <v>0</v>
      </c>
      <c r="DA171" s="50" t="b">
        <f aca="false">IF(Configuration!$C$40="No","",IFERROR(IF(OR(N(BG171)&lt;=Configuration!$C$56,N(AY171)&lt;Configuration!$C$57,N(BH171)&lt;=Configuration!$C$58),TRUE(),FALSE()),FALSE()))</f>
        <v>1</v>
      </c>
      <c r="DB171" s="50" t="b">
        <f aca="false">IF(Configuration!$C$41="No","",IFERROR(IF(AND(N(AY171)&gt;=Configuration!$C$54,N(AY171)&lt;=Configuration!$C$55),TRUE(),FALSE()),FALSE()))</f>
        <v>0</v>
      </c>
      <c r="DC171" s="50" t="b">
        <f aca="false">IF(Configuration!$C$42="No","",IFERROR(IF(AND(AG171&lt;&gt;"",AJ171&lt;&gt;""),TRUE(),FALSE()),FALSE()))</f>
        <v>0</v>
      </c>
      <c r="DD171" s="51" t="n">
        <f aca="false">COUNTIF(BW171:DC171,TRUE())</f>
        <v>2</v>
      </c>
    </row>
    <row r="172" customFormat="false" ht="15" hidden="false" customHeight="true" outlineLevel="0" collapsed="false">
      <c r="A172" s="18" t="n">
        <v>133</v>
      </c>
      <c r="B172" s="44"/>
      <c r="C172" s="44"/>
      <c r="D172" s="44"/>
      <c r="E172" s="44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6" t="str">
        <f aca="false">IFERROR(IF(F172&lt;&gt;"",F172,""),"")</f>
        <v/>
      </c>
      <c r="AF172" s="46" t="str">
        <f aca="false">IFERROR(IF(G172&lt;&gt;"",G172,""),"")</f>
        <v/>
      </c>
      <c r="AG172" s="46" t="str">
        <f aca="false">IFERROR(IF(AA172&lt;&gt;"",AA172,IF(R172&lt;&gt;"",R172,"")),"")</f>
        <v/>
      </c>
      <c r="AH172" s="46" t="str">
        <f aca="false">IFERROR(IF(AB172&lt;&gt;"",AB172,IF(S172&lt;&gt;"",S172,"")),"")</f>
        <v/>
      </c>
      <c r="AI172" s="47"/>
      <c r="AJ172" s="47"/>
      <c r="AK172" s="47"/>
      <c r="AL172" s="47"/>
      <c r="AM172" s="47"/>
      <c r="AN172" s="47"/>
      <c r="AO172" s="47"/>
      <c r="AP172" s="47"/>
      <c r="AQ172" s="46" t="str">
        <f aca="false">IFERROR(IF(Y172&lt;&gt;"",VALUE(Y172),""),"")</f>
        <v/>
      </c>
      <c r="AR172" s="47"/>
      <c r="AS172" s="47"/>
      <c r="AT172" s="47"/>
      <c r="AU172" s="47"/>
      <c r="AV172" s="46" t="str">
        <f aca="false">IFERROR(IF(T172&lt;&gt;"",VALUE(T172),""),"")</f>
        <v/>
      </c>
      <c r="AW172" s="46" t="str">
        <f aca="false">IFERROR(IF(N172="","",IF(OR(ISNUMBER(SEARCH("grant",N172)),ISNUMBER(SEARCH("B",AC172))),"Granted",IF(OR(ISNUMBER(SEARCH("pend",N172)),ISNUMBER(SEARCH("A",AC172))),"Pending",IF(ISNUMBER(SEARCH("expir",N172)),"Expired",N172)))),"")</f>
        <v/>
      </c>
      <c r="AX172" s="47"/>
      <c r="AY172" s="46" t="str">
        <f aca="true">IFERROR(IF(M172&lt;&gt;"",ROUND(VALUE(M172),1),IF(L172&lt;&gt;"",ROUND(MAX(0,(DATEVALUE(TEXT(L172,"YYYY-MM-DD"))-TODAY())/365.25),1),"")),"")</f>
        <v/>
      </c>
      <c r="AZ172" s="46" t="str">
        <f aca="false">IFERROR(IF(O172&lt;&gt;"",O172,""),"")</f>
        <v/>
      </c>
      <c r="BA172" s="46" t="str">
        <f aca="false">IFERROR(IF(U172&lt;&gt;"",SUBSTITUTE(SUBSTITUTE(U172,"; ",", "),";",","),""),"")</f>
        <v/>
      </c>
      <c r="BB172" s="47"/>
      <c r="BC172" s="47"/>
      <c r="BD172" s="47"/>
      <c r="BE172" s="47"/>
      <c r="BF172" s="47"/>
      <c r="BG172" s="47"/>
      <c r="BH172" s="47"/>
      <c r="BI172" s="47"/>
      <c r="BJ172" s="47"/>
      <c r="BK172" s="46" t="str">
        <f aca="false">IFERROR(IF(W172&lt;&gt;"",VALUE(W172),""),"")</f>
        <v/>
      </c>
      <c r="BL172" s="46" t="str">
        <f aca="false">IFERROR(IF(X172&lt;&gt;"",VALUE(X172),""),"")</f>
        <v/>
      </c>
      <c r="BM172" s="46" t="str">
        <f aca="false">IFERROR(IF(AD172="","None",IF(ISNUMBER(SEARCH("surv",AD172)),"Survived",IF(ISNUMBER(SEARCH("pend",AD172)),"Pending",IF(ISNUMBER(SEARCH("yes",AD172)),"Pending","None")))),"None")</f>
        <v>None</v>
      </c>
      <c r="BN172" s="47"/>
      <c r="BO172" s="47"/>
      <c r="BP172" s="47"/>
      <c r="BQ172" s="47"/>
      <c r="BR172" s="47"/>
      <c r="BS172" s="47"/>
      <c r="BT172" s="47"/>
      <c r="BU172" s="48" t="n">
        <f aca="false">IFERROR(COUNTA(AE172:BT172)/42,0)</f>
        <v>0.30952380952381</v>
      </c>
      <c r="BV172" s="49"/>
      <c r="BW172" s="50" t="b">
        <f aca="false">IF(Configuration!$C$10="No","",IFERROR(IF(AG172&lt;&gt;"",TRUE(),FALSE()),FALSE()))</f>
        <v>0</v>
      </c>
      <c r="BX172" s="50" t="b">
        <f aca="false">IF(Configuration!$C$11="No","",IFERROR(IF(AND(N(AL172)&gt;=Configuration!$C$44,AM172&lt;&gt;""),TRUE(),FALSE()),FALSE()))</f>
        <v>0</v>
      </c>
      <c r="BY172" s="50" t="b">
        <f aca="false">IF(Configuration!$C$12="No","",IFERROR(IF(AJ172&lt;&gt;"",TRUE(),FALSE()),FALSE()))</f>
        <v>0</v>
      </c>
      <c r="BZ172" s="50" t="b">
        <f aca="false">IF(Configuration!$C$13="No","",IFERROR(IF(AI172&lt;&gt;"",TRUE(),FALSE()),FALSE()))</f>
        <v>0</v>
      </c>
      <c r="CA172" s="50" t="b">
        <f aca="false">IF(Configuration!$C$14="No","",IFERROR(IF(AK172&lt;&gt;"",TRUE(),FALSE()),FALSE()))</f>
        <v>0</v>
      </c>
      <c r="CB172" s="50" t="b">
        <f aca="false">IF(Configuration!$C$15="No","",IFERROR(IF(AND(OR(ISNUMBER(SEARCH("process",AG172)),ISNUMBER(SEARCH("fab",AG172)),ISNUMBER(SEARCH("manufac",AG172))),AO172="Method"),TRUE(),FALSE()),FALSE()))</f>
        <v>0</v>
      </c>
      <c r="CC172" s="50" t="b">
        <f aca="false">IF(Configuration!$C$16="No","",IFERROR(IF(AND(OR(ISNUMBER(SEARCH("material",AG172)),ISNUMBER(SEARCH("chem",AG172)),ISNUMBER(SEARCH("battery",AG172)),ISNUMBER(SEARCH("electrolyte",AG172)),ISNUMBER(SEARCH("polymer",AG172))),OR(AO172="Apparatus",AO172="Method")),TRUE(),FALSE()),FALSE()))</f>
        <v>0</v>
      </c>
      <c r="CD172" s="50" t="b">
        <f aca="false">IF(Configuration!$C$17="No","",IFERROR(IF(AND(OR(AI172="App",AI172="Middleware",AI172="Cloud"),OR(AO172="Method",AO172="CRM")),TRUE(),FALSE()),FALSE()))</f>
        <v>0</v>
      </c>
      <c r="CE172" s="50" t="b">
        <f aca="false">IF(Configuration!$C$18="No","",IFERROR(IF(N(AN172)&gt;=Configuration!$C$45,TRUE(),FALSE()),FALSE()))</f>
        <v>0</v>
      </c>
      <c r="CF172" s="50" t="b">
        <f aca="false">IF(Configuration!$C$19="No","",IFERROR(IF(BE172&lt;&gt;"",TRUE(),FALSE()),FALSE()))</f>
        <v>0</v>
      </c>
      <c r="CG172" s="50" t="b">
        <f aca="false">IF(Configuration!$C$20="No","",IFERROR(IF(AO172&lt;&gt;"",TRUE(),FALSE()),FALSE()))</f>
        <v>0</v>
      </c>
      <c r="CH172" s="50" t="b">
        <f aca="false">IF(Configuration!$C$21="No","",IFERROR(IF(OR(N(AS172)&gt;=Configuration!$C$46,N(AT172)&gt;=Configuration!$C$47),TRUE(),FALSE()),FALSE()))</f>
        <v>0</v>
      </c>
      <c r="CI172" s="50" t="b">
        <f aca="false">IF(Configuration!$C$22="No","",IFERROR(IF(BB172="Yes",TRUE(),FALSE()),FALSE()))</f>
        <v>0</v>
      </c>
      <c r="CJ172" s="50" t="b">
        <f aca="false">IF(Configuration!$C$23="No","",IFERROR(IF(N(AV172)&gt;=Configuration!$C$48,TRUE(),FALSE()),FALSE()))</f>
        <v>0</v>
      </c>
      <c r="CK172" s="50" t="b">
        <f aca="false">IF(Configuration!$C$24="No","",IFERROR(IF(N(AY172)&gt;0,TRUE(),FALSE()),FALSE()))</f>
        <v>0</v>
      </c>
      <c r="CL172" s="50" t="b">
        <f aca="false">IF(Configuration!$C$25="No","",IFERROR(IF(OR(N(AP172)=3,N(AP172)&lt;=1),TRUE(),FALSE()),FALSE()))</f>
        <v>1</v>
      </c>
      <c r="CM172" s="50" t="b">
        <f aca="false">IF(Configuration!$C$26="No","",IFERROR(IF(N(BF172)&gt;=Configuration!$C$49,TRUE(),FALSE()),FALSE()))</f>
        <v>0</v>
      </c>
      <c r="CN172" s="50" t="b">
        <f aca="false">IF(Configuration!$C$27="No","",IFERROR(IF(BD172&lt;&gt;"",TRUE(),FALSE()),FALSE()))</f>
        <v>0</v>
      </c>
      <c r="CO172" s="50" t="b">
        <f aca="false">IF(Configuration!$C$28="No","",IFERROR(IF(N(AU172)&gt;=Configuration!$C$50,TRUE(),FALSE()),FALSE()))</f>
        <v>0</v>
      </c>
      <c r="CP172" s="50" t="b">
        <f aca="false">IF(Configuration!$C$29="No","",IFERROR(IF(AND(N(AR172)&gt;=Configuration!$C$51,AG172&lt;&gt;""),TRUE(),FALSE()),FALSE()))</f>
        <v>0</v>
      </c>
      <c r="CQ172" s="50" t="b">
        <f aca="false">IF(Configuration!$C$30="No","",IFERROR(IF(OR(AW172="Pending",AX172="Yes"),TRUE(),FALSE()),FALSE()))</f>
        <v>0</v>
      </c>
      <c r="CR172" s="50" t="b">
        <f aca="false">IF(Configuration!$C$31="No","",IFERROR(IF(AND(N(BG172)&gt;=Configuration!$C$52,N(AP172)&gt;=1),TRUE(),FALSE()),FALSE()))</f>
        <v>0</v>
      </c>
      <c r="CS172" s="50" t="b">
        <f aca="false">IF(Configuration!$C$32="No","",IFERROR(IF(AND(N(AR172)&gt;=1,OR(AG172&lt;&gt;"",AM172&lt;&gt;"")),TRUE(),FALSE()),FALSE()))</f>
        <v>0</v>
      </c>
      <c r="CT172" s="50" t="b">
        <f aca="false">IF(Configuration!$C$33="No","",IFERROR(IF(AG172&lt;&gt;"",TRUE(),FALSE()),FALSE()))</f>
        <v>0</v>
      </c>
      <c r="CU172" s="50" t="b">
        <f aca="false">IF(Configuration!$C$34="No","",IFERROR(IF(AX172="Yes",TRUE(),FALSE()),FALSE()))</f>
        <v>0</v>
      </c>
      <c r="CV172" s="50" t="b">
        <f aca="false">IF(Configuration!$C$35="No","",IFERROR(IF(OR(BO172="Partial",BO172="Full"),TRUE(),FALSE()),FALSE()))</f>
        <v>0</v>
      </c>
      <c r="CW172" s="50" t="b">
        <f aca="false">IF(Configuration!$C$36="No","",IFERROR(IF(BM172="Survived",TRUE(),FALSE()),FALSE()))</f>
        <v>0</v>
      </c>
      <c r="CX172" s="50" t="b">
        <f aca="false">IF(Configuration!$C$37="No","",IFERROR(IF(AND(BN172="Clean",BP172="None"),TRUE(),FALSE()),FALSE()))</f>
        <v>0</v>
      </c>
      <c r="CY172" s="50" t="b">
        <f aca="false">IF(Configuration!$C$38="No","",IFERROR(IF(N(BK172)&gt;=Configuration!$C$53,TRUE(),FALSE()),FALSE()))</f>
        <v>0</v>
      </c>
      <c r="CZ172" s="50" t="b">
        <f aca="false">IF(Configuration!$C$39="No","",IFERROR(IF(AND(N(BS172)&gt;=2,N(BF172)&gt;=2),TRUE(),FALSE()),FALSE()))</f>
        <v>0</v>
      </c>
      <c r="DA172" s="50" t="b">
        <f aca="false">IF(Configuration!$C$40="No","",IFERROR(IF(OR(N(BG172)&lt;=Configuration!$C$56,N(AY172)&lt;Configuration!$C$57,N(BH172)&lt;=Configuration!$C$58),TRUE(),FALSE()),FALSE()))</f>
        <v>1</v>
      </c>
      <c r="DB172" s="50" t="b">
        <f aca="false">IF(Configuration!$C$41="No","",IFERROR(IF(AND(N(AY172)&gt;=Configuration!$C$54,N(AY172)&lt;=Configuration!$C$55),TRUE(),FALSE()),FALSE()))</f>
        <v>0</v>
      </c>
      <c r="DC172" s="50" t="b">
        <f aca="false">IF(Configuration!$C$42="No","",IFERROR(IF(AND(AG172&lt;&gt;"",AJ172&lt;&gt;""),TRUE(),FALSE()),FALSE()))</f>
        <v>0</v>
      </c>
      <c r="DD172" s="51" t="n">
        <f aca="false">COUNTIF(BW172:DC172,TRUE())</f>
        <v>2</v>
      </c>
    </row>
    <row r="173" customFormat="false" ht="15" hidden="false" customHeight="true" outlineLevel="0" collapsed="false">
      <c r="A173" s="18" t="n">
        <v>134</v>
      </c>
      <c r="B173" s="44"/>
      <c r="C173" s="44"/>
      <c r="D173" s="44"/>
      <c r="E173" s="44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6" t="str">
        <f aca="false">IFERROR(IF(F173&lt;&gt;"",F173,""),"")</f>
        <v/>
      </c>
      <c r="AF173" s="46" t="str">
        <f aca="false">IFERROR(IF(G173&lt;&gt;"",G173,""),"")</f>
        <v/>
      </c>
      <c r="AG173" s="46" t="str">
        <f aca="false">IFERROR(IF(AA173&lt;&gt;"",AA173,IF(R173&lt;&gt;"",R173,"")),"")</f>
        <v/>
      </c>
      <c r="AH173" s="46" t="str">
        <f aca="false">IFERROR(IF(AB173&lt;&gt;"",AB173,IF(S173&lt;&gt;"",S173,"")),"")</f>
        <v/>
      </c>
      <c r="AI173" s="47"/>
      <c r="AJ173" s="47"/>
      <c r="AK173" s="47"/>
      <c r="AL173" s="47"/>
      <c r="AM173" s="47"/>
      <c r="AN173" s="47"/>
      <c r="AO173" s="47"/>
      <c r="AP173" s="47"/>
      <c r="AQ173" s="46" t="str">
        <f aca="false">IFERROR(IF(Y173&lt;&gt;"",VALUE(Y173),""),"")</f>
        <v/>
      </c>
      <c r="AR173" s="47"/>
      <c r="AS173" s="47"/>
      <c r="AT173" s="47"/>
      <c r="AU173" s="47"/>
      <c r="AV173" s="46" t="str">
        <f aca="false">IFERROR(IF(T173&lt;&gt;"",VALUE(T173),""),"")</f>
        <v/>
      </c>
      <c r="AW173" s="46" t="str">
        <f aca="false">IFERROR(IF(N173="","",IF(OR(ISNUMBER(SEARCH("grant",N173)),ISNUMBER(SEARCH("B",AC173))),"Granted",IF(OR(ISNUMBER(SEARCH("pend",N173)),ISNUMBER(SEARCH("A",AC173))),"Pending",IF(ISNUMBER(SEARCH("expir",N173)),"Expired",N173)))),"")</f>
        <v/>
      </c>
      <c r="AX173" s="47"/>
      <c r="AY173" s="46" t="str">
        <f aca="true">IFERROR(IF(M173&lt;&gt;"",ROUND(VALUE(M173),1),IF(L173&lt;&gt;"",ROUND(MAX(0,(DATEVALUE(TEXT(L173,"YYYY-MM-DD"))-TODAY())/365.25),1),"")),"")</f>
        <v/>
      </c>
      <c r="AZ173" s="46" t="str">
        <f aca="false">IFERROR(IF(O173&lt;&gt;"",O173,""),"")</f>
        <v/>
      </c>
      <c r="BA173" s="46" t="str">
        <f aca="false">IFERROR(IF(U173&lt;&gt;"",SUBSTITUTE(SUBSTITUTE(U173,"; ",", "),";",","),""),"")</f>
        <v/>
      </c>
      <c r="BB173" s="47"/>
      <c r="BC173" s="47"/>
      <c r="BD173" s="47"/>
      <c r="BE173" s="47"/>
      <c r="BF173" s="47"/>
      <c r="BG173" s="47"/>
      <c r="BH173" s="47"/>
      <c r="BI173" s="47"/>
      <c r="BJ173" s="47"/>
      <c r="BK173" s="46" t="str">
        <f aca="false">IFERROR(IF(W173&lt;&gt;"",VALUE(W173),""),"")</f>
        <v/>
      </c>
      <c r="BL173" s="46" t="str">
        <f aca="false">IFERROR(IF(X173&lt;&gt;"",VALUE(X173),""),"")</f>
        <v/>
      </c>
      <c r="BM173" s="46" t="str">
        <f aca="false">IFERROR(IF(AD173="","None",IF(ISNUMBER(SEARCH("surv",AD173)),"Survived",IF(ISNUMBER(SEARCH("pend",AD173)),"Pending",IF(ISNUMBER(SEARCH("yes",AD173)),"Pending","None")))),"None")</f>
        <v>None</v>
      </c>
      <c r="BN173" s="47"/>
      <c r="BO173" s="47"/>
      <c r="BP173" s="47"/>
      <c r="BQ173" s="47"/>
      <c r="BR173" s="47"/>
      <c r="BS173" s="47"/>
      <c r="BT173" s="47"/>
      <c r="BU173" s="48" t="n">
        <f aca="false">IFERROR(COUNTA(AE173:BT173)/42,0)</f>
        <v>0.30952380952381</v>
      </c>
      <c r="BV173" s="49"/>
      <c r="BW173" s="50" t="b">
        <f aca="false">IF(Configuration!$C$10="No","",IFERROR(IF(AG173&lt;&gt;"",TRUE(),FALSE()),FALSE()))</f>
        <v>0</v>
      </c>
      <c r="BX173" s="50" t="b">
        <f aca="false">IF(Configuration!$C$11="No","",IFERROR(IF(AND(N(AL173)&gt;=Configuration!$C$44,AM173&lt;&gt;""),TRUE(),FALSE()),FALSE()))</f>
        <v>0</v>
      </c>
      <c r="BY173" s="50" t="b">
        <f aca="false">IF(Configuration!$C$12="No","",IFERROR(IF(AJ173&lt;&gt;"",TRUE(),FALSE()),FALSE()))</f>
        <v>0</v>
      </c>
      <c r="BZ173" s="50" t="b">
        <f aca="false">IF(Configuration!$C$13="No","",IFERROR(IF(AI173&lt;&gt;"",TRUE(),FALSE()),FALSE()))</f>
        <v>0</v>
      </c>
      <c r="CA173" s="50" t="b">
        <f aca="false">IF(Configuration!$C$14="No","",IFERROR(IF(AK173&lt;&gt;"",TRUE(),FALSE()),FALSE()))</f>
        <v>0</v>
      </c>
      <c r="CB173" s="50" t="b">
        <f aca="false">IF(Configuration!$C$15="No","",IFERROR(IF(AND(OR(ISNUMBER(SEARCH("process",AG173)),ISNUMBER(SEARCH("fab",AG173)),ISNUMBER(SEARCH("manufac",AG173))),AO173="Method"),TRUE(),FALSE()),FALSE()))</f>
        <v>0</v>
      </c>
      <c r="CC173" s="50" t="b">
        <f aca="false">IF(Configuration!$C$16="No","",IFERROR(IF(AND(OR(ISNUMBER(SEARCH("material",AG173)),ISNUMBER(SEARCH("chem",AG173)),ISNUMBER(SEARCH("battery",AG173)),ISNUMBER(SEARCH("electrolyte",AG173)),ISNUMBER(SEARCH("polymer",AG173))),OR(AO173="Apparatus",AO173="Method")),TRUE(),FALSE()),FALSE()))</f>
        <v>0</v>
      </c>
      <c r="CD173" s="50" t="b">
        <f aca="false">IF(Configuration!$C$17="No","",IFERROR(IF(AND(OR(AI173="App",AI173="Middleware",AI173="Cloud"),OR(AO173="Method",AO173="CRM")),TRUE(),FALSE()),FALSE()))</f>
        <v>0</v>
      </c>
      <c r="CE173" s="50" t="b">
        <f aca="false">IF(Configuration!$C$18="No","",IFERROR(IF(N(AN173)&gt;=Configuration!$C$45,TRUE(),FALSE()),FALSE()))</f>
        <v>0</v>
      </c>
      <c r="CF173" s="50" t="b">
        <f aca="false">IF(Configuration!$C$19="No","",IFERROR(IF(BE173&lt;&gt;"",TRUE(),FALSE()),FALSE()))</f>
        <v>0</v>
      </c>
      <c r="CG173" s="50" t="b">
        <f aca="false">IF(Configuration!$C$20="No","",IFERROR(IF(AO173&lt;&gt;"",TRUE(),FALSE()),FALSE()))</f>
        <v>0</v>
      </c>
      <c r="CH173" s="50" t="b">
        <f aca="false">IF(Configuration!$C$21="No","",IFERROR(IF(OR(N(AS173)&gt;=Configuration!$C$46,N(AT173)&gt;=Configuration!$C$47),TRUE(),FALSE()),FALSE()))</f>
        <v>0</v>
      </c>
      <c r="CI173" s="50" t="b">
        <f aca="false">IF(Configuration!$C$22="No","",IFERROR(IF(BB173="Yes",TRUE(),FALSE()),FALSE()))</f>
        <v>0</v>
      </c>
      <c r="CJ173" s="50" t="b">
        <f aca="false">IF(Configuration!$C$23="No","",IFERROR(IF(N(AV173)&gt;=Configuration!$C$48,TRUE(),FALSE()),FALSE()))</f>
        <v>0</v>
      </c>
      <c r="CK173" s="50" t="b">
        <f aca="false">IF(Configuration!$C$24="No","",IFERROR(IF(N(AY173)&gt;0,TRUE(),FALSE()),FALSE()))</f>
        <v>0</v>
      </c>
      <c r="CL173" s="50" t="b">
        <f aca="false">IF(Configuration!$C$25="No","",IFERROR(IF(OR(N(AP173)=3,N(AP173)&lt;=1),TRUE(),FALSE()),FALSE()))</f>
        <v>1</v>
      </c>
      <c r="CM173" s="50" t="b">
        <f aca="false">IF(Configuration!$C$26="No","",IFERROR(IF(N(BF173)&gt;=Configuration!$C$49,TRUE(),FALSE()),FALSE()))</f>
        <v>0</v>
      </c>
      <c r="CN173" s="50" t="b">
        <f aca="false">IF(Configuration!$C$27="No","",IFERROR(IF(BD173&lt;&gt;"",TRUE(),FALSE()),FALSE()))</f>
        <v>0</v>
      </c>
      <c r="CO173" s="50" t="b">
        <f aca="false">IF(Configuration!$C$28="No","",IFERROR(IF(N(AU173)&gt;=Configuration!$C$50,TRUE(),FALSE()),FALSE()))</f>
        <v>0</v>
      </c>
      <c r="CP173" s="50" t="b">
        <f aca="false">IF(Configuration!$C$29="No","",IFERROR(IF(AND(N(AR173)&gt;=Configuration!$C$51,AG173&lt;&gt;""),TRUE(),FALSE()),FALSE()))</f>
        <v>0</v>
      </c>
      <c r="CQ173" s="50" t="b">
        <f aca="false">IF(Configuration!$C$30="No","",IFERROR(IF(OR(AW173="Pending",AX173="Yes"),TRUE(),FALSE()),FALSE()))</f>
        <v>0</v>
      </c>
      <c r="CR173" s="50" t="b">
        <f aca="false">IF(Configuration!$C$31="No","",IFERROR(IF(AND(N(BG173)&gt;=Configuration!$C$52,N(AP173)&gt;=1),TRUE(),FALSE()),FALSE()))</f>
        <v>0</v>
      </c>
      <c r="CS173" s="50" t="b">
        <f aca="false">IF(Configuration!$C$32="No","",IFERROR(IF(AND(N(AR173)&gt;=1,OR(AG173&lt;&gt;"",AM173&lt;&gt;"")),TRUE(),FALSE()),FALSE()))</f>
        <v>0</v>
      </c>
      <c r="CT173" s="50" t="b">
        <f aca="false">IF(Configuration!$C$33="No","",IFERROR(IF(AG173&lt;&gt;"",TRUE(),FALSE()),FALSE()))</f>
        <v>0</v>
      </c>
      <c r="CU173" s="50" t="b">
        <f aca="false">IF(Configuration!$C$34="No","",IFERROR(IF(AX173="Yes",TRUE(),FALSE()),FALSE()))</f>
        <v>0</v>
      </c>
      <c r="CV173" s="50" t="b">
        <f aca="false">IF(Configuration!$C$35="No","",IFERROR(IF(OR(BO173="Partial",BO173="Full"),TRUE(),FALSE()),FALSE()))</f>
        <v>0</v>
      </c>
      <c r="CW173" s="50" t="b">
        <f aca="false">IF(Configuration!$C$36="No","",IFERROR(IF(BM173="Survived",TRUE(),FALSE()),FALSE()))</f>
        <v>0</v>
      </c>
      <c r="CX173" s="50" t="b">
        <f aca="false">IF(Configuration!$C$37="No","",IFERROR(IF(AND(BN173="Clean",BP173="None"),TRUE(),FALSE()),FALSE()))</f>
        <v>0</v>
      </c>
      <c r="CY173" s="50" t="b">
        <f aca="false">IF(Configuration!$C$38="No","",IFERROR(IF(N(BK173)&gt;=Configuration!$C$53,TRUE(),FALSE()),FALSE()))</f>
        <v>0</v>
      </c>
      <c r="CZ173" s="50" t="b">
        <f aca="false">IF(Configuration!$C$39="No","",IFERROR(IF(AND(N(BS173)&gt;=2,N(BF173)&gt;=2),TRUE(),FALSE()),FALSE()))</f>
        <v>0</v>
      </c>
      <c r="DA173" s="50" t="b">
        <f aca="false">IF(Configuration!$C$40="No","",IFERROR(IF(OR(N(BG173)&lt;=Configuration!$C$56,N(AY173)&lt;Configuration!$C$57,N(BH173)&lt;=Configuration!$C$58),TRUE(),FALSE()),FALSE()))</f>
        <v>1</v>
      </c>
      <c r="DB173" s="50" t="b">
        <f aca="false">IF(Configuration!$C$41="No","",IFERROR(IF(AND(N(AY173)&gt;=Configuration!$C$54,N(AY173)&lt;=Configuration!$C$55),TRUE(),FALSE()),FALSE()))</f>
        <v>0</v>
      </c>
      <c r="DC173" s="50" t="b">
        <f aca="false">IF(Configuration!$C$42="No","",IFERROR(IF(AND(AG173&lt;&gt;"",AJ173&lt;&gt;""),TRUE(),FALSE()),FALSE()))</f>
        <v>0</v>
      </c>
      <c r="DD173" s="51" t="n">
        <f aca="false">COUNTIF(BW173:DC173,TRUE())</f>
        <v>2</v>
      </c>
    </row>
    <row r="174" customFormat="false" ht="15" hidden="false" customHeight="true" outlineLevel="0" collapsed="false">
      <c r="A174" s="18" t="n">
        <v>135</v>
      </c>
      <c r="B174" s="44"/>
      <c r="C174" s="44"/>
      <c r="D174" s="44"/>
      <c r="E174" s="44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6" t="str">
        <f aca="false">IFERROR(IF(F174&lt;&gt;"",F174,""),"")</f>
        <v/>
      </c>
      <c r="AF174" s="46" t="str">
        <f aca="false">IFERROR(IF(G174&lt;&gt;"",G174,""),"")</f>
        <v/>
      </c>
      <c r="AG174" s="46" t="str">
        <f aca="false">IFERROR(IF(AA174&lt;&gt;"",AA174,IF(R174&lt;&gt;"",R174,"")),"")</f>
        <v/>
      </c>
      <c r="AH174" s="46" t="str">
        <f aca="false">IFERROR(IF(AB174&lt;&gt;"",AB174,IF(S174&lt;&gt;"",S174,"")),"")</f>
        <v/>
      </c>
      <c r="AI174" s="47"/>
      <c r="AJ174" s="47"/>
      <c r="AK174" s="47"/>
      <c r="AL174" s="47"/>
      <c r="AM174" s="47"/>
      <c r="AN174" s="47"/>
      <c r="AO174" s="47"/>
      <c r="AP174" s="47"/>
      <c r="AQ174" s="46" t="str">
        <f aca="false">IFERROR(IF(Y174&lt;&gt;"",VALUE(Y174),""),"")</f>
        <v/>
      </c>
      <c r="AR174" s="47"/>
      <c r="AS174" s="47"/>
      <c r="AT174" s="47"/>
      <c r="AU174" s="47"/>
      <c r="AV174" s="46" t="str">
        <f aca="false">IFERROR(IF(T174&lt;&gt;"",VALUE(T174),""),"")</f>
        <v/>
      </c>
      <c r="AW174" s="46" t="str">
        <f aca="false">IFERROR(IF(N174="","",IF(OR(ISNUMBER(SEARCH("grant",N174)),ISNUMBER(SEARCH("B",AC174))),"Granted",IF(OR(ISNUMBER(SEARCH("pend",N174)),ISNUMBER(SEARCH("A",AC174))),"Pending",IF(ISNUMBER(SEARCH("expir",N174)),"Expired",N174)))),"")</f>
        <v/>
      </c>
      <c r="AX174" s="47"/>
      <c r="AY174" s="46" t="str">
        <f aca="true">IFERROR(IF(M174&lt;&gt;"",ROUND(VALUE(M174),1),IF(L174&lt;&gt;"",ROUND(MAX(0,(DATEVALUE(TEXT(L174,"YYYY-MM-DD"))-TODAY())/365.25),1),"")),"")</f>
        <v/>
      </c>
      <c r="AZ174" s="46" t="str">
        <f aca="false">IFERROR(IF(O174&lt;&gt;"",O174,""),"")</f>
        <v/>
      </c>
      <c r="BA174" s="46" t="str">
        <f aca="false">IFERROR(IF(U174&lt;&gt;"",SUBSTITUTE(SUBSTITUTE(U174,"; ",", "),";",","),""),"")</f>
        <v/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6" t="str">
        <f aca="false">IFERROR(IF(W174&lt;&gt;"",VALUE(W174),""),"")</f>
        <v/>
      </c>
      <c r="BL174" s="46" t="str">
        <f aca="false">IFERROR(IF(X174&lt;&gt;"",VALUE(X174),""),"")</f>
        <v/>
      </c>
      <c r="BM174" s="46" t="str">
        <f aca="false">IFERROR(IF(AD174="","None",IF(ISNUMBER(SEARCH("surv",AD174)),"Survived",IF(ISNUMBER(SEARCH("pend",AD174)),"Pending",IF(ISNUMBER(SEARCH("yes",AD174)),"Pending","None")))),"None")</f>
        <v>None</v>
      </c>
      <c r="BN174" s="47"/>
      <c r="BO174" s="47"/>
      <c r="BP174" s="47"/>
      <c r="BQ174" s="47"/>
      <c r="BR174" s="47"/>
      <c r="BS174" s="47"/>
      <c r="BT174" s="47"/>
      <c r="BU174" s="48" t="n">
        <f aca="false">IFERROR(COUNTA(AE174:BT174)/42,0)</f>
        <v>0.30952380952381</v>
      </c>
      <c r="BV174" s="49"/>
      <c r="BW174" s="50" t="b">
        <f aca="false">IF(Configuration!$C$10="No","",IFERROR(IF(AG174&lt;&gt;"",TRUE(),FALSE()),FALSE()))</f>
        <v>0</v>
      </c>
      <c r="BX174" s="50" t="b">
        <f aca="false">IF(Configuration!$C$11="No","",IFERROR(IF(AND(N(AL174)&gt;=Configuration!$C$44,AM174&lt;&gt;""),TRUE(),FALSE()),FALSE()))</f>
        <v>0</v>
      </c>
      <c r="BY174" s="50" t="b">
        <f aca="false">IF(Configuration!$C$12="No","",IFERROR(IF(AJ174&lt;&gt;"",TRUE(),FALSE()),FALSE()))</f>
        <v>0</v>
      </c>
      <c r="BZ174" s="50" t="b">
        <f aca="false">IF(Configuration!$C$13="No","",IFERROR(IF(AI174&lt;&gt;"",TRUE(),FALSE()),FALSE()))</f>
        <v>0</v>
      </c>
      <c r="CA174" s="50" t="b">
        <f aca="false">IF(Configuration!$C$14="No","",IFERROR(IF(AK174&lt;&gt;"",TRUE(),FALSE()),FALSE()))</f>
        <v>0</v>
      </c>
      <c r="CB174" s="50" t="b">
        <f aca="false">IF(Configuration!$C$15="No","",IFERROR(IF(AND(OR(ISNUMBER(SEARCH("process",AG174)),ISNUMBER(SEARCH("fab",AG174)),ISNUMBER(SEARCH("manufac",AG174))),AO174="Method"),TRUE(),FALSE()),FALSE()))</f>
        <v>0</v>
      </c>
      <c r="CC174" s="50" t="b">
        <f aca="false">IF(Configuration!$C$16="No","",IFERROR(IF(AND(OR(ISNUMBER(SEARCH("material",AG174)),ISNUMBER(SEARCH("chem",AG174)),ISNUMBER(SEARCH("battery",AG174)),ISNUMBER(SEARCH("electrolyte",AG174)),ISNUMBER(SEARCH("polymer",AG174))),OR(AO174="Apparatus",AO174="Method")),TRUE(),FALSE()),FALSE()))</f>
        <v>0</v>
      </c>
      <c r="CD174" s="50" t="b">
        <f aca="false">IF(Configuration!$C$17="No","",IFERROR(IF(AND(OR(AI174="App",AI174="Middleware",AI174="Cloud"),OR(AO174="Method",AO174="CRM")),TRUE(),FALSE()),FALSE()))</f>
        <v>0</v>
      </c>
      <c r="CE174" s="50" t="b">
        <f aca="false">IF(Configuration!$C$18="No","",IFERROR(IF(N(AN174)&gt;=Configuration!$C$45,TRUE(),FALSE()),FALSE()))</f>
        <v>0</v>
      </c>
      <c r="CF174" s="50" t="b">
        <f aca="false">IF(Configuration!$C$19="No","",IFERROR(IF(BE174&lt;&gt;"",TRUE(),FALSE()),FALSE()))</f>
        <v>0</v>
      </c>
      <c r="CG174" s="50" t="b">
        <f aca="false">IF(Configuration!$C$20="No","",IFERROR(IF(AO174&lt;&gt;"",TRUE(),FALSE()),FALSE()))</f>
        <v>0</v>
      </c>
      <c r="CH174" s="50" t="b">
        <f aca="false">IF(Configuration!$C$21="No","",IFERROR(IF(OR(N(AS174)&gt;=Configuration!$C$46,N(AT174)&gt;=Configuration!$C$47),TRUE(),FALSE()),FALSE()))</f>
        <v>0</v>
      </c>
      <c r="CI174" s="50" t="b">
        <f aca="false">IF(Configuration!$C$22="No","",IFERROR(IF(BB174="Yes",TRUE(),FALSE()),FALSE()))</f>
        <v>0</v>
      </c>
      <c r="CJ174" s="50" t="b">
        <f aca="false">IF(Configuration!$C$23="No","",IFERROR(IF(N(AV174)&gt;=Configuration!$C$48,TRUE(),FALSE()),FALSE()))</f>
        <v>0</v>
      </c>
      <c r="CK174" s="50" t="b">
        <f aca="false">IF(Configuration!$C$24="No","",IFERROR(IF(N(AY174)&gt;0,TRUE(),FALSE()),FALSE()))</f>
        <v>0</v>
      </c>
      <c r="CL174" s="50" t="b">
        <f aca="false">IF(Configuration!$C$25="No","",IFERROR(IF(OR(N(AP174)=3,N(AP174)&lt;=1),TRUE(),FALSE()),FALSE()))</f>
        <v>1</v>
      </c>
      <c r="CM174" s="50" t="b">
        <f aca="false">IF(Configuration!$C$26="No","",IFERROR(IF(N(BF174)&gt;=Configuration!$C$49,TRUE(),FALSE()),FALSE()))</f>
        <v>0</v>
      </c>
      <c r="CN174" s="50" t="b">
        <f aca="false">IF(Configuration!$C$27="No","",IFERROR(IF(BD174&lt;&gt;"",TRUE(),FALSE()),FALSE()))</f>
        <v>0</v>
      </c>
      <c r="CO174" s="50" t="b">
        <f aca="false">IF(Configuration!$C$28="No","",IFERROR(IF(N(AU174)&gt;=Configuration!$C$50,TRUE(),FALSE()),FALSE()))</f>
        <v>0</v>
      </c>
      <c r="CP174" s="50" t="b">
        <f aca="false">IF(Configuration!$C$29="No","",IFERROR(IF(AND(N(AR174)&gt;=Configuration!$C$51,AG174&lt;&gt;""),TRUE(),FALSE()),FALSE()))</f>
        <v>0</v>
      </c>
      <c r="CQ174" s="50" t="b">
        <f aca="false">IF(Configuration!$C$30="No","",IFERROR(IF(OR(AW174="Pending",AX174="Yes"),TRUE(),FALSE()),FALSE()))</f>
        <v>0</v>
      </c>
      <c r="CR174" s="50" t="b">
        <f aca="false">IF(Configuration!$C$31="No","",IFERROR(IF(AND(N(BG174)&gt;=Configuration!$C$52,N(AP174)&gt;=1),TRUE(),FALSE()),FALSE()))</f>
        <v>0</v>
      </c>
      <c r="CS174" s="50" t="b">
        <f aca="false">IF(Configuration!$C$32="No","",IFERROR(IF(AND(N(AR174)&gt;=1,OR(AG174&lt;&gt;"",AM174&lt;&gt;"")),TRUE(),FALSE()),FALSE()))</f>
        <v>0</v>
      </c>
      <c r="CT174" s="50" t="b">
        <f aca="false">IF(Configuration!$C$33="No","",IFERROR(IF(AG174&lt;&gt;"",TRUE(),FALSE()),FALSE()))</f>
        <v>0</v>
      </c>
      <c r="CU174" s="50" t="b">
        <f aca="false">IF(Configuration!$C$34="No","",IFERROR(IF(AX174="Yes",TRUE(),FALSE()),FALSE()))</f>
        <v>0</v>
      </c>
      <c r="CV174" s="50" t="b">
        <f aca="false">IF(Configuration!$C$35="No","",IFERROR(IF(OR(BO174="Partial",BO174="Full"),TRUE(),FALSE()),FALSE()))</f>
        <v>0</v>
      </c>
      <c r="CW174" s="50" t="b">
        <f aca="false">IF(Configuration!$C$36="No","",IFERROR(IF(BM174="Survived",TRUE(),FALSE()),FALSE()))</f>
        <v>0</v>
      </c>
      <c r="CX174" s="50" t="b">
        <f aca="false">IF(Configuration!$C$37="No","",IFERROR(IF(AND(BN174="Clean",BP174="None"),TRUE(),FALSE()),FALSE()))</f>
        <v>0</v>
      </c>
      <c r="CY174" s="50" t="b">
        <f aca="false">IF(Configuration!$C$38="No","",IFERROR(IF(N(BK174)&gt;=Configuration!$C$53,TRUE(),FALSE()),FALSE()))</f>
        <v>0</v>
      </c>
      <c r="CZ174" s="50" t="b">
        <f aca="false">IF(Configuration!$C$39="No","",IFERROR(IF(AND(N(BS174)&gt;=2,N(BF174)&gt;=2),TRUE(),FALSE()),FALSE()))</f>
        <v>0</v>
      </c>
      <c r="DA174" s="50" t="b">
        <f aca="false">IF(Configuration!$C$40="No","",IFERROR(IF(OR(N(BG174)&lt;=Configuration!$C$56,N(AY174)&lt;Configuration!$C$57,N(BH174)&lt;=Configuration!$C$58),TRUE(),FALSE()),FALSE()))</f>
        <v>1</v>
      </c>
      <c r="DB174" s="50" t="b">
        <f aca="false">IF(Configuration!$C$41="No","",IFERROR(IF(AND(N(AY174)&gt;=Configuration!$C$54,N(AY174)&lt;=Configuration!$C$55),TRUE(),FALSE()),FALSE()))</f>
        <v>0</v>
      </c>
      <c r="DC174" s="50" t="b">
        <f aca="false">IF(Configuration!$C$42="No","",IFERROR(IF(AND(AG174&lt;&gt;"",AJ174&lt;&gt;""),TRUE(),FALSE()),FALSE()))</f>
        <v>0</v>
      </c>
      <c r="DD174" s="51" t="n">
        <f aca="false">COUNTIF(BW174:DC174,TRUE())</f>
        <v>2</v>
      </c>
    </row>
    <row r="175" customFormat="false" ht="15" hidden="false" customHeight="true" outlineLevel="0" collapsed="false">
      <c r="A175" s="18" t="n">
        <v>136</v>
      </c>
      <c r="B175" s="44"/>
      <c r="C175" s="44"/>
      <c r="D175" s="44"/>
      <c r="E175" s="44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6" t="str">
        <f aca="false">IFERROR(IF(F175&lt;&gt;"",F175,""),"")</f>
        <v/>
      </c>
      <c r="AF175" s="46" t="str">
        <f aca="false">IFERROR(IF(G175&lt;&gt;"",G175,""),"")</f>
        <v/>
      </c>
      <c r="AG175" s="46" t="str">
        <f aca="false">IFERROR(IF(AA175&lt;&gt;"",AA175,IF(R175&lt;&gt;"",R175,"")),"")</f>
        <v/>
      </c>
      <c r="AH175" s="46" t="str">
        <f aca="false">IFERROR(IF(AB175&lt;&gt;"",AB175,IF(S175&lt;&gt;"",S175,"")),"")</f>
        <v/>
      </c>
      <c r="AI175" s="47"/>
      <c r="AJ175" s="47"/>
      <c r="AK175" s="47"/>
      <c r="AL175" s="47"/>
      <c r="AM175" s="47"/>
      <c r="AN175" s="47"/>
      <c r="AO175" s="47"/>
      <c r="AP175" s="47"/>
      <c r="AQ175" s="46" t="str">
        <f aca="false">IFERROR(IF(Y175&lt;&gt;"",VALUE(Y175),""),"")</f>
        <v/>
      </c>
      <c r="AR175" s="47"/>
      <c r="AS175" s="47"/>
      <c r="AT175" s="47"/>
      <c r="AU175" s="47"/>
      <c r="AV175" s="46" t="str">
        <f aca="false">IFERROR(IF(T175&lt;&gt;"",VALUE(T175),""),"")</f>
        <v/>
      </c>
      <c r="AW175" s="46" t="str">
        <f aca="false">IFERROR(IF(N175="","",IF(OR(ISNUMBER(SEARCH("grant",N175)),ISNUMBER(SEARCH("B",AC175))),"Granted",IF(OR(ISNUMBER(SEARCH("pend",N175)),ISNUMBER(SEARCH("A",AC175))),"Pending",IF(ISNUMBER(SEARCH("expir",N175)),"Expired",N175)))),"")</f>
        <v/>
      </c>
      <c r="AX175" s="47"/>
      <c r="AY175" s="46" t="str">
        <f aca="true">IFERROR(IF(M175&lt;&gt;"",ROUND(VALUE(M175),1),IF(L175&lt;&gt;"",ROUND(MAX(0,(DATEVALUE(TEXT(L175,"YYYY-MM-DD"))-TODAY())/365.25),1),"")),"")</f>
        <v/>
      </c>
      <c r="AZ175" s="46" t="str">
        <f aca="false">IFERROR(IF(O175&lt;&gt;"",O175,""),"")</f>
        <v/>
      </c>
      <c r="BA175" s="46" t="str">
        <f aca="false">IFERROR(IF(U175&lt;&gt;"",SUBSTITUTE(SUBSTITUTE(U175,"; ",", "),";",","),""),"")</f>
        <v/>
      </c>
      <c r="BB175" s="47"/>
      <c r="BC175" s="47"/>
      <c r="BD175" s="47"/>
      <c r="BE175" s="47"/>
      <c r="BF175" s="47"/>
      <c r="BG175" s="47"/>
      <c r="BH175" s="47"/>
      <c r="BI175" s="47"/>
      <c r="BJ175" s="47"/>
      <c r="BK175" s="46" t="str">
        <f aca="false">IFERROR(IF(W175&lt;&gt;"",VALUE(W175),""),"")</f>
        <v/>
      </c>
      <c r="BL175" s="46" t="str">
        <f aca="false">IFERROR(IF(X175&lt;&gt;"",VALUE(X175),""),"")</f>
        <v/>
      </c>
      <c r="BM175" s="46" t="str">
        <f aca="false">IFERROR(IF(AD175="","None",IF(ISNUMBER(SEARCH("surv",AD175)),"Survived",IF(ISNUMBER(SEARCH("pend",AD175)),"Pending",IF(ISNUMBER(SEARCH("yes",AD175)),"Pending","None")))),"None")</f>
        <v>None</v>
      </c>
      <c r="BN175" s="47"/>
      <c r="BO175" s="47"/>
      <c r="BP175" s="47"/>
      <c r="BQ175" s="47"/>
      <c r="BR175" s="47"/>
      <c r="BS175" s="47"/>
      <c r="BT175" s="47"/>
      <c r="BU175" s="48" t="n">
        <f aca="false">IFERROR(COUNTA(AE175:BT175)/42,0)</f>
        <v>0.30952380952381</v>
      </c>
      <c r="BV175" s="49"/>
      <c r="BW175" s="50" t="b">
        <f aca="false">IF(Configuration!$C$10="No","",IFERROR(IF(AG175&lt;&gt;"",TRUE(),FALSE()),FALSE()))</f>
        <v>0</v>
      </c>
      <c r="BX175" s="50" t="b">
        <f aca="false">IF(Configuration!$C$11="No","",IFERROR(IF(AND(N(AL175)&gt;=Configuration!$C$44,AM175&lt;&gt;""),TRUE(),FALSE()),FALSE()))</f>
        <v>0</v>
      </c>
      <c r="BY175" s="50" t="b">
        <f aca="false">IF(Configuration!$C$12="No","",IFERROR(IF(AJ175&lt;&gt;"",TRUE(),FALSE()),FALSE()))</f>
        <v>0</v>
      </c>
      <c r="BZ175" s="50" t="b">
        <f aca="false">IF(Configuration!$C$13="No","",IFERROR(IF(AI175&lt;&gt;"",TRUE(),FALSE()),FALSE()))</f>
        <v>0</v>
      </c>
      <c r="CA175" s="50" t="b">
        <f aca="false">IF(Configuration!$C$14="No","",IFERROR(IF(AK175&lt;&gt;"",TRUE(),FALSE()),FALSE()))</f>
        <v>0</v>
      </c>
      <c r="CB175" s="50" t="b">
        <f aca="false">IF(Configuration!$C$15="No","",IFERROR(IF(AND(OR(ISNUMBER(SEARCH("process",AG175)),ISNUMBER(SEARCH("fab",AG175)),ISNUMBER(SEARCH("manufac",AG175))),AO175="Method"),TRUE(),FALSE()),FALSE()))</f>
        <v>0</v>
      </c>
      <c r="CC175" s="50" t="b">
        <f aca="false">IF(Configuration!$C$16="No","",IFERROR(IF(AND(OR(ISNUMBER(SEARCH("material",AG175)),ISNUMBER(SEARCH("chem",AG175)),ISNUMBER(SEARCH("battery",AG175)),ISNUMBER(SEARCH("electrolyte",AG175)),ISNUMBER(SEARCH("polymer",AG175))),OR(AO175="Apparatus",AO175="Method")),TRUE(),FALSE()),FALSE()))</f>
        <v>0</v>
      </c>
      <c r="CD175" s="50" t="b">
        <f aca="false">IF(Configuration!$C$17="No","",IFERROR(IF(AND(OR(AI175="App",AI175="Middleware",AI175="Cloud"),OR(AO175="Method",AO175="CRM")),TRUE(),FALSE()),FALSE()))</f>
        <v>0</v>
      </c>
      <c r="CE175" s="50" t="b">
        <f aca="false">IF(Configuration!$C$18="No","",IFERROR(IF(N(AN175)&gt;=Configuration!$C$45,TRUE(),FALSE()),FALSE()))</f>
        <v>0</v>
      </c>
      <c r="CF175" s="50" t="b">
        <f aca="false">IF(Configuration!$C$19="No","",IFERROR(IF(BE175&lt;&gt;"",TRUE(),FALSE()),FALSE()))</f>
        <v>0</v>
      </c>
      <c r="CG175" s="50" t="b">
        <f aca="false">IF(Configuration!$C$20="No","",IFERROR(IF(AO175&lt;&gt;"",TRUE(),FALSE()),FALSE()))</f>
        <v>0</v>
      </c>
      <c r="CH175" s="50" t="b">
        <f aca="false">IF(Configuration!$C$21="No","",IFERROR(IF(OR(N(AS175)&gt;=Configuration!$C$46,N(AT175)&gt;=Configuration!$C$47),TRUE(),FALSE()),FALSE()))</f>
        <v>0</v>
      </c>
      <c r="CI175" s="50" t="b">
        <f aca="false">IF(Configuration!$C$22="No","",IFERROR(IF(BB175="Yes",TRUE(),FALSE()),FALSE()))</f>
        <v>0</v>
      </c>
      <c r="CJ175" s="50" t="b">
        <f aca="false">IF(Configuration!$C$23="No","",IFERROR(IF(N(AV175)&gt;=Configuration!$C$48,TRUE(),FALSE()),FALSE()))</f>
        <v>0</v>
      </c>
      <c r="CK175" s="50" t="b">
        <f aca="false">IF(Configuration!$C$24="No","",IFERROR(IF(N(AY175)&gt;0,TRUE(),FALSE()),FALSE()))</f>
        <v>0</v>
      </c>
      <c r="CL175" s="50" t="b">
        <f aca="false">IF(Configuration!$C$25="No","",IFERROR(IF(OR(N(AP175)=3,N(AP175)&lt;=1),TRUE(),FALSE()),FALSE()))</f>
        <v>1</v>
      </c>
      <c r="CM175" s="50" t="b">
        <f aca="false">IF(Configuration!$C$26="No","",IFERROR(IF(N(BF175)&gt;=Configuration!$C$49,TRUE(),FALSE()),FALSE()))</f>
        <v>0</v>
      </c>
      <c r="CN175" s="50" t="b">
        <f aca="false">IF(Configuration!$C$27="No","",IFERROR(IF(BD175&lt;&gt;"",TRUE(),FALSE()),FALSE()))</f>
        <v>0</v>
      </c>
      <c r="CO175" s="50" t="b">
        <f aca="false">IF(Configuration!$C$28="No","",IFERROR(IF(N(AU175)&gt;=Configuration!$C$50,TRUE(),FALSE()),FALSE()))</f>
        <v>0</v>
      </c>
      <c r="CP175" s="50" t="b">
        <f aca="false">IF(Configuration!$C$29="No","",IFERROR(IF(AND(N(AR175)&gt;=Configuration!$C$51,AG175&lt;&gt;""),TRUE(),FALSE()),FALSE()))</f>
        <v>0</v>
      </c>
      <c r="CQ175" s="50" t="b">
        <f aca="false">IF(Configuration!$C$30="No","",IFERROR(IF(OR(AW175="Pending",AX175="Yes"),TRUE(),FALSE()),FALSE()))</f>
        <v>0</v>
      </c>
      <c r="CR175" s="50" t="b">
        <f aca="false">IF(Configuration!$C$31="No","",IFERROR(IF(AND(N(BG175)&gt;=Configuration!$C$52,N(AP175)&gt;=1),TRUE(),FALSE()),FALSE()))</f>
        <v>0</v>
      </c>
      <c r="CS175" s="50" t="b">
        <f aca="false">IF(Configuration!$C$32="No","",IFERROR(IF(AND(N(AR175)&gt;=1,OR(AG175&lt;&gt;"",AM175&lt;&gt;"")),TRUE(),FALSE()),FALSE()))</f>
        <v>0</v>
      </c>
      <c r="CT175" s="50" t="b">
        <f aca="false">IF(Configuration!$C$33="No","",IFERROR(IF(AG175&lt;&gt;"",TRUE(),FALSE()),FALSE()))</f>
        <v>0</v>
      </c>
      <c r="CU175" s="50" t="b">
        <f aca="false">IF(Configuration!$C$34="No","",IFERROR(IF(AX175="Yes",TRUE(),FALSE()),FALSE()))</f>
        <v>0</v>
      </c>
      <c r="CV175" s="50" t="b">
        <f aca="false">IF(Configuration!$C$35="No","",IFERROR(IF(OR(BO175="Partial",BO175="Full"),TRUE(),FALSE()),FALSE()))</f>
        <v>0</v>
      </c>
      <c r="CW175" s="50" t="b">
        <f aca="false">IF(Configuration!$C$36="No","",IFERROR(IF(BM175="Survived",TRUE(),FALSE()),FALSE()))</f>
        <v>0</v>
      </c>
      <c r="CX175" s="50" t="b">
        <f aca="false">IF(Configuration!$C$37="No","",IFERROR(IF(AND(BN175="Clean",BP175="None"),TRUE(),FALSE()),FALSE()))</f>
        <v>0</v>
      </c>
      <c r="CY175" s="50" t="b">
        <f aca="false">IF(Configuration!$C$38="No","",IFERROR(IF(N(BK175)&gt;=Configuration!$C$53,TRUE(),FALSE()),FALSE()))</f>
        <v>0</v>
      </c>
      <c r="CZ175" s="50" t="b">
        <f aca="false">IF(Configuration!$C$39="No","",IFERROR(IF(AND(N(BS175)&gt;=2,N(BF175)&gt;=2),TRUE(),FALSE()),FALSE()))</f>
        <v>0</v>
      </c>
      <c r="DA175" s="50" t="b">
        <f aca="false">IF(Configuration!$C$40="No","",IFERROR(IF(OR(N(BG175)&lt;=Configuration!$C$56,N(AY175)&lt;Configuration!$C$57,N(BH175)&lt;=Configuration!$C$58),TRUE(),FALSE()),FALSE()))</f>
        <v>1</v>
      </c>
      <c r="DB175" s="50" t="b">
        <f aca="false">IF(Configuration!$C$41="No","",IFERROR(IF(AND(N(AY175)&gt;=Configuration!$C$54,N(AY175)&lt;=Configuration!$C$55),TRUE(),FALSE()),FALSE()))</f>
        <v>0</v>
      </c>
      <c r="DC175" s="50" t="b">
        <f aca="false">IF(Configuration!$C$42="No","",IFERROR(IF(AND(AG175&lt;&gt;"",AJ175&lt;&gt;""),TRUE(),FALSE()),FALSE()))</f>
        <v>0</v>
      </c>
      <c r="DD175" s="51" t="n">
        <f aca="false">COUNTIF(BW175:DC175,TRUE())</f>
        <v>2</v>
      </c>
    </row>
    <row r="176" customFormat="false" ht="15" hidden="false" customHeight="true" outlineLevel="0" collapsed="false">
      <c r="A176" s="18" t="n">
        <v>137</v>
      </c>
      <c r="B176" s="44"/>
      <c r="C176" s="44"/>
      <c r="D176" s="44"/>
      <c r="E176" s="44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6" t="str">
        <f aca="false">IFERROR(IF(F176&lt;&gt;"",F176,""),"")</f>
        <v/>
      </c>
      <c r="AF176" s="46" t="str">
        <f aca="false">IFERROR(IF(G176&lt;&gt;"",G176,""),"")</f>
        <v/>
      </c>
      <c r="AG176" s="46" t="str">
        <f aca="false">IFERROR(IF(AA176&lt;&gt;"",AA176,IF(R176&lt;&gt;"",R176,"")),"")</f>
        <v/>
      </c>
      <c r="AH176" s="46" t="str">
        <f aca="false">IFERROR(IF(AB176&lt;&gt;"",AB176,IF(S176&lt;&gt;"",S176,"")),"")</f>
        <v/>
      </c>
      <c r="AI176" s="47"/>
      <c r="AJ176" s="47"/>
      <c r="AK176" s="47"/>
      <c r="AL176" s="47"/>
      <c r="AM176" s="47"/>
      <c r="AN176" s="47"/>
      <c r="AO176" s="47"/>
      <c r="AP176" s="47"/>
      <c r="AQ176" s="46" t="str">
        <f aca="false">IFERROR(IF(Y176&lt;&gt;"",VALUE(Y176),""),"")</f>
        <v/>
      </c>
      <c r="AR176" s="47"/>
      <c r="AS176" s="47"/>
      <c r="AT176" s="47"/>
      <c r="AU176" s="47"/>
      <c r="AV176" s="46" t="str">
        <f aca="false">IFERROR(IF(T176&lt;&gt;"",VALUE(T176),""),"")</f>
        <v/>
      </c>
      <c r="AW176" s="46" t="str">
        <f aca="false">IFERROR(IF(N176="","",IF(OR(ISNUMBER(SEARCH("grant",N176)),ISNUMBER(SEARCH("B",AC176))),"Granted",IF(OR(ISNUMBER(SEARCH("pend",N176)),ISNUMBER(SEARCH("A",AC176))),"Pending",IF(ISNUMBER(SEARCH("expir",N176)),"Expired",N176)))),"")</f>
        <v/>
      </c>
      <c r="AX176" s="47"/>
      <c r="AY176" s="46" t="str">
        <f aca="true">IFERROR(IF(M176&lt;&gt;"",ROUND(VALUE(M176),1),IF(L176&lt;&gt;"",ROUND(MAX(0,(DATEVALUE(TEXT(L176,"YYYY-MM-DD"))-TODAY())/365.25),1),"")),"")</f>
        <v/>
      </c>
      <c r="AZ176" s="46" t="str">
        <f aca="false">IFERROR(IF(O176&lt;&gt;"",O176,""),"")</f>
        <v/>
      </c>
      <c r="BA176" s="46" t="str">
        <f aca="false">IFERROR(IF(U176&lt;&gt;"",SUBSTITUTE(SUBSTITUTE(U176,"; ",", "),";",","),""),"")</f>
        <v/>
      </c>
      <c r="BB176" s="47"/>
      <c r="BC176" s="47"/>
      <c r="BD176" s="47"/>
      <c r="BE176" s="47"/>
      <c r="BF176" s="47"/>
      <c r="BG176" s="47"/>
      <c r="BH176" s="47"/>
      <c r="BI176" s="47"/>
      <c r="BJ176" s="47"/>
      <c r="BK176" s="46" t="str">
        <f aca="false">IFERROR(IF(W176&lt;&gt;"",VALUE(W176),""),"")</f>
        <v/>
      </c>
      <c r="BL176" s="46" t="str">
        <f aca="false">IFERROR(IF(X176&lt;&gt;"",VALUE(X176),""),"")</f>
        <v/>
      </c>
      <c r="BM176" s="46" t="str">
        <f aca="false">IFERROR(IF(AD176="","None",IF(ISNUMBER(SEARCH("surv",AD176)),"Survived",IF(ISNUMBER(SEARCH("pend",AD176)),"Pending",IF(ISNUMBER(SEARCH("yes",AD176)),"Pending","None")))),"None")</f>
        <v>None</v>
      </c>
      <c r="BN176" s="47"/>
      <c r="BO176" s="47"/>
      <c r="BP176" s="47"/>
      <c r="BQ176" s="47"/>
      <c r="BR176" s="47"/>
      <c r="BS176" s="47"/>
      <c r="BT176" s="47"/>
      <c r="BU176" s="48" t="n">
        <f aca="false">IFERROR(COUNTA(AE176:BT176)/42,0)</f>
        <v>0.30952380952381</v>
      </c>
      <c r="BV176" s="49"/>
      <c r="BW176" s="50" t="b">
        <f aca="false">IF(Configuration!$C$10="No","",IFERROR(IF(AG176&lt;&gt;"",TRUE(),FALSE()),FALSE()))</f>
        <v>0</v>
      </c>
      <c r="BX176" s="50" t="b">
        <f aca="false">IF(Configuration!$C$11="No","",IFERROR(IF(AND(N(AL176)&gt;=Configuration!$C$44,AM176&lt;&gt;""),TRUE(),FALSE()),FALSE()))</f>
        <v>0</v>
      </c>
      <c r="BY176" s="50" t="b">
        <f aca="false">IF(Configuration!$C$12="No","",IFERROR(IF(AJ176&lt;&gt;"",TRUE(),FALSE()),FALSE()))</f>
        <v>0</v>
      </c>
      <c r="BZ176" s="50" t="b">
        <f aca="false">IF(Configuration!$C$13="No","",IFERROR(IF(AI176&lt;&gt;"",TRUE(),FALSE()),FALSE()))</f>
        <v>0</v>
      </c>
      <c r="CA176" s="50" t="b">
        <f aca="false">IF(Configuration!$C$14="No","",IFERROR(IF(AK176&lt;&gt;"",TRUE(),FALSE()),FALSE()))</f>
        <v>0</v>
      </c>
      <c r="CB176" s="50" t="b">
        <f aca="false">IF(Configuration!$C$15="No","",IFERROR(IF(AND(OR(ISNUMBER(SEARCH("process",AG176)),ISNUMBER(SEARCH("fab",AG176)),ISNUMBER(SEARCH("manufac",AG176))),AO176="Method"),TRUE(),FALSE()),FALSE()))</f>
        <v>0</v>
      </c>
      <c r="CC176" s="50" t="b">
        <f aca="false">IF(Configuration!$C$16="No","",IFERROR(IF(AND(OR(ISNUMBER(SEARCH("material",AG176)),ISNUMBER(SEARCH("chem",AG176)),ISNUMBER(SEARCH("battery",AG176)),ISNUMBER(SEARCH("electrolyte",AG176)),ISNUMBER(SEARCH("polymer",AG176))),OR(AO176="Apparatus",AO176="Method")),TRUE(),FALSE()),FALSE()))</f>
        <v>0</v>
      </c>
      <c r="CD176" s="50" t="b">
        <f aca="false">IF(Configuration!$C$17="No","",IFERROR(IF(AND(OR(AI176="App",AI176="Middleware",AI176="Cloud"),OR(AO176="Method",AO176="CRM")),TRUE(),FALSE()),FALSE()))</f>
        <v>0</v>
      </c>
      <c r="CE176" s="50" t="b">
        <f aca="false">IF(Configuration!$C$18="No","",IFERROR(IF(N(AN176)&gt;=Configuration!$C$45,TRUE(),FALSE()),FALSE()))</f>
        <v>0</v>
      </c>
      <c r="CF176" s="50" t="b">
        <f aca="false">IF(Configuration!$C$19="No","",IFERROR(IF(BE176&lt;&gt;"",TRUE(),FALSE()),FALSE()))</f>
        <v>0</v>
      </c>
      <c r="CG176" s="50" t="b">
        <f aca="false">IF(Configuration!$C$20="No","",IFERROR(IF(AO176&lt;&gt;"",TRUE(),FALSE()),FALSE()))</f>
        <v>0</v>
      </c>
      <c r="CH176" s="50" t="b">
        <f aca="false">IF(Configuration!$C$21="No","",IFERROR(IF(OR(N(AS176)&gt;=Configuration!$C$46,N(AT176)&gt;=Configuration!$C$47),TRUE(),FALSE()),FALSE()))</f>
        <v>0</v>
      </c>
      <c r="CI176" s="50" t="b">
        <f aca="false">IF(Configuration!$C$22="No","",IFERROR(IF(BB176="Yes",TRUE(),FALSE()),FALSE()))</f>
        <v>0</v>
      </c>
      <c r="CJ176" s="50" t="b">
        <f aca="false">IF(Configuration!$C$23="No","",IFERROR(IF(N(AV176)&gt;=Configuration!$C$48,TRUE(),FALSE()),FALSE()))</f>
        <v>0</v>
      </c>
      <c r="CK176" s="50" t="b">
        <f aca="false">IF(Configuration!$C$24="No","",IFERROR(IF(N(AY176)&gt;0,TRUE(),FALSE()),FALSE()))</f>
        <v>0</v>
      </c>
      <c r="CL176" s="50" t="b">
        <f aca="false">IF(Configuration!$C$25="No","",IFERROR(IF(OR(N(AP176)=3,N(AP176)&lt;=1),TRUE(),FALSE()),FALSE()))</f>
        <v>1</v>
      </c>
      <c r="CM176" s="50" t="b">
        <f aca="false">IF(Configuration!$C$26="No","",IFERROR(IF(N(BF176)&gt;=Configuration!$C$49,TRUE(),FALSE()),FALSE()))</f>
        <v>0</v>
      </c>
      <c r="CN176" s="50" t="b">
        <f aca="false">IF(Configuration!$C$27="No","",IFERROR(IF(BD176&lt;&gt;"",TRUE(),FALSE()),FALSE()))</f>
        <v>0</v>
      </c>
      <c r="CO176" s="50" t="b">
        <f aca="false">IF(Configuration!$C$28="No","",IFERROR(IF(N(AU176)&gt;=Configuration!$C$50,TRUE(),FALSE()),FALSE()))</f>
        <v>0</v>
      </c>
      <c r="CP176" s="50" t="b">
        <f aca="false">IF(Configuration!$C$29="No","",IFERROR(IF(AND(N(AR176)&gt;=Configuration!$C$51,AG176&lt;&gt;""),TRUE(),FALSE()),FALSE()))</f>
        <v>0</v>
      </c>
      <c r="CQ176" s="50" t="b">
        <f aca="false">IF(Configuration!$C$30="No","",IFERROR(IF(OR(AW176="Pending",AX176="Yes"),TRUE(),FALSE()),FALSE()))</f>
        <v>0</v>
      </c>
      <c r="CR176" s="50" t="b">
        <f aca="false">IF(Configuration!$C$31="No","",IFERROR(IF(AND(N(BG176)&gt;=Configuration!$C$52,N(AP176)&gt;=1),TRUE(),FALSE()),FALSE()))</f>
        <v>0</v>
      </c>
      <c r="CS176" s="50" t="b">
        <f aca="false">IF(Configuration!$C$32="No","",IFERROR(IF(AND(N(AR176)&gt;=1,OR(AG176&lt;&gt;"",AM176&lt;&gt;"")),TRUE(),FALSE()),FALSE()))</f>
        <v>0</v>
      </c>
      <c r="CT176" s="50" t="b">
        <f aca="false">IF(Configuration!$C$33="No","",IFERROR(IF(AG176&lt;&gt;"",TRUE(),FALSE()),FALSE()))</f>
        <v>0</v>
      </c>
      <c r="CU176" s="50" t="b">
        <f aca="false">IF(Configuration!$C$34="No","",IFERROR(IF(AX176="Yes",TRUE(),FALSE()),FALSE()))</f>
        <v>0</v>
      </c>
      <c r="CV176" s="50" t="b">
        <f aca="false">IF(Configuration!$C$35="No","",IFERROR(IF(OR(BO176="Partial",BO176="Full"),TRUE(),FALSE()),FALSE()))</f>
        <v>0</v>
      </c>
      <c r="CW176" s="50" t="b">
        <f aca="false">IF(Configuration!$C$36="No","",IFERROR(IF(BM176="Survived",TRUE(),FALSE()),FALSE()))</f>
        <v>0</v>
      </c>
      <c r="CX176" s="50" t="b">
        <f aca="false">IF(Configuration!$C$37="No","",IFERROR(IF(AND(BN176="Clean",BP176="None"),TRUE(),FALSE()),FALSE()))</f>
        <v>0</v>
      </c>
      <c r="CY176" s="50" t="b">
        <f aca="false">IF(Configuration!$C$38="No","",IFERROR(IF(N(BK176)&gt;=Configuration!$C$53,TRUE(),FALSE()),FALSE()))</f>
        <v>0</v>
      </c>
      <c r="CZ176" s="50" t="b">
        <f aca="false">IF(Configuration!$C$39="No","",IFERROR(IF(AND(N(BS176)&gt;=2,N(BF176)&gt;=2),TRUE(),FALSE()),FALSE()))</f>
        <v>0</v>
      </c>
      <c r="DA176" s="50" t="b">
        <f aca="false">IF(Configuration!$C$40="No","",IFERROR(IF(OR(N(BG176)&lt;=Configuration!$C$56,N(AY176)&lt;Configuration!$C$57,N(BH176)&lt;=Configuration!$C$58),TRUE(),FALSE()),FALSE()))</f>
        <v>1</v>
      </c>
      <c r="DB176" s="50" t="b">
        <f aca="false">IF(Configuration!$C$41="No","",IFERROR(IF(AND(N(AY176)&gt;=Configuration!$C$54,N(AY176)&lt;=Configuration!$C$55),TRUE(),FALSE()),FALSE()))</f>
        <v>0</v>
      </c>
      <c r="DC176" s="50" t="b">
        <f aca="false">IF(Configuration!$C$42="No","",IFERROR(IF(AND(AG176&lt;&gt;"",AJ176&lt;&gt;""),TRUE(),FALSE()),FALSE()))</f>
        <v>0</v>
      </c>
      <c r="DD176" s="51" t="n">
        <f aca="false">COUNTIF(BW176:DC176,TRUE())</f>
        <v>2</v>
      </c>
    </row>
    <row r="177" customFormat="false" ht="15" hidden="false" customHeight="true" outlineLevel="0" collapsed="false">
      <c r="A177" s="18" t="n">
        <v>138</v>
      </c>
      <c r="B177" s="44"/>
      <c r="C177" s="44"/>
      <c r="D177" s="44"/>
      <c r="E177" s="44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6" t="str">
        <f aca="false">IFERROR(IF(F177&lt;&gt;"",F177,""),"")</f>
        <v/>
      </c>
      <c r="AF177" s="46" t="str">
        <f aca="false">IFERROR(IF(G177&lt;&gt;"",G177,""),"")</f>
        <v/>
      </c>
      <c r="AG177" s="46" t="str">
        <f aca="false">IFERROR(IF(AA177&lt;&gt;"",AA177,IF(R177&lt;&gt;"",R177,"")),"")</f>
        <v/>
      </c>
      <c r="AH177" s="46" t="str">
        <f aca="false">IFERROR(IF(AB177&lt;&gt;"",AB177,IF(S177&lt;&gt;"",S177,"")),"")</f>
        <v/>
      </c>
      <c r="AI177" s="47"/>
      <c r="AJ177" s="47"/>
      <c r="AK177" s="47"/>
      <c r="AL177" s="47"/>
      <c r="AM177" s="47"/>
      <c r="AN177" s="47"/>
      <c r="AO177" s="47"/>
      <c r="AP177" s="47"/>
      <c r="AQ177" s="46" t="str">
        <f aca="false">IFERROR(IF(Y177&lt;&gt;"",VALUE(Y177),""),"")</f>
        <v/>
      </c>
      <c r="AR177" s="47"/>
      <c r="AS177" s="47"/>
      <c r="AT177" s="47"/>
      <c r="AU177" s="47"/>
      <c r="AV177" s="46" t="str">
        <f aca="false">IFERROR(IF(T177&lt;&gt;"",VALUE(T177),""),"")</f>
        <v/>
      </c>
      <c r="AW177" s="46" t="str">
        <f aca="false">IFERROR(IF(N177="","",IF(OR(ISNUMBER(SEARCH("grant",N177)),ISNUMBER(SEARCH("B",AC177))),"Granted",IF(OR(ISNUMBER(SEARCH("pend",N177)),ISNUMBER(SEARCH("A",AC177))),"Pending",IF(ISNUMBER(SEARCH("expir",N177)),"Expired",N177)))),"")</f>
        <v/>
      </c>
      <c r="AX177" s="47"/>
      <c r="AY177" s="46" t="str">
        <f aca="true">IFERROR(IF(M177&lt;&gt;"",ROUND(VALUE(M177),1),IF(L177&lt;&gt;"",ROUND(MAX(0,(DATEVALUE(TEXT(L177,"YYYY-MM-DD"))-TODAY())/365.25),1),"")),"")</f>
        <v/>
      </c>
      <c r="AZ177" s="46" t="str">
        <f aca="false">IFERROR(IF(O177&lt;&gt;"",O177,""),"")</f>
        <v/>
      </c>
      <c r="BA177" s="46" t="str">
        <f aca="false">IFERROR(IF(U177&lt;&gt;"",SUBSTITUTE(SUBSTITUTE(U177,"; ",", "),";",","),""),"")</f>
        <v/>
      </c>
      <c r="BB177" s="47"/>
      <c r="BC177" s="47"/>
      <c r="BD177" s="47"/>
      <c r="BE177" s="47"/>
      <c r="BF177" s="47"/>
      <c r="BG177" s="47"/>
      <c r="BH177" s="47"/>
      <c r="BI177" s="47"/>
      <c r="BJ177" s="47"/>
      <c r="BK177" s="46" t="str">
        <f aca="false">IFERROR(IF(W177&lt;&gt;"",VALUE(W177),""),"")</f>
        <v/>
      </c>
      <c r="BL177" s="46" t="str">
        <f aca="false">IFERROR(IF(X177&lt;&gt;"",VALUE(X177),""),"")</f>
        <v/>
      </c>
      <c r="BM177" s="46" t="str">
        <f aca="false">IFERROR(IF(AD177="","None",IF(ISNUMBER(SEARCH("surv",AD177)),"Survived",IF(ISNUMBER(SEARCH("pend",AD177)),"Pending",IF(ISNUMBER(SEARCH("yes",AD177)),"Pending","None")))),"None")</f>
        <v>None</v>
      </c>
      <c r="BN177" s="47"/>
      <c r="BO177" s="47"/>
      <c r="BP177" s="47"/>
      <c r="BQ177" s="47"/>
      <c r="BR177" s="47"/>
      <c r="BS177" s="47"/>
      <c r="BT177" s="47"/>
      <c r="BU177" s="48" t="n">
        <f aca="false">IFERROR(COUNTA(AE177:BT177)/42,0)</f>
        <v>0.30952380952381</v>
      </c>
      <c r="BV177" s="49"/>
      <c r="BW177" s="50" t="b">
        <f aca="false">IF(Configuration!$C$10="No","",IFERROR(IF(AG177&lt;&gt;"",TRUE(),FALSE()),FALSE()))</f>
        <v>0</v>
      </c>
      <c r="BX177" s="50" t="b">
        <f aca="false">IF(Configuration!$C$11="No","",IFERROR(IF(AND(N(AL177)&gt;=Configuration!$C$44,AM177&lt;&gt;""),TRUE(),FALSE()),FALSE()))</f>
        <v>0</v>
      </c>
      <c r="BY177" s="50" t="b">
        <f aca="false">IF(Configuration!$C$12="No","",IFERROR(IF(AJ177&lt;&gt;"",TRUE(),FALSE()),FALSE()))</f>
        <v>0</v>
      </c>
      <c r="BZ177" s="50" t="b">
        <f aca="false">IF(Configuration!$C$13="No","",IFERROR(IF(AI177&lt;&gt;"",TRUE(),FALSE()),FALSE()))</f>
        <v>0</v>
      </c>
      <c r="CA177" s="50" t="b">
        <f aca="false">IF(Configuration!$C$14="No","",IFERROR(IF(AK177&lt;&gt;"",TRUE(),FALSE()),FALSE()))</f>
        <v>0</v>
      </c>
      <c r="CB177" s="50" t="b">
        <f aca="false">IF(Configuration!$C$15="No","",IFERROR(IF(AND(OR(ISNUMBER(SEARCH("process",AG177)),ISNUMBER(SEARCH("fab",AG177)),ISNUMBER(SEARCH("manufac",AG177))),AO177="Method"),TRUE(),FALSE()),FALSE()))</f>
        <v>0</v>
      </c>
      <c r="CC177" s="50" t="b">
        <f aca="false">IF(Configuration!$C$16="No","",IFERROR(IF(AND(OR(ISNUMBER(SEARCH("material",AG177)),ISNUMBER(SEARCH("chem",AG177)),ISNUMBER(SEARCH("battery",AG177)),ISNUMBER(SEARCH("electrolyte",AG177)),ISNUMBER(SEARCH("polymer",AG177))),OR(AO177="Apparatus",AO177="Method")),TRUE(),FALSE()),FALSE()))</f>
        <v>0</v>
      </c>
      <c r="CD177" s="50" t="b">
        <f aca="false">IF(Configuration!$C$17="No","",IFERROR(IF(AND(OR(AI177="App",AI177="Middleware",AI177="Cloud"),OR(AO177="Method",AO177="CRM")),TRUE(),FALSE()),FALSE()))</f>
        <v>0</v>
      </c>
      <c r="CE177" s="50" t="b">
        <f aca="false">IF(Configuration!$C$18="No","",IFERROR(IF(N(AN177)&gt;=Configuration!$C$45,TRUE(),FALSE()),FALSE()))</f>
        <v>0</v>
      </c>
      <c r="CF177" s="50" t="b">
        <f aca="false">IF(Configuration!$C$19="No","",IFERROR(IF(BE177&lt;&gt;"",TRUE(),FALSE()),FALSE()))</f>
        <v>0</v>
      </c>
      <c r="CG177" s="50" t="b">
        <f aca="false">IF(Configuration!$C$20="No","",IFERROR(IF(AO177&lt;&gt;"",TRUE(),FALSE()),FALSE()))</f>
        <v>0</v>
      </c>
      <c r="CH177" s="50" t="b">
        <f aca="false">IF(Configuration!$C$21="No","",IFERROR(IF(OR(N(AS177)&gt;=Configuration!$C$46,N(AT177)&gt;=Configuration!$C$47),TRUE(),FALSE()),FALSE()))</f>
        <v>0</v>
      </c>
      <c r="CI177" s="50" t="b">
        <f aca="false">IF(Configuration!$C$22="No","",IFERROR(IF(BB177="Yes",TRUE(),FALSE()),FALSE()))</f>
        <v>0</v>
      </c>
      <c r="CJ177" s="50" t="b">
        <f aca="false">IF(Configuration!$C$23="No","",IFERROR(IF(N(AV177)&gt;=Configuration!$C$48,TRUE(),FALSE()),FALSE()))</f>
        <v>0</v>
      </c>
      <c r="CK177" s="50" t="b">
        <f aca="false">IF(Configuration!$C$24="No","",IFERROR(IF(N(AY177)&gt;0,TRUE(),FALSE()),FALSE()))</f>
        <v>0</v>
      </c>
      <c r="CL177" s="50" t="b">
        <f aca="false">IF(Configuration!$C$25="No","",IFERROR(IF(OR(N(AP177)=3,N(AP177)&lt;=1),TRUE(),FALSE()),FALSE()))</f>
        <v>1</v>
      </c>
      <c r="CM177" s="50" t="b">
        <f aca="false">IF(Configuration!$C$26="No","",IFERROR(IF(N(BF177)&gt;=Configuration!$C$49,TRUE(),FALSE()),FALSE()))</f>
        <v>0</v>
      </c>
      <c r="CN177" s="50" t="b">
        <f aca="false">IF(Configuration!$C$27="No","",IFERROR(IF(BD177&lt;&gt;"",TRUE(),FALSE()),FALSE()))</f>
        <v>0</v>
      </c>
      <c r="CO177" s="50" t="b">
        <f aca="false">IF(Configuration!$C$28="No","",IFERROR(IF(N(AU177)&gt;=Configuration!$C$50,TRUE(),FALSE()),FALSE()))</f>
        <v>0</v>
      </c>
      <c r="CP177" s="50" t="b">
        <f aca="false">IF(Configuration!$C$29="No","",IFERROR(IF(AND(N(AR177)&gt;=Configuration!$C$51,AG177&lt;&gt;""),TRUE(),FALSE()),FALSE()))</f>
        <v>0</v>
      </c>
      <c r="CQ177" s="50" t="b">
        <f aca="false">IF(Configuration!$C$30="No","",IFERROR(IF(OR(AW177="Pending",AX177="Yes"),TRUE(),FALSE()),FALSE()))</f>
        <v>0</v>
      </c>
      <c r="CR177" s="50" t="b">
        <f aca="false">IF(Configuration!$C$31="No","",IFERROR(IF(AND(N(BG177)&gt;=Configuration!$C$52,N(AP177)&gt;=1),TRUE(),FALSE()),FALSE()))</f>
        <v>0</v>
      </c>
      <c r="CS177" s="50" t="b">
        <f aca="false">IF(Configuration!$C$32="No","",IFERROR(IF(AND(N(AR177)&gt;=1,OR(AG177&lt;&gt;"",AM177&lt;&gt;"")),TRUE(),FALSE()),FALSE()))</f>
        <v>0</v>
      </c>
      <c r="CT177" s="50" t="b">
        <f aca="false">IF(Configuration!$C$33="No","",IFERROR(IF(AG177&lt;&gt;"",TRUE(),FALSE()),FALSE()))</f>
        <v>0</v>
      </c>
      <c r="CU177" s="50" t="b">
        <f aca="false">IF(Configuration!$C$34="No","",IFERROR(IF(AX177="Yes",TRUE(),FALSE()),FALSE()))</f>
        <v>0</v>
      </c>
      <c r="CV177" s="50" t="b">
        <f aca="false">IF(Configuration!$C$35="No","",IFERROR(IF(OR(BO177="Partial",BO177="Full"),TRUE(),FALSE()),FALSE()))</f>
        <v>0</v>
      </c>
      <c r="CW177" s="50" t="b">
        <f aca="false">IF(Configuration!$C$36="No","",IFERROR(IF(BM177="Survived",TRUE(),FALSE()),FALSE()))</f>
        <v>0</v>
      </c>
      <c r="CX177" s="50" t="b">
        <f aca="false">IF(Configuration!$C$37="No","",IFERROR(IF(AND(BN177="Clean",BP177="None"),TRUE(),FALSE()),FALSE()))</f>
        <v>0</v>
      </c>
      <c r="CY177" s="50" t="b">
        <f aca="false">IF(Configuration!$C$38="No","",IFERROR(IF(N(BK177)&gt;=Configuration!$C$53,TRUE(),FALSE()),FALSE()))</f>
        <v>0</v>
      </c>
      <c r="CZ177" s="50" t="b">
        <f aca="false">IF(Configuration!$C$39="No","",IFERROR(IF(AND(N(BS177)&gt;=2,N(BF177)&gt;=2),TRUE(),FALSE()),FALSE()))</f>
        <v>0</v>
      </c>
      <c r="DA177" s="50" t="b">
        <f aca="false">IF(Configuration!$C$40="No","",IFERROR(IF(OR(N(BG177)&lt;=Configuration!$C$56,N(AY177)&lt;Configuration!$C$57,N(BH177)&lt;=Configuration!$C$58),TRUE(),FALSE()),FALSE()))</f>
        <v>1</v>
      </c>
      <c r="DB177" s="50" t="b">
        <f aca="false">IF(Configuration!$C$41="No","",IFERROR(IF(AND(N(AY177)&gt;=Configuration!$C$54,N(AY177)&lt;=Configuration!$C$55),TRUE(),FALSE()),FALSE()))</f>
        <v>0</v>
      </c>
      <c r="DC177" s="50" t="b">
        <f aca="false">IF(Configuration!$C$42="No","",IFERROR(IF(AND(AG177&lt;&gt;"",AJ177&lt;&gt;""),TRUE(),FALSE()),FALSE()))</f>
        <v>0</v>
      </c>
      <c r="DD177" s="51" t="n">
        <f aca="false">COUNTIF(BW177:DC177,TRUE())</f>
        <v>2</v>
      </c>
    </row>
    <row r="178" customFormat="false" ht="15" hidden="false" customHeight="true" outlineLevel="0" collapsed="false">
      <c r="A178" s="18" t="n">
        <v>139</v>
      </c>
      <c r="B178" s="44"/>
      <c r="C178" s="44"/>
      <c r="D178" s="44"/>
      <c r="E178" s="44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6" t="str">
        <f aca="false">IFERROR(IF(F178&lt;&gt;"",F178,""),"")</f>
        <v/>
      </c>
      <c r="AF178" s="46" t="str">
        <f aca="false">IFERROR(IF(G178&lt;&gt;"",G178,""),"")</f>
        <v/>
      </c>
      <c r="AG178" s="46" t="str">
        <f aca="false">IFERROR(IF(AA178&lt;&gt;"",AA178,IF(R178&lt;&gt;"",R178,"")),"")</f>
        <v/>
      </c>
      <c r="AH178" s="46" t="str">
        <f aca="false">IFERROR(IF(AB178&lt;&gt;"",AB178,IF(S178&lt;&gt;"",S178,"")),"")</f>
        <v/>
      </c>
      <c r="AI178" s="47"/>
      <c r="AJ178" s="47"/>
      <c r="AK178" s="47"/>
      <c r="AL178" s="47"/>
      <c r="AM178" s="47"/>
      <c r="AN178" s="47"/>
      <c r="AO178" s="47"/>
      <c r="AP178" s="47"/>
      <c r="AQ178" s="46" t="str">
        <f aca="false">IFERROR(IF(Y178&lt;&gt;"",VALUE(Y178),""),"")</f>
        <v/>
      </c>
      <c r="AR178" s="47"/>
      <c r="AS178" s="47"/>
      <c r="AT178" s="47"/>
      <c r="AU178" s="47"/>
      <c r="AV178" s="46" t="str">
        <f aca="false">IFERROR(IF(T178&lt;&gt;"",VALUE(T178),""),"")</f>
        <v/>
      </c>
      <c r="AW178" s="46" t="str">
        <f aca="false">IFERROR(IF(N178="","",IF(OR(ISNUMBER(SEARCH("grant",N178)),ISNUMBER(SEARCH("B",AC178))),"Granted",IF(OR(ISNUMBER(SEARCH("pend",N178)),ISNUMBER(SEARCH("A",AC178))),"Pending",IF(ISNUMBER(SEARCH("expir",N178)),"Expired",N178)))),"")</f>
        <v/>
      </c>
      <c r="AX178" s="47"/>
      <c r="AY178" s="46" t="str">
        <f aca="true">IFERROR(IF(M178&lt;&gt;"",ROUND(VALUE(M178),1),IF(L178&lt;&gt;"",ROUND(MAX(0,(DATEVALUE(TEXT(L178,"YYYY-MM-DD"))-TODAY())/365.25),1),"")),"")</f>
        <v/>
      </c>
      <c r="AZ178" s="46" t="str">
        <f aca="false">IFERROR(IF(O178&lt;&gt;"",O178,""),"")</f>
        <v/>
      </c>
      <c r="BA178" s="46" t="str">
        <f aca="false">IFERROR(IF(U178&lt;&gt;"",SUBSTITUTE(SUBSTITUTE(U178,"; ",", "),";",","),""),"")</f>
        <v/>
      </c>
      <c r="BB178" s="47"/>
      <c r="BC178" s="47"/>
      <c r="BD178" s="47"/>
      <c r="BE178" s="47"/>
      <c r="BF178" s="47"/>
      <c r="BG178" s="47"/>
      <c r="BH178" s="47"/>
      <c r="BI178" s="47"/>
      <c r="BJ178" s="47"/>
      <c r="BK178" s="46" t="str">
        <f aca="false">IFERROR(IF(W178&lt;&gt;"",VALUE(W178),""),"")</f>
        <v/>
      </c>
      <c r="BL178" s="46" t="str">
        <f aca="false">IFERROR(IF(X178&lt;&gt;"",VALUE(X178),""),"")</f>
        <v/>
      </c>
      <c r="BM178" s="46" t="str">
        <f aca="false">IFERROR(IF(AD178="","None",IF(ISNUMBER(SEARCH("surv",AD178)),"Survived",IF(ISNUMBER(SEARCH("pend",AD178)),"Pending",IF(ISNUMBER(SEARCH("yes",AD178)),"Pending","None")))),"None")</f>
        <v>None</v>
      </c>
      <c r="BN178" s="47"/>
      <c r="BO178" s="47"/>
      <c r="BP178" s="47"/>
      <c r="BQ178" s="47"/>
      <c r="BR178" s="47"/>
      <c r="BS178" s="47"/>
      <c r="BT178" s="47"/>
      <c r="BU178" s="48" t="n">
        <f aca="false">IFERROR(COUNTA(AE178:BT178)/42,0)</f>
        <v>0.30952380952381</v>
      </c>
      <c r="BV178" s="49"/>
      <c r="BW178" s="50" t="b">
        <f aca="false">IF(Configuration!$C$10="No","",IFERROR(IF(AG178&lt;&gt;"",TRUE(),FALSE()),FALSE()))</f>
        <v>0</v>
      </c>
      <c r="BX178" s="50" t="b">
        <f aca="false">IF(Configuration!$C$11="No","",IFERROR(IF(AND(N(AL178)&gt;=Configuration!$C$44,AM178&lt;&gt;""),TRUE(),FALSE()),FALSE()))</f>
        <v>0</v>
      </c>
      <c r="BY178" s="50" t="b">
        <f aca="false">IF(Configuration!$C$12="No","",IFERROR(IF(AJ178&lt;&gt;"",TRUE(),FALSE()),FALSE()))</f>
        <v>0</v>
      </c>
      <c r="BZ178" s="50" t="b">
        <f aca="false">IF(Configuration!$C$13="No","",IFERROR(IF(AI178&lt;&gt;"",TRUE(),FALSE()),FALSE()))</f>
        <v>0</v>
      </c>
      <c r="CA178" s="50" t="b">
        <f aca="false">IF(Configuration!$C$14="No","",IFERROR(IF(AK178&lt;&gt;"",TRUE(),FALSE()),FALSE()))</f>
        <v>0</v>
      </c>
      <c r="CB178" s="50" t="b">
        <f aca="false">IF(Configuration!$C$15="No","",IFERROR(IF(AND(OR(ISNUMBER(SEARCH("process",AG178)),ISNUMBER(SEARCH("fab",AG178)),ISNUMBER(SEARCH("manufac",AG178))),AO178="Method"),TRUE(),FALSE()),FALSE()))</f>
        <v>0</v>
      </c>
      <c r="CC178" s="50" t="b">
        <f aca="false">IF(Configuration!$C$16="No","",IFERROR(IF(AND(OR(ISNUMBER(SEARCH("material",AG178)),ISNUMBER(SEARCH("chem",AG178)),ISNUMBER(SEARCH("battery",AG178)),ISNUMBER(SEARCH("electrolyte",AG178)),ISNUMBER(SEARCH("polymer",AG178))),OR(AO178="Apparatus",AO178="Method")),TRUE(),FALSE()),FALSE()))</f>
        <v>0</v>
      </c>
      <c r="CD178" s="50" t="b">
        <f aca="false">IF(Configuration!$C$17="No","",IFERROR(IF(AND(OR(AI178="App",AI178="Middleware",AI178="Cloud"),OR(AO178="Method",AO178="CRM")),TRUE(),FALSE()),FALSE()))</f>
        <v>0</v>
      </c>
      <c r="CE178" s="50" t="b">
        <f aca="false">IF(Configuration!$C$18="No","",IFERROR(IF(N(AN178)&gt;=Configuration!$C$45,TRUE(),FALSE()),FALSE()))</f>
        <v>0</v>
      </c>
      <c r="CF178" s="50" t="b">
        <f aca="false">IF(Configuration!$C$19="No","",IFERROR(IF(BE178&lt;&gt;"",TRUE(),FALSE()),FALSE()))</f>
        <v>0</v>
      </c>
      <c r="CG178" s="50" t="b">
        <f aca="false">IF(Configuration!$C$20="No","",IFERROR(IF(AO178&lt;&gt;"",TRUE(),FALSE()),FALSE()))</f>
        <v>0</v>
      </c>
      <c r="CH178" s="50" t="b">
        <f aca="false">IF(Configuration!$C$21="No","",IFERROR(IF(OR(N(AS178)&gt;=Configuration!$C$46,N(AT178)&gt;=Configuration!$C$47),TRUE(),FALSE()),FALSE()))</f>
        <v>0</v>
      </c>
      <c r="CI178" s="50" t="b">
        <f aca="false">IF(Configuration!$C$22="No","",IFERROR(IF(BB178="Yes",TRUE(),FALSE()),FALSE()))</f>
        <v>0</v>
      </c>
      <c r="CJ178" s="50" t="b">
        <f aca="false">IF(Configuration!$C$23="No","",IFERROR(IF(N(AV178)&gt;=Configuration!$C$48,TRUE(),FALSE()),FALSE()))</f>
        <v>0</v>
      </c>
      <c r="CK178" s="50" t="b">
        <f aca="false">IF(Configuration!$C$24="No","",IFERROR(IF(N(AY178)&gt;0,TRUE(),FALSE()),FALSE()))</f>
        <v>0</v>
      </c>
      <c r="CL178" s="50" t="b">
        <f aca="false">IF(Configuration!$C$25="No","",IFERROR(IF(OR(N(AP178)=3,N(AP178)&lt;=1),TRUE(),FALSE()),FALSE()))</f>
        <v>1</v>
      </c>
      <c r="CM178" s="50" t="b">
        <f aca="false">IF(Configuration!$C$26="No","",IFERROR(IF(N(BF178)&gt;=Configuration!$C$49,TRUE(),FALSE()),FALSE()))</f>
        <v>0</v>
      </c>
      <c r="CN178" s="50" t="b">
        <f aca="false">IF(Configuration!$C$27="No","",IFERROR(IF(BD178&lt;&gt;"",TRUE(),FALSE()),FALSE()))</f>
        <v>0</v>
      </c>
      <c r="CO178" s="50" t="b">
        <f aca="false">IF(Configuration!$C$28="No","",IFERROR(IF(N(AU178)&gt;=Configuration!$C$50,TRUE(),FALSE()),FALSE()))</f>
        <v>0</v>
      </c>
      <c r="CP178" s="50" t="b">
        <f aca="false">IF(Configuration!$C$29="No","",IFERROR(IF(AND(N(AR178)&gt;=Configuration!$C$51,AG178&lt;&gt;""),TRUE(),FALSE()),FALSE()))</f>
        <v>0</v>
      </c>
      <c r="CQ178" s="50" t="b">
        <f aca="false">IF(Configuration!$C$30="No","",IFERROR(IF(OR(AW178="Pending",AX178="Yes"),TRUE(),FALSE()),FALSE()))</f>
        <v>0</v>
      </c>
      <c r="CR178" s="50" t="b">
        <f aca="false">IF(Configuration!$C$31="No","",IFERROR(IF(AND(N(BG178)&gt;=Configuration!$C$52,N(AP178)&gt;=1),TRUE(),FALSE()),FALSE()))</f>
        <v>0</v>
      </c>
      <c r="CS178" s="50" t="b">
        <f aca="false">IF(Configuration!$C$32="No","",IFERROR(IF(AND(N(AR178)&gt;=1,OR(AG178&lt;&gt;"",AM178&lt;&gt;"")),TRUE(),FALSE()),FALSE()))</f>
        <v>0</v>
      </c>
      <c r="CT178" s="50" t="b">
        <f aca="false">IF(Configuration!$C$33="No","",IFERROR(IF(AG178&lt;&gt;"",TRUE(),FALSE()),FALSE()))</f>
        <v>0</v>
      </c>
      <c r="CU178" s="50" t="b">
        <f aca="false">IF(Configuration!$C$34="No","",IFERROR(IF(AX178="Yes",TRUE(),FALSE()),FALSE()))</f>
        <v>0</v>
      </c>
      <c r="CV178" s="50" t="b">
        <f aca="false">IF(Configuration!$C$35="No","",IFERROR(IF(OR(BO178="Partial",BO178="Full"),TRUE(),FALSE()),FALSE()))</f>
        <v>0</v>
      </c>
      <c r="CW178" s="50" t="b">
        <f aca="false">IF(Configuration!$C$36="No","",IFERROR(IF(BM178="Survived",TRUE(),FALSE()),FALSE()))</f>
        <v>0</v>
      </c>
      <c r="CX178" s="50" t="b">
        <f aca="false">IF(Configuration!$C$37="No","",IFERROR(IF(AND(BN178="Clean",BP178="None"),TRUE(),FALSE()),FALSE()))</f>
        <v>0</v>
      </c>
      <c r="CY178" s="50" t="b">
        <f aca="false">IF(Configuration!$C$38="No","",IFERROR(IF(N(BK178)&gt;=Configuration!$C$53,TRUE(),FALSE()),FALSE()))</f>
        <v>0</v>
      </c>
      <c r="CZ178" s="50" t="b">
        <f aca="false">IF(Configuration!$C$39="No","",IFERROR(IF(AND(N(BS178)&gt;=2,N(BF178)&gt;=2),TRUE(),FALSE()),FALSE()))</f>
        <v>0</v>
      </c>
      <c r="DA178" s="50" t="b">
        <f aca="false">IF(Configuration!$C$40="No","",IFERROR(IF(OR(N(BG178)&lt;=Configuration!$C$56,N(AY178)&lt;Configuration!$C$57,N(BH178)&lt;=Configuration!$C$58),TRUE(),FALSE()),FALSE()))</f>
        <v>1</v>
      </c>
      <c r="DB178" s="50" t="b">
        <f aca="false">IF(Configuration!$C$41="No","",IFERROR(IF(AND(N(AY178)&gt;=Configuration!$C$54,N(AY178)&lt;=Configuration!$C$55),TRUE(),FALSE()),FALSE()))</f>
        <v>0</v>
      </c>
      <c r="DC178" s="50" t="b">
        <f aca="false">IF(Configuration!$C$42="No","",IFERROR(IF(AND(AG178&lt;&gt;"",AJ178&lt;&gt;""),TRUE(),FALSE()),FALSE()))</f>
        <v>0</v>
      </c>
      <c r="DD178" s="51" t="n">
        <f aca="false">COUNTIF(BW178:DC178,TRUE())</f>
        <v>2</v>
      </c>
    </row>
    <row r="179" customFormat="false" ht="15" hidden="false" customHeight="true" outlineLevel="0" collapsed="false">
      <c r="A179" s="18" t="n">
        <v>140</v>
      </c>
      <c r="B179" s="44"/>
      <c r="C179" s="44"/>
      <c r="D179" s="44"/>
      <c r="E179" s="44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6" t="str">
        <f aca="false">IFERROR(IF(F179&lt;&gt;"",F179,""),"")</f>
        <v/>
      </c>
      <c r="AF179" s="46" t="str">
        <f aca="false">IFERROR(IF(G179&lt;&gt;"",G179,""),"")</f>
        <v/>
      </c>
      <c r="AG179" s="46" t="str">
        <f aca="false">IFERROR(IF(AA179&lt;&gt;"",AA179,IF(R179&lt;&gt;"",R179,"")),"")</f>
        <v/>
      </c>
      <c r="AH179" s="46" t="str">
        <f aca="false">IFERROR(IF(AB179&lt;&gt;"",AB179,IF(S179&lt;&gt;"",S179,"")),"")</f>
        <v/>
      </c>
      <c r="AI179" s="47"/>
      <c r="AJ179" s="47"/>
      <c r="AK179" s="47"/>
      <c r="AL179" s="47"/>
      <c r="AM179" s="47"/>
      <c r="AN179" s="47"/>
      <c r="AO179" s="47"/>
      <c r="AP179" s="47"/>
      <c r="AQ179" s="46" t="str">
        <f aca="false">IFERROR(IF(Y179&lt;&gt;"",VALUE(Y179),""),"")</f>
        <v/>
      </c>
      <c r="AR179" s="47"/>
      <c r="AS179" s="47"/>
      <c r="AT179" s="47"/>
      <c r="AU179" s="47"/>
      <c r="AV179" s="46" t="str">
        <f aca="false">IFERROR(IF(T179&lt;&gt;"",VALUE(T179),""),"")</f>
        <v/>
      </c>
      <c r="AW179" s="46" t="str">
        <f aca="false">IFERROR(IF(N179="","",IF(OR(ISNUMBER(SEARCH("grant",N179)),ISNUMBER(SEARCH("B",AC179))),"Granted",IF(OR(ISNUMBER(SEARCH("pend",N179)),ISNUMBER(SEARCH("A",AC179))),"Pending",IF(ISNUMBER(SEARCH("expir",N179)),"Expired",N179)))),"")</f>
        <v/>
      </c>
      <c r="AX179" s="47"/>
      <c r="AY179" s="46" t="str">
        <f aca="true">IFERROR(IF(M179&lt;&gt;"",ROUND(VALUE(M179),1),IF(L179&lt;&gt;"",ROUND(MAX(0,(DATEVALUE(TEXT(L179,"YYYY-MM-DD"))-TODAY())/365.25),1),"")),"")</f>
        <v/>
      </c>
      <c r="AZ179" s="46" t="str">
        <f aca="false">IFERROR(IF(O179&lt;&gt;"",O179,""),"")</f>
        <v/>
      </c>
      <c r="BA179" s="46" t="str">
        <f aca="false">IFERROR(IF(U179&lt;&gt;"",SUBSTITUTE(SUBSTITUTE(U179,"; ",", "),";",","),""),"")</f>
        <v/>
      </c>
      <c r="BB179" s="47"/>
      <c r="BC179" s="47"/>
      <c r="BD179" s="47"/>
      <c r="BE179" s="47"/>
      <c r="BF179" s="47"/>
      <c r="BG179" s="47"/>
      <c r="BH179" s="47"/>
      <c r="BI179" s="47"/>
      <c r="BJ179" s="47"/>
      <c r="BK179" s="46" t="str">
        <f aca="false">IFERROR(IF(W179&lt;&gt;"",VALUE(W179),""),"")</f>
        <v/>
      </c>
      <c r="BL179" s="46" t="str">
        <f aca="false">IFERROR(IF(X179&lt;&gt;"",VALUE(X179),""),"")</f>
        <v/>
      </c>
      <c r="BM179" s="46" t="str">
        <f aca="false">IFERROR(IF(AD179="","None",IF(ISNUMBER(SEARCH("surv",AD179)),"Survived",IF(ISNUMBER(SEARCH("pend",AD179)),"Pending",IF(ISNUMBER(SEARCH("yes",AD179)),"Pending","None")))),"None")</f>
        <v>None</v>
      </c>
      <c r="BN179" s="47"/>
      <c r="BO179" s="47"/>
      <c r="BP179" s="47"/>
      <c r="BQ179" s="47"/>
      <c r="BR179" s="47"/>
      <c r="BS179" s="47"/>
      <c r="BT179" s="47"/>
      <c r="BU179" s="48" t="n">
        <f aca="false">IFERROR(COUNTA(AE179:BT179)/42,0)</f>
        <v>0.30952380952381</v>
      </c>
      <c r="BV179" s="49"/>
      <c r="BW179" s="50" t="b">
        <f aca="false">IF(Configuration!$C$10="No","",IFERROR(IF(AG179&lt;&gt;"",TRUE(),FALSE()),FALSE()))</f>
        <v>0</v>
      </c>
      <c r="BX179" s="50" t="b">
        <f aca="false">IF(Configuration!$C$11="No","",IFERROR(IF(AND(N(AL179)&gt;=Configuration!$C$44,AM179&lt;&gt;""),TRUE(),FALSE()),FALSE()))</f>
        <v>0</v>
      </c>
      <c r="BY179" s="50" t="b">
        <f aca="false">IF(Configuration!$C$12="No","",IFERROR(IF(AJ179&lt;&gt;"",TRUE(),FALSE()),FALSE()))</f>
        <v>0</v>
      </c>
      <c r="BZ179" s="50" t="b">
        <f aca="false">IF(Configuration!$C$13="No","",IFERROR(IF(AI179&lt;&gt;"",TRUE(),FALSE()),FALSE()))</f>
        <v>0</v>
      </c>
      <c r="CA179" s="50" t="b">
        <f aca="false">IF(Configuration!$C$14="No","",IFERROR(IF(AK179&lt;&gt;"",TRUE(),FALSE()),FALSE()))</f>
        <v>0</v>
      </c>
      <c r="CB179" s="50" t="b">
        <f aca="false">IF(Configuration!$C$15="No","",IFERROR(IF(AND(OR(ISNUMBER(SEARCH("process",AG179)),ISNUMBER(SEARCH("fab",AG179)),ISNUMBER(SEARCH("manufac",AG179))),AO179="Method"),TRUE(),FALSE()),FALSE()))</f>
        <v>0</v>
      </c>
      <c r="CC179" s="50" t="b">
        <f aca="false">IF(Configuration!$C$16="No","",IFERROR(IF(AND(OR(ISNUMBER(SEARCH("material",AG179)),ISNUMBER(SEARCH("chem",AG179)),ISNUMBER(SEARCH("battery",AG179)),ISNUMBER(SEARCH("electrolyte",AG179)),ISNUMBER(SEARCH("polymer",AG179))),OR(AO179="Apparatus",AO179="Method")),TRUE(),FALSE()),FALSE()))</f>
        <v>0</v>
      </c>
      <c r="CD179" s="50" t="b">
        <f aca="false">IF(Configuration!$C$17="No","",IFERROR(IF(AND(OR(AI179="App",AI179="Middleware",AI179="Cloud"),OR(AO179="Method",AO179="CRM")),TRUE(),FALSE()),FALSE()))</f>
        <v>0</v>
      </c>
      <c r="CE179" s="50" t="b">
        <f aca="false">IF(Configuration!$C$18="No","",IFERROR(IF(N(AN179)&gt;=Configuration!$C$45,TRUE(),FALSE()),FALSE()))</f>
        <v>0</v>
      </c>
      <c r="CF179" s="50" t="b">
        <f aca="false">IF(Configuration!$C$19="No","",IFERROR(IF(BE179&lt;&gt;"",TRUE(),FALSE()),FALSE()))</f>
        <v>0</v>
      </c>
      <c r="CG179" s="50" t="b">
        <f aca="false">IF(Configuration!$C$20="No","",IFERROR(IF(AO179&lt;&gt;"",TRUE(),FALSE()),FALSE()))</f>
        <v>0</v>
      </c>
      <c r="CH179" s="50" t="b">
        <f aca="false">IF(Configuration!$C$21="No","",IFERROR(IF(OR(N(AS179)&gt;=Configuration!$C$46,N(AT179)&gt;=Configuration!$C$47),TRUE(),FALSE()),FALSE()))</f>
        <v>0</v>
      </c>
      <c r="CI179" s="50" t="b">
        <f aca="false">IF(Configuration!$C$22="No","",IFERROR(IF(BB179="Yes",TRUE(),FALSE()),FALSE()))</f>
        <v>0</v>
      </c>
      <c r="CJ179" s="50" t="b">
        <f aca="false">IF(Configuration!$C$23="No","",IFERROR(IF(N(AV179)&gt;=Configuration!$C$48,TRUE(),FALSE()),FALSE()))</f>
        <v>0</v>
      </c>
      <c r="CK179" s="50" t="b">
        <f aca="false">IF(Configuration!$C$24="No","",IFERROR(IF(N(AY179)&gt;0,TRUE(),FALSE()),FALSE()))</f>
        <v>0</v>
      </c>
      <c r="CL179" s="50" t="b">
        <f aca="false">IF(Configuration!$C$25="No","",IFERROR(IF(OR(N(AP179)=3,N(AP179)&lt;=1),TRUE(),FALSE()),FALSE()))</f>
        <v>1</v>
      </c>
      <c r="CM179" s="50" t="b">
        <f aca="false">IF(Configuration!$C$26="No","",IFERROR(IF(N(BF179)&gt;=Configuration!$C$49,TRUE(),FALSE()),FALSE()))</f>
        <v>0</v>
      </c>
      <c r="CN179" s="50" t="b">
        <f aca="false">IF(Configuration!$C$27="No","",IFERROR(IF(BD179&lt;&gt;"",TRUE(),FALSE()),FALSE()))</f>
        <v>0</v>
      </c>
      <c r="CO179" s="50" t="b">
        <f aca="false">IF(Configuration!$C$28="No","",IFERROR(IF(N(AU179)&gt;=Configuration!$C$50,TRUE(),FALSE()),FALSE()))</f>
        <v>0</v>
      </c>
      <c r="CP179" s="50" t="b">
        <f aca="false">IF(Configuration!$C$29="No","",IFERROR(IF(AND(N(AR179)&gt;=Configuration!$C$51,AG179&lt;&gt;""),TRUE(),FALSE()),FALSE()))</f>
        <v>0</v>
      </c>
      <c r="CQ179" s="50" t="b">
        <f aca="false">IF(Configuration!$C$30="No","",IFERROR(IF(OR(AW179="Pending",AX179="Yes"),TRUE(),FALSE()),FALSE()))</f>
        <v>0</v>
      </c>
      <c r="CR179" s="50" t="b">
        <f aca="false">IF(Configuration!$C$31="No","",IFERROR(IF(AND(N(BG179)&gt;=Configuration!$C$52,N(AP179)&gt;=1),TRUE(),FALSE()),FALSE()))</f>
        <v>0</v>
      </c>
      <c r="CS179" s="50" t="b">
        <f aca="false">IF(Configuration!$C$32="No","",IFERROR(IF(AND(N(AR179)&gt;=1,OR(AG179&lt;&gt;"",AM179&lt;&gt;"")),TRUE(),FALSE()),FALSE()))</f>
        <v>0</v>
      </c>
      <c r="CT179" s="50" t="b">
        <f aca="false">IF(Configuration!$C$33="No","",IFERROR(IF(AG179&lt;&gt;"",TRUE(),FALSE()),FALSE()))</f>
        <v>0</v>
      </c>
      <c r="CU179" s="50" t="b">
        <f aca="false">IF(Configuration!$C$34="No","",IFERROR(IF(AX179="Yes",TRUE(),FALSE()),FALSE()))</f>
        <v>0</v>
      </c>
      <c r="CV179" s="50" t="b">
        <f aca="false">IF(Configuration!$C$35="No","",IFERROR(IF(OR(BO179="Partial",BO179="Full"),TRUE(),FALSE()),FALSE()))</f>
        <v>0</v>
      </c>
      <c r="CW179" s="50" t="b">
        <f aca="false">IF(Configuration!$C$36="No","",IFERROR(IF(BM179="Survived",TRUE(),FALSE()),FALSE()))</f>
        <v>0</v>
      </c>
      <c r="CX179" s="50" t="b">
        <f aca="false">IF(Configuration!$C$37="No","",IFERROR(IF(AND(BN179="Clean",BP179="None"),TRUE(),FALSE()),FALSE()))</f>
        <v>0</v>
      </c>
      <c r="CY179" s="50" t="b">
        <f aca="false">IF(Configuration!$C$38="No","",IFERROR(IF(N(BK179)&gt;=Configuration!$C$53,TRUE(),FALSE()),FALSE()))</f>
        <v>0</v>
      </c>
      <c r="CZ179" s="50" t="b">
        <f aca="false">IF(Configuration!$C$39="No","",IFERROR(IF(AND(N(BS179)&gt;=2,N(BF179)&gt;=2),TRUE(),FALSE()),FALSE()))</f>
        <v>0</v>
      </c>
      <c r="DA179" s="50" t="b">
        <f aca="false">IF(Configuration!$C$40="No","",IFERROR(IF(OR(N(BG179)&lt;=Configuration!$C$56,N(AY179)&lt;Configuration!$C$57,N(BH179)&lt;=Configuration!$C$58),TRUE(),FALSE()),FALSE()))</f>
        <v>1</v>
      </c>
      <c r="DB179" s="50" t="b">
        <f aca="false">IF(Configuration!$C$41="No","",IFERROR(IF(AND(N(AY179)&gt;=Configuration!$C$54,N(AY179)&lt;=Configuration!$C$55),TRUE(),FALSE()),FALSE()))</f>
        <v>0</v>
      </c>
      <c r="DC179" s="50" t="b">
        <f aca="false">IF(Configuration!$C$42="No","",IFERROR(IF(AND(AG179&lt;&gt;"",AJ179&lt;&gt;""),TRUE(),FALSE()),FALSE()))</f>
        <v>0</v>
      </c>
      <c r="DD179" s="51" t="n">
        <f aca="false">COUNTIF(BW179:DC179,TRUE())</f>
        <v>2</v>
      </c>
    </row>
    <row r="180" customFormat="false" ht="15" hidden="false" customHeight="true" outlineLevel="0" collapsed="false">
      <c r="A180" s="18" t="n">
        <v>141</v>
      </c>
      <c r="B180" s="44"/>
      <c r="C180" s="44"/>
      <c r="D180" s="44"/>
      <c r="E180" s="44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6" t="str">
        <f aca="false">IFERROR(IF(F180&lt;&gt;"",F180,""),"")</f>
        <v/>
      </c>
      <c r="AF180" s="46" t="str">
        <f aca="false">IFERROR(IF(G180&lt;&gt;"",G180,""),"")</f>
        <v/>
      </c>
      <c r="AG180" s="46" t="str">
        <f aca="false">IFERROR(IF(AA180&lt;&gt;"",AA180,IF(R180&lt;&gt;"",R180,"")),"")</f>
        <v/>
      </c>
      <c r="AH180" s="46" t="str">
        <f aca="false">IFERROR(IF(AB180&lt;&gt;"",AB180,IF(S180&lt;&gt;"",S180,"")),"")</f>
        <v/>
      </c>
      <c r="AI180" s="47"/>
      <c r="AJ180" s="47"/>
      <c r="AK180" s="47"/>
      <c r="AL180" s="47"/>
      <c r="AM180" s="47"/>
      <c r="AN180" s="47"/>
      <c r="AO180" s="47"/>
      <c r="AP180" s="47"/>
      <c r="AQ180" s="46" t="str">
        <f aca="false">IFERROR(IF(Y180&lt;&gt;"",VALUE(Y180),""),"")</f>
        <v/>
      </c>
      <c r="AR180" s="47"/>
      <c r="AS180" s="47"/>
      <c r="AT180" s="47"/>
      <c r="AU180" s="47"/>
      <c r="AV180" s="46" t="str">
        <f aca="false">IFERROR(IF(T180&lt;&gt;"",VALUE(T180),""),"")</f>
        <v/>
      </c>
      <c r="AW180" s="46" t="str">
        <f aca="false">IFERROR(IF(N180="","",IF(OR(ISNUMBER(SEARCH("grant",N180)),ISNUMBER(SEARCH("B",AC180))),"Granted",IF(OR(ISNUMBER(SEARCH("pend",N180)),ISNUMBER(SEARCH("A",AC180))),"Pending",IF(ISNUMBER(SEARCH("expir",N180)),"Expired",N180)))),"")</f>
        <v/>
      </c>
      <c r="AX180" s="47"/>
      <c r="AY180" s="46" t="str">
        <f aca="true">IFERROR(IF(M180&lt;&gt;"",ROUND(VALUE(M180),1),IF(L180&lt;&gt;"",ROUND(MAX(0,(DATEVALUE(TEXT(L180,"YYYY-MM-DD"))-TODAY())/365.25),1),"")),"")</f>
        <v/>
      </c>
      <c r="AZ180" s="46" t="str">
        <f aca="false">IFERROR(IF(O180&lt;&gt;"",O180,""),"")</f>
        <v/>
      </c>
      <c r="BA180" s="46" t="str">
        <f aca="false">IFERROR(IF(U180&lt;&gt;"",SUBSTITUTE(SUBSTITUTE(U180,"; ",", "),";",","),""),"")</f>
        <v/>
      </c>
      <c r="BB180" s="47"/>
      <c r="BC180" s="47"/>
      <c r="BD180" s="47"/>
      <c r="BE180" s="47"/>
      <c r="BF180" s="47"/>
      <c r="BG180" s="47"/>
      <c r="BH180" s="47"/>
      <c r="BI180" s="47"/>
      <c r="BJ180" s="47"/>
      <c r="BK180" s="46" t="str">
        <f aca="false">IFERROR(IF(W180&lt;&gt;"",VALUE(W180),""),"")</f>
        <v/>
      </c>
      <c r="BL180" s="46" t="str">
        <f aca="false">IFERROR(IF(X180&lt;&gt;"",VALUE(X180),""),"")</f>
        <v/>
      </c>
      <c r="BM180" s="46" t="str">
        <f aca="false">IFERROR(IF(AD180="","None",IF(ISNUMBER(SEARCH("surv",AD180)),"Survived",IF(ISNUMBER(SEARCH("pend",AD180)),"Pending",IF(ISNUMBER(SEARCH("yes",AD180)),"Pending","None")))),"None")</f>
        <v>None</v>
      </c>
      <c r="BN180" s="47"/>
      <c r="BO180" s="47"/>
      <c r="BP180" s="47"/>
      <c r="BQ180" s="47"/>
      <c r="BR180" s="47"/>
      <c r="BS180" s="47"/>
      <c r="BT180" s="47"/>
      <c r="BU180" s="48" t="n">
        <f aca="false">IFERROR(COUNTA(AE180:BT180)/42,0)</f>
        <v>0.30952380952381</v>
      </c>
      <c r="BV180" s="49"/>
      <c r="BW180" s="50" t="b">
        <f aca="false">IF(Configuration!$C$10="No","",IFERROR(IF(AG180&lt;&gt;"",TRUE(),FALSE()),FALSE()))</f>
        <v>0</v>
      </c>
      <c r="BX180" s="50" t="b">
        <f aca="false">IF(Configuration!$C$11="No","",IFERROR(IF(AND(N(AL180)&gt;=Configuration!$C$44,AM180&lt;&gt;""),TRUE(),FALSE()),FALSE()))</f>
        <v>0</v>
      </c>
      <c r="BY180" s="50" t="b">
        <f aca="false">IF(Configuration!$C$12="No","",IFERROR(IF(AJ180&lt;&gt;"",TRUE(),FALSE()),FALSE()))</f>
        <v>0</v>
      </c>
      <c r="BZ180" s="50" t="b">
        <f aca="false">IF(Configuration!$C$13="No","",IFERROR(IF(AI180&lt;&gt;"",TRUE(),FALSE()),FALSE()))</f>
        <v>0</v>
      </c>
      <c r="CA180" s="50" t="b">
        <f aca="false">IF(Configuration!$C$14="No","",IFERROR(IF(AK180&lt;&gt;"",TRUE(),FALSE()),FALSE()))</f>
        <v>0</v>
      </c>
      <c r="CB180" s="50" t="b">
        <f aca="false">IF(Configuration!$C$15="No","",IFERROR(IF(AND(OR(ISNUMBER(SEARCH("process",AG180)),ISNUMBER(SEARCH("fab",AG180)),ISNUMBER(SEARCH("manufac",AG180))),AO180="Method"),TRUE(),FALSE()),FALSE()))</f>
        <v>0</v>
      </c>
      <c r="CC180" s="50" t="b">
        <f aca="false">IF(Configuration!$C$16="No","",IFERROR(IF(AND(OR(ISNUMBER(SEARCH("material",AG180)),ISNUMBER(SEARCH("chem",AG180)),ISNUMBER(SEARCH("battery",AG180)),ISNUMBER(SEARCH("electrolyte",AG180)),ISNUMBER(SEARCH("polymer",AG180))),OR(AO180="Apparatus",AO180="Method")),TRUE(),FALSE()),FALSE()))</f>
        <v>0</v>
      </c>
      <c r="CD180" s="50" t="b">
        <f aca="false">IF(Configuration!$C$17="No","",IFERROR(IF(AND(OR(AI180="App",AI180="Middleware",AI180="Cloud"),OR(AO180="Method",AO180="CRM")),TRUE(),FALSE()),FALSE()))</f>
        <v>0</v>
      </c>
      <c r="CE180" s="50" t="b">
        <f aca="false">IF(Configuration!$C$18="No","",IFERROR(IF(N(AN180)&gt;=Configuration!$C$45,TRUE(),FALSE()),FALSE()))</f>
        <v>0</v>
      </c>
      <c r="CF180" s="50" t="b">
        <f aca="false">IF(Configuration!$C$19="No","",IFERROR(IF(BE180&lt;&gt;"",TRUE(),FALSE()),FALSE()))</f>
        <v>0</v>
      </c>
      <c r="CG180" s="50" t="b">
        <f aca="false">IF(Configuration!$C$20="No","",IFERROR(IF(AO180&lt;&gt;"",TRUE(),FALSE()),FALSE()))</f>
        <v>0</v>
      </c>
      <c r="CH180" s="50" t="b">
        <f aca="false">IF(Configuration!$C$21="No","",IFERROR(IF(OR(N(AS180)&gt;=Configuration!$C$46,N(AT180)&gt;=Configuration!$C$47),TRUE(),FALSE()),FALSE()))</f>
        <v>0</v>
      </c>
      <c r="CI180" s="50" t="b">
        <f aca="false">IF(Configuration!$C$22="No","",IFERROR(IF(BB180="Yes",TRUE(),FALSE()),FALSE()))</f>
        <v>0</v>
      </c>
      <c r="CJ180" s="50" t="b">
        <f aca="false">IF(Configuration!$C$23="No","",IFERROR(IF(N(AV180)&gt;=Configuration!$C$48,TRUE(),FALSE()),FALSE()))</f>
        <v>0</v>
      </c>
      <c r="CK180" s="50" t="b">
        <f aca="false">IF(Configuration!$C$24="No","",IFERROR(IF(N(AY180)&gt;0,TRUE(),FALSE()),FALSE()))</f>
        <v>0</v>
      </c>
      <c r="CL180" s="50" t="b">
        <f aca="false">IF(Configuration!$C$25="No","",IFERROR(IF(OR(N(AP180)=3,N(AP180)&lt;=1),TRUE(),FALSE()),FALSE()))</f>
        <v>1</v>
      </c>
      <c r="CM180" s="50" t="b">
        <f aca="false">IF(Configuration!$C$26="No","",IFERROR(IF(N(BF180)&gt;=Configuration!$C$49,TRUE(),FALSE()),FALSE()))</f>
        <v>0</v>
      </c>
      <c r="CN180" s="50" t="b">
        <f aca="false">IF(Configuration!$C$27="No","",IFERROR(IF(BD180&lt;&gt;"",TRUE(),FALSE()),FALSE()))</f>
        <v>0</v>
      </c>
      <c r="CO180" s="50" t="b">
        <f aca="false">IF(Configuration!$C$28="No","",IFERROR(IF(N(AU180)&gt;=Configuration!$C$50,TRUE(),FALSE()),FALSE()))</f>
        <v>0</v>
      </c>
      <c r="CP180" s="50" t="b">
        <f aca="false">IF(Configuration!$C$29="No","",IFERROR(IF(AND(N(AR180)&gt;=Configuration!$C$51,AG180&lt;&gt;""),TRUE(),FALSE()),FALSE()))</f>
        <v>0</v>
      </c>
      <c r="CQ180" s="50" t="b">
        <f aca="false">IF(Configuration!$C$30="No","",IFERROR(IF(OR(AW180="Pending",AX180="Yes"),TRUE(),FALSE()),FALSE()))</f>
        <v>0</v>
      </c>
      <c r="CR180" s="50" t="b">
        <f aca="false">IF(Configuration!$C$31="No","",IFERROR(IF(AND(N(BG180)&gt;=Configuration!$C$52,N(AP180)&gt;=1),TRUE(),FALSE()),FALSE()))</f>
        <v>0</v>
      </c>
      <c r="CS180" s="50" t="b">
        <f aca="false">IF(Configuration!$C$32="No","",IFERROR(IF(AND(N(AR180)&gt;=1,OR(AG180&lt;&gt;"",AM180&lt;&gt;"")),TRUE(),FALSE()),FALSE()))</f>
        <v>0</v>
      </c>
      <c r="CT180" s="50" t="b">
        <f aca="false">IF(Configuration!$C$33="No","",IFERROR(IF(AG180&lt;&gt;"",TRUE(),FALSE()),FALSE()))</f>
        <v>0</v>
      </c>
      <c r="CU180" s="50" t="b">
        <f aca="false">IF(Configuration!$C$34="No","",IFERROR(IF(AX180="Yes",TRUE(),FALSE()),FALSE()))</f>
        <v>0</v>
      </c>
      <c r="CV180" s="50" t="b">
        <f aca="false">IF(Configuration!$C$35="No","",IFERROR(IF(OR(BO180="Partial",BO180="Full"),TRUE(),FALSE()),FALSE()))</f>
        <v>0</v>
      </c>
      <c r="CW180" s="50" t="b">
        <f aca="false">IF(Configuration!$C$36="No","",IFERROR(IF(BM180="Survived",TRUE(),FALSE()),FALSE()))</f>
        <v>0</v>
      </c>
      <c r="CX180" s="50" t="b">
        <f aca="false">IF(Configuration!$C$37="No","",IFERROR(IF(AND(BN180="Clean",BP180="None"),TRUE(),FALSE()),FALSE()))</f>
        <v>0</v>
      </c>
      <c r="CY180" s="50" t="b">
        <f aca="false">IF(Configuration!$C$38="No","",IFERROR(IF(N(BK180)&gt;=Configuration!$C$53,TRUE(),FALSE()),FALSE()))</f>
        <v>0</v>
      </c>
      <c r="CZ180" s="50" t="b">
        <f aca="false">IF(Configuration!$C$39="No","",IFERROR(IF(AND(N(BS180)&gt;=2,N(BF180)&gt;=2),TRUE(),FALSE()),FALSE()))</f>
        <v>0</v>
      </c>
      <c r="DA180" s="50" t="b">
        <f aca="false">IF(Configuration!$C$40="No","",IFERROR(IF(OR(N(BG180)&lt;=Configuration!$C$56,N(AY180)&lt;Configuration!$C$57,N(BH180)&lt;=Configuration!$C$58),TRUE(),FALSE()),FALSE()))</f>
        <v>1</v>
      </c>
      <c r="DB180" s="50" t="b">
        <f aca="false">IF(Configuration!$C$41="No","",IFERROR(IF(AND(N(AY180)&gt;=Configuration!$C$54,N(AY180)&lt;=Configuration!$C$55),TRUE(),FALSE()),FALSE()))</f>
        <v>0</v>
      </c>
      <c r="DC180" s="50" t="b">
        <f aca="false">IF(Configuration!$C$42="No","",IFERROR(IF(AND(AG180&lt;&gt;"",AJ180&lt;&gt;""),TRUE(),FALSE()),FALSE()))</f>
        <v>0</v>
      </c>
      <c r="DD180" s="51" t="n">
        <f aca="false">COUNTIF(BW180:DC180,TRUE())</f>
        <v>2</v>
      </c>
    </row>
    <row r="181" customFormat="false" ht="15" hidden="false" customHeight="true" outlineLevel="0" collapsed="false">
      <c r="A181" s="18" t="n">
        <v>142</v>
      </c>
      <c r="B181" s="44"/>
      <c r="C181" s="44"/>
      <c r="D181" s="44"/>
      <c r="E181" s="44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6" t="str">
        <f aca="false">IFERROR(IF(F181&lt;&gt;"",F181,""),"")</f>
        <v/>
      </c>
      <c r="AF181" s="46" t="str">
        <f aca="false">IFERROR(IF(G181&lt;&gt;"",G181,""),"")</f>
        <v/>
      </c>
      <c r="AG181" s="46" t="str">
        <f aca="false">IFERROR(IF(AA181&lt;&gt;"",AA181,IF(R181&lt;&gt;"",R181,"")),"")</f>
        <v/>
      </c>
      <c r="AH181" s="46" t="str">
        <f aca="false">IFERROR(IF(AB181&lt;&gt;"",AB181,IF(S181&lt;&gt;"",S181,"")),"")</f>
        <v/>
      </c>
      <c r="AI181" s="47"/>
      <c r="AJ181" s="47"/>
      <c r="AK181" s="47"/>
      <c r="AL181" s="47"/>
      <c r="AM181" s="47"/>
      <c r="AN181" s="47"/>
      <c r="AO181" s="47"/>
      <c r="AP181" s="47"/>
      <c r="AQ181" s="46" t="str">
        <f aca="false">IFERROR(IF(Y181&lt;&gt;"",VALUE(Y181),""),"")</f>
        <v/>
      </c>
      <c r="AR181" s="47"/>
      <c r="AS181" s="47"/>
      <c r="AT181" s="47"/>
      <c r="AU181" s="47"/>
      <c r="AV181" s="46" t="str">
        <f aca="false">IFERROR(IF(T181&lt;&gt;"",VALUE(T181),""),"")</f>
        <v/>
      </c>
      <c r="AW181" s="46" t="str">
        <f aca="false">IFERROR(IF(N181="","",IF(OR(ISNUMBER(SEARCH("grant",N181)),ISNUMBER(SEARCH("B",AC181))),"Granted",IF(OR(ISNUMBER(SEARCH("pend",N181)),ISNUMBER(SEARCH("A",AC181))),"Pending",IF(ISNUMBER(SEARCH("expir",N181)),"Expired",N181)))),"")</f>
        <v/>
      </c>
      <c r="AX181" s="47"/>
      <c r="AY181" s="46" t="str">
        <f aca="true">IFERROR(IF(M181&lt;&gt;"",ROUND(VALUE(M181),1),IF(L181&lt;&gt;"",ROUND(MAX(0,(DATEVALUE(TEXT(L181,"YYYY-MM-DD"))-TODAY())/365.25),1),"")),"")</f>
        <v/>
      </c>
      <c r="AZ181" s="46" t="str">
        <f aca="false">IFERROR(IF(O181&lt;&gt;"",O181,""),"")</f>
        <v/>
      </c>
      <c r="BA181" s="46" t="str">
        <f aca="false">IFERROR(IF(U181&lt;&gt;"",SUBSTITUTE(SUBSTITUTE(U181,"; ",", "),";",","),""),"")</f>
        <v/>
      </c>
      <c r="BB181" s="47"/>
      <c r="BC181" s="47"/>
      <c r="BD181" s="47"/>
      <c r="BE181" s="47"/>
      <c r="BF181" s="47"/>
      <c r="BG181" s="47"/>
      <c r="BH181" s="47"/>
      <c r="BI181" s="47"/>
      <c r="BJ181" s="47"/>
      <c r="BK181" s="46" t="str">
        <f aca="false">IFERROR(IF(W181&lt;&gt;"",VALUE(W181),""),"")</f>
        <v/>
      </c>
      <c r="BL181" s="46" t="str">
        <f aca="false">IFERROR(IF(X181&lt;&gt;"",VALUE(X181),""),"")</f>
        <v/>
      </c>
      <c r="BM181" s="46" t="str">
        <f aca="false">IFERROR(IF(AD181="","None",IF(ISNUMBER(SEARCH("surv",AD181)),"Survived",IF(ISNUMBER(SEARCH("pend",AD181)),"Pending",IF(ISNUMBER(SEARCH("yes",AD181)),"Pending","None")))),"None")</f>
        <v>None</v>
      </c>
      <c r="BN181" s="47"/>
      <c r="BO181" s="47"/>
      <c r="BP181" s="47"/>
      <c r="BQ181" s="47"/>
      <c r="BR181" s="47"/>
      <c r="BS181" s="47"/>
      <c r="BT181" s="47"/>
      <c r="BU181" s="48" t="n">
        <f aca="false">IFERROR(COUNTA(AE181:BT181)/42,0)</f>
        <v>0.30952380952381</v>
      </c>
      <c r="BV181" s="49"/>
      <c r="BW181" s="50" t="b">
        <f aca="false">IF(Configuration!$C$10="No","",IFERROR(IF(AG181&lt;&gt;"",TRUE(),FALSE()),FALSE()))</f>
        <v>0</v>
      </c>
      <c r="BX181" s="50" t="b">
        <f aca="false">IF(Configuration!$C$11="No","",IFERROR(IF(AND(N(AL181)&gt;=Configuration!$C$44,AM181&lt;&gt;""),TRUE(),FALSE()),FALSE()))</f>
        <v>0</v>
      </c>
      <c r="BY181" s="50" t="b">
        <f aca="false">IF(Configuration!$C$12="No","",IFERROR(IF(AJ181&lt;&gt;"",TRUE(),FALSE()),FALSE()))</f>
        <v>0</v>
      </c>
      <c r="BZ181" s="50" t="b">
        <f aca="false">IF(Configuration!$C$13="No","",IFERROR(IF(AI181&lt;&gt;"",TRUE(),FALSE()),FALSE()))</f>
        <v>0</v>
      </c>
      <c r="CA181" s="50" t="b">
        <f aca="false">IF(Configuration!$C$14="No","",IFERROR(IF(AK181&lt;&gt;"",TRUE(),FALSE()),FALSE()))</f>
        <v>0</v>
      </c>
      <c r="CB181" s="50" t="b">
        <f aca="false">IF(Configuration!$C$15="No","",IFERROR(IF(AND(OR(ISNUMBER(SEARCH("process",AG181)),ISNUMBER(SEARCH("fab",AG181)),ISNUMBER(SEARCH("manufac",AG181))),AO181="Method"),TRUE(),FALSE()),FALSE()))</f>
        <v>0</v>
      </c>
      <c r="CC181" s="50" t="b">
        <f aca="false">IF(Configuration!$C$16="No","",IFERROR(IF(AND(OR(ISNUMBER(SEARCH("material",AG181)),ISNUMBER(SEARCH("chem",AG181)),ISNUMBER(SEARCH("battery",AG181)),ISNUMBER(SEARCH("electrolyte",AG181)),ISNUMBER(SEARCH("polymer",AG181))),OR(AO181="Apparatus",AO181="Method")),TRUE(),FALSE()),FALSE()))</f>
        <v>0</v>
      </c>
      <c r="CD181" s="50" t="b">
        <f aca="false">IF(Configuration!$C$17="No","",IFERROR(IF(AND(OR(AI181="App",AI181="Middleware",AI181="Cloud"),OR(AO181="Method",AO181="CRM")),TRUE(),FALSE()),FALSE()))</f>
        <v>0</v>
      </c>
      <c r="CE181" s="50" t="b">
        <f aca="false">IF(Configuration!$C$18="No","",IFERROR(IF(N(AN181)&gt;=Configuration!$C$45,TRUE(),FALSE()),FALSE()))</f>
        <v>0</v>
      </c>
      <c r="CF181" s="50" t="b">
        <f aca="false">IF(Configuration!$C$19="No","",IFERROR(IF(BE181&lt;&gt;"",TRUE(),FALSE()),FALSE()))</f>
        <v>0</v>
      </c>
      <c r="CG181" s="50" t="b">
        <f aca="false">IF(Configuration!$C$20="No","",IFERROR(IF(AO181&lt;&gt;"",TRUE(),FALSE()),FALSE()))</f>
        <v>0</v>
      </c>
      <c r="CH181" s="50" t="b">
        <f aca="false">IF(Configuration!$C$21="No","",IFERROR(IF(OR(N(AS181)&gt;=Configuration!$C$46,N(AT181)&gt;=Configuration!$C$47),TRUE(),FALSE()),FALSE()))</f>
        <v>0</v>
      </c>
      <c r="CI181" s="50" t="b">
        <f aca="false">IF(Configuration!$C$22="No","",IFERROR(IF(BB181="Yes",TRUE(),FALSE()),FALSE()))</f>
        <v>0</v>
      </c>
      <c r="CJ181" s="50" t="b">
        <f aca="false">IF(Configuration!$C$23="No","",IFERROR(IF(N(AV181)&gt;=Configuration!$C$48,TRUE(),FALSE()),FALSE()))</f>
        <v>0</v>
      </c>
      <c r="CK181" s="50" t="b">
        <f aca="false">IF(Configuration!$C$24="No","",IFERROR(IF(N(AY181)&gt;0,TRUE(),FALSE()),FALSE()))</f>
        <v>0</v>
      </c>
      <c r="CL181" s="50" t="b">
        <f aca="false">IF(Configuration!$C$25="No","",IFERROR(IF(OR(N(AP181)=3,N(AP181)&lt;=1),TRUE(),FALSE()),FALSE()))</f>
        <v>1</v>
      </c>
      <c r="CM181" s="50" t="b">
        <f aca="false">IF(Configuration!$C$26="No","",IFERROR(IF(N(BF181)&gt;=Configuration!$C$49,TRUE(),FALSE()),FALSE()))</f>
        <v>0</v>
      </c>
      <c r="CN181" s="50" t="b">
        <f aca="false">IF(Configuration!$C$27="No","",IFERROR(IF(BD181&lt;&gt;"",TRUE(),FALSE()),FALSE()))</f>
        <v>0</v>
      </c>
      <c r="CO181" s="50" t="b">
        <f aca="false">IF(Configuration!$C$28="No","",IFERROR(IF(N(AU181)&gt;=Configuration!$C$50,TRUE(),FALSE()),FALSE()))</f>
        <v>0</v>
      </c>
      <c r="CP181" s="50" t="b">
        <f aca="false">IF(Configuration!$C$29="No","",IFERROR(IF(AND(N(AR181)&gt;=Configuration!$C$51,AG181&lt;&gt;""),TRUE(),FALSE()),FALSE()))</f>
        <v>0</v>
      </c>
      <c r="CQ181" s="50" t="b">
        <f aca="false">IF(Configuration!$C$30="No","",IFERROR(IF(OR(AW181="Pending",AX181="Yes"),TRUE(),FALSE()),FALSE()))</f>
        <v>0</v>
      </c>
      <c r="CR181" s="50" t="b">
        <f aca="false">IF(Configuration!$C$31="No","",IFERROR(IF(AND(N(BG181)&gt;=Configuration!$C$52,N(AP181)&gt;=1),TRUE(),FALSE()),FALSE()))</f>
        <v>0</v>
      </c>
      <c r="CS181" s="50" t="b">
        <f aca="false">IF(Configuration!$C$32="No","",IFERROR(IF(AND(N(AR181)&gt;=1,OR(AG181&lt;&gt;"",AM181&lt;&gt;"")),TRUE(),FALSE()),FALSE()))</f>
        <v>0</v>
      </c>
      <c r="CT181" s="50" t="b">
        <f aca="false">IF(Configuration!$C$33="No","",IFERROR(IF(AG181&lt;&gt;"",TRUE(),FALSE()),FALSE()))</f>
        <v>0</v>
      </c>
      <c r="CU181" s="50" t="b">
        <f aca="false">IF(Configuration!$C$34="No","",IFERROR(IF(AX181="Yes",TRUE(),FALSE()),FALSE()))</f>
        <v>0</v>
      </c>
      <c r="CV181" s="50" t="b">
        <f aca="false">IF(Configuration!$C$35="No","",IFERROR(IF(OR(BO181="Partial",BO181="Full"),TRUE(),FALSE()),FALSE()))</f>
        <v>0</v>
      </c>
      <c r="CW181" s="50" t="b">
        <f aca="false">IF(Configuration!$C$36="No","",IFERROR(IF(BM181="Survived",TRUE(),FALSE()),FALSE()))</f>
        <v>0</v>
      </c>
      <c r="CX181" s="50" t="b">
        <f aca="false">IF(Configuration!$C$37="No","",IFERROR(IF(AND(BN181="Clean",BP181="None"),TRUE(),FALSE()),FALSE()))</f>
        <v>0</v>
      </c>
      <c r="CY181" s="50" t="b">
        <f aca="false">IF(Configuration!$C$38="No","",IFERROR(IF(N(BK181)&gt;=Configuration!$C$53,TRUE(),FALSE()),FALSE()))</f>
        <v>0</v>
      </c>
      <c r="CZ181" s="50" t="b">
        <f aca="false">IF(Configuration!$C$39="No","",IFERROR(IF(AND(N(BS181)&gt;=2,N(BF181)&gt;=2),TRUE(),FALSE()),FALSE()))</f>
        <v>0</v>
      </c>
      <c r="DA181" s="50" t="b">
        <f aca="false">IF(Configuration!$C$40="No","",IFERROR(IF(OR(N(BG181)&lt;=Configuration!$C$56,N(AY181)&lt;Configuration!$C$57,N(BH181)&lt;=Configuration!$C$58),TRUE(),FALSE()),FALSE()))</f>
        <v>1</v>
      </c>
      <c r="DB181" s="50" t="b">
        <f aca="false">IF(Configuration!$C$41="No","",IFERROR(IF(AND(N(AY181)&gt;=Configuration!$C$54,N(AY181)&lt;=Configuration!$C$55),TRUE(),FALSE()),FALSE()))</f>
        <v>0</v>
      </c>
      <c r="DC181" s="50" t="b">
        <f aca="false">IF(Configuration!$C$42="No","",IFERROR(IF(AND(AG181&lt;&gt;"",AJ181&lt;&gt;""),TRUE(),FALSE()),FALSE()))</f>
        <v>0</v>
      </c>
      <c r="DD181" s="51" t="n">
        <f aca="false">COUNTIF(BW181:DC181,TRUE())</f>
        <v>2</v>
      </c>
    </row>
    <row r="182" customFormat="false" ht="15" hidden="false" customHeight="true" outlineLevel="0" collapsed="false">
      <c r="A182" s="18" t="n">
        <v>143</v>
      </c>
      <c r="B182" s="44"/>
      <c r="C182" s="44"/>
      <c r="D182" s="44"/>
      <c r="E182" s="44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6" t="str">
        <f aca="false">IFERROR(IF(F182&lt;&gt;"",F182,""),"")</f>
        <v/>
      </c>
      <c r="AF182" s="46" t="str">
        <f aca="false">IFERROR(IF(G182&lt;&gt;"",G182,""),"")</f>
        <v/>
      </c>
      <c r="AG182" s="46" t="str">
        <f aca="false">IFERROR(IF(AA182&lt;&gt;"",AA182,IF(R182&lt;&gt;"",R182,"")),"")</f>
        <v/>
      </c>
      <c r="AH182" s="46" t="str">
        <f aca="false">IFERROR(IF(AB182&lt;&gt;"",AB182,IF(S182&lt;&gt;"",S182,"")),"")</f>
        <v/>
      </c>
      <c r="AI182" s="47"/>
      <c r="AJ182" s="47"/>
      <c r="AK182" s="47"/>
      <c r="AL182" s="47"/>
      <c r="AM182" s="47"/>
      <c r="AN182" s="47"/>
      <c r="AO182" s="47"/>
      <c r="AP182" s="47"/>
      <c r="AQ182" s="46" t="str">
        <f aca="false">IFERROR(IF(Y182&lt;&gt;"",VALUE(Y182),""),"")</f>
        <v/>
      </c>
      <c r="AR182" s="47"/>
      <c r="AS182" s="47"/>
      <c r="AT182" s="47"/>
      <c r="AU182" s="47"/>
      <c r="AV182" s="46" t="str">
        <f aca="false">IFERROR(IF(T182&lt;&gt;"",VALUE(T182),""),"")</f>
        <v/>
      </c>
      <c r="AW182" s="46" t="str">
        <f aca="false">IFERROR(IF(N182="","",IF(OR(ISNUMBER(SEARCH("grant",N182)),ISNUMBER(SEARCH("B",AC182))),"Granted",IF(OR(ISNUMBER(SEARCH("pend",N182)),ISNUMBER(SEARCH("A",AC182))),"Pending",IF(ISNUMBER(SEARCH("expir",N182)),"Expired",N182)))),"")</f>
        <v/>
      </c>
      <c r="AX182" s="47"/>
      <c r="AY182" s="46" t="str">
        <f aca="true">IFERROR(IF(M182&lt;&gt;"",ROUND(VALUE(M182),1),IF(L182&lt;&gt;"",ROUND(MAX(0,(DATEVALUE(TEXT(L182,"YYYY-MM-DD"))-TODAY())/365.25),1),"")),"")</f>
        <v/>
      </c>
      <c r="AZ182" s="46" t="str">
        <f aca="false">IFERROR(IF(O182&lt;&gt;"",O182,""),"")</f>
        <v/>
      </c>
      <c r="BA182" s="46" t="str">
        <f aca="false">IFERROR(IF(U182&lt;&gt;"",SUBSTITUTE(SUBSTITUTE(U182,"; ",", "),";",","),""),"")</f>
        <v/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6" t="str">
        <f aca="false">IFERROR(IF(W182&lt;&gt;"",VALUE(W182),""),"")</f>
        <v/>
      </c>
      <c r="BL182" s="46" t="str">
        <f aca="false">IFERROR(IF(X182&lt;&gt;"",VALUE(X182),""),"")</f>
        <v/>
      </c>
      <c r="BM182" s="46" t="str">
        <f aca="false">IFERROR(IF(AD182="","None",IF(ISNUMBER(SEARCH("surv",AD182)),"Survived",IF(ISNUMBER(SEARCH("pend",AD182)),"Pending",IF(ISNUMBER(SEARCH("yes",AD182)),"Pending","None")))),"None")</f>
        <v>None</v>
      </c>
      <c r="BN182" s="47"/>
      <c r="BO182" s="47"/>
      <c r="BP182" s="47"/>
      <c r="BQ182" s="47"/>
      <c r="BR182" s="47"/>
      <c r="BS182" s="47"/>
      <c r="BT182" s="47"/>
      <c r="BU182" s="48" t="n">
        <f aca="false">IFERROR(COUNTA(AE182:BT182)/42,0)</f>
        <v>0.30952380952381</v>
      </c>
      <c r="BV182" s="49"/>
      <c r="BW182" s="50" t="b">
        <f aca="false">IF(Configuration!$C$10="No","",IFERROR(IF(AG182&lt;&gt;"",TRUE(),FALSE()),FALSE()))</f>
        <v>0</v>
      </c>
      <c r="BX182" s="50" t="b">
        <f aca="false">IF(Configuration!$C$11="No","",IFERROR(IF(AND(N(AL182)&gt;=Configuration!$C$44,AM182&lt;&gt;""),TRUE(),FALSE()),FALSE()))</f>
        <v>0</v>
      </c>
      <c r="BY182" s="50" t="b">
        <f aca="false">IF(Configuration!$C$12="No","",IFERROR(IF(AJ182&lt;&gt;"",TRUE(),FALSE()),FALSE()))</f>
        <v>0</v>
      </c>
      <c r="BZ182" s="50" t="b">
        <f aca="false">IF(Configuration!$C$13="No","",IFERROR(IF(AI182&lt;&gt;"",TRUE(),FALSE()),FALSE()))</f>
        <v>0</v>
      </c>
      <c r="CA182" s="50" t="b">
        <f aca="false">IF(Configuration!$C$14="No","",IFERROR(IF(AK182&lt;&gt;"",TRUE(),FALSE()),FALSE()))</f>
        <v>0</v>
      </c>
      <c r="CB182" s="50" t="b">
        <f aca="false">IF(Configuration!$C$15="No","",IFERROR(IF(AND(OR(ISNUMBER(SEARCH("process",AG182)),ISNUMBER(SEARCH("fab",AG182)),ISNUMBER(SEARCH("manufac",AG182))),AO182="Method"),TRUE(),FALSE()),FALSE()))</f>
        <v>0</v>
      </c>
      <c r="CC182" s="50" t="b">
        <f aca="false">IF(Configuration!$C$16="No","",IFERROR(IF(AND(OR(ISNUMBER(SEARCH("material",AG182)),ISNUMBER(SEARCH("chem",AG182)),ISNUMBER(SEARCH("battery",AG182)),ISNUMBER(SEARCH("electrolyte",AG182)),ISNUMBER(SEARCH("polymer",AG182))),OR(AO182="Apparatus",AO182="Method")),TRUE(),FALSE()),FALSE()))</f>
        <v>0</v>
      </c>
      <c r="CD182" s="50" t="b">
        <f aca="false">IF(Configuration!$C$17="No","",IFERROR(IF(AND(OR(AI182="App",AI182="Middleware",AI182="Cloud"),OR(AO182="Method",AO182="CRM")),TRUE(),FALSE()),FALSE()))</f>
        <v>0</v>
      </c>
      <c r="CE182" s="50" t="b">
        <f aca="false">IF(Configuration!$C$18="No","",IFERROR(IF(N(AN182)&gt;=Configuration!$C$45,TRUE(),FALSE()),FALSE()))</f>
        <v>0</v>
      </c>
      <c r="CF182" s="50" t="b">
        <f aca="false">IF(Configuration!$C$19="No","",IFERROR(IF(BE182&lt;&gt;"",TRUE(),FALSE()),FALSE()))</f>
        <v>0</v>
      </c>
      <c r="CG182" s="50" t="b">
        <f aca="false">IF(Configuration!$C$20="No","",IFERROR(IF(AO182&lt;&gt;"",TRUE(),FALSE()),FALSE()))</f>
        <v>0</v>
      </c>
      <c r="CH182" s="50" t="b">
        <f aca="false">IF(Configuration!$C$21="No","",IFERROR(IF(OR(N(AS182)&gt;=Configuration!$C$46,N(AT182)&gt;=Configuration!$C$47),TRUE(),FALSE()),FALSE()))</f>
        <v>0</v>
      </c>
      <c r="CI182" s="50" t="b">
        <f aca="false">IF(Configuration!$C$22="No","",IFERROR(IF(BB182="Yes",TRUE(),FALSE()),FALSE()))</f>
        <v>0</v>
      </c>
      <c r="CJ182" s="50" t="b">
        <f aca="false">IF(Configuration!$C$23="No","",IFERROR(IF(N(AV182)&gt;=Configuration!$C$48,TRUE(),FALSE()),FALSE()))</f>
        <v>0</v>
      </c>
      <c r="CK182" s="50" t="b">
        <f aca="false">IF(Configuration!$C$24="No","",IFERROR(IF(N(AY182)&gt;0,TRUE(),FALSE()),FALSE()))</f>
        <v>0</v>
      </c>
      <c r="CL182" s="50" t="b">
        <f aca="false">IF(Configuration!$C$25="No","",IFERROR(IF(OR(N(AP182)=3,N(AP182)&lt;=1),TRUE(),FALSE()),FALSE()))</f>
        <v>1</v>
      </c>
      <c r="CM182" s="50" t="b">
        <f aca="false">IF(Configuration!$C$26="No","",IFERROR(IF(N(BF182)&gt;=Configuration!$C$49,TRUE(),FALSE()),FALSE()))</f>
        <v>0</v>
      </c>
      <c r="CN182" s="50" t="b">
        <f aca="false">IF(Configuration!$C$27="No","",IFERROR(IF(BD182&lt;&gt;"",TRUE(),FALSE()),FALSE()))</f>
        <v>0</v>
      </c>
      <c r="CO182" s="50" t="b">
        <f aca="false">IF(Configuration!$C$28="No","",IFERROR(IF(N(AU182)&gt;=Configuration!$C$50,TRUE(),FALSE()),FALSE()))</f>
        <v>0</v>
      </c>
      <c r="CP182" s="50" t="b">
        <f aca="false">IF(Configuration!$C$29="No","",IFERROR(IF(AND(N(AR182)&gt;=Configuration!$C$51,AG182&lt;&gt;""),TRUE(),FALSE()),FALSE()))</f>
        <v>0</v>
      </c>
      <c r="CQ182" s="50" t="b">
        <f aca="false">IF(Configuration!$C$30="No","",IFERROR(IF(OR(AW182="Pending",AX182="Yes"),TRUE(),FALSE()),FALSE()))</f>
        <v>0</v>
      </c>
      <c r="CR182" s="50" t="b">
        <f aca="false">IF(Configuration!$C$31="No","",IFERROR(IF(AND(N(BG182)&gt;=Configuration!$C$52,N(AP182)&gt;=1),TRUE(),FALSE()),FALSE()))</f>
        <v>0</v>
      </c>
      <c r="CS182" s="50" t="b">
        <f aca="false">IF(Configuration!$C$32="No","",IFERROR(IF(AND(N(AR182)&gt;=1,OR(AG182&lt;&gt;"",AM182&lt;&gt;"")),TRUE(),FALSE()),FALSE()))</f>
        <v>0</v>
      </c>
      <c r="CT182" s="50" t="b">
        <f aca="false">IF(Configuration!$C$33="No","",IFERROR(IF(AG182&lt;&gt;"",TRUE(),FALSE()),FALSE()))</f>
        <v>0</v>
      </c>
      <c r="CU182" s="50" t="b">
        <f aca="false">IF(Configuration!$C$34="No","",IFERROR(IF(AX182="Yes",TRUE(),FALSE()),FALSE()))</f>
        <v>0</v>
      </c>
      <c r="CV182" s="50" t="b">
        <f aca="false">IF(Configuration!$C$35="No","",IFERROR(IF(OR(BO182="Partial",BO182="Full"),TRUE(),FALSE()),FALSE()))</f>
        <v>0</v>
      </c>
      <c r="CW182" s="50" t="b">
        <f aca="false">IF(Configuration!$C$36="No","",IFERROR(IF(BM182="Survived",TRUE(),FALSE()),FALSE()))</f>
        <v>0</v>
      </c>
      <c r="CX182" s="50" t="b">
        <f aca="false">IF(Configuration!$C$37="No","",IFERROR(IF(AND(BN182="Clean",BP182="None"),TRUE(),FALSE()),FALSE()))</f>
        <v>0</v>
      </c>
      <c r="CY182" s="50" t="b">
        <f aca="false">IF(Configuration!$C$38="No","",IFERROR(IF(N(BK182)&gt;=Configuration!$C$53,TRUE(),FALSE()),FALSE()))</f>
        <v>0</v>
      </c>
      <c r="CZ182" s="50" t="b">
        <f aca="false">IF(Configuration!$C$39="No","",IFERROR(IF(AND(N(BS182)&gt;=2,N(BF182)&gt;=2),TRUE(),FALSE()),FALSE()))</f>
        <v>0</v>
      </c>
      <c r="DA182" s="50" t="b">
        <f aca="false">IF(Configuration!$C$40="No","",IFERROR(IF(OR(N(BG182)&lt;=Configuration!$C$56,N(AY182)&lt;Configuration!$C$57,N(BH182)&lt;=Configuration!$C$58),TRUE(),FALSE()),FALSE()))</f>
        <v>1</v>
      </c>
      <c r="DB182" s="50" t="b">
        <f aca="false">IF(Configuration!$C$41="No","",IFERROR(IF(AND(N(AY182)&gt;=Configuration!$C$54,N(AY182)&lt;=Configuration!$C$55),TRUE(),FALSE()),FALSE()))</f>
        <v>0</v>
      </c>
      <c r="DC182" s="50" t="b">
        <f aca="false">IF(Configuration!$C$42="No","",IFERROR(IF(AND(AG182&lt;&gt;"",AJ182&lt;&gt;""),TRUE(),FALSE()),FALSE()))</f>
        <v>0</v>
      </c>
      <c r="DD182" s="51" t="n">
        <f aca="false">COUNTIF(BW182:DC182,TRUE())</f>
        <v>2</v>
      </c>
    </row>
    <row r="183" customFormat="false" ht="15" hidden="false" customHeight="true" outlineLevel="0" collapsed="false">
      <c r="A183" s="18" t="n">
        <v>144</v>
      </c>
      <c r="B183" s="44"/>
      <c r="C183" s="44"/>
      <c r="D183" s="44"/>
      <c r="E183" s="44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6" t="str">
        <f aca="false">IFERROR(IF(F183&lt;&gt;"",F183,""),"")</f>
        <v/>
      </c>
      <c r="AF183" s="46" t="str">
        <f aca="false">IFERROR(IF(G183&lt;&gt;"",G183,""),"")</f>
        <v/>
      </c>
      <c r="AG183" s="46" t="str">
        <f aca="false">IFERROR(IF(AA183&lt;&gt;"",AA183,IF(R183&lt;&gt;"",R183,"")),"")</f>
        <v/>
      </c>
      <c r="AH183" s="46" t="str">
        <f aca="false">IFERROR(IF(AB183&lt;&gt;"",AB183,IF(S183&lt;&gt;"",S183,"")),"")</f>
        <v/>
      </c>
      <c r="AI183" s="47"/>
      <c r="AJ183" s="47"/>
      <c r="AK183" s="47"/>
      <c r="AL183" s="47"/>
      <c r="AM183" s="47"/>
      <c r="AN183" s="47"/>
      <c r="AO183" s="47"/>
      <c r="AP183" s="47"/>
      <c r="AQ183" s="46" t="str">
        <f aca="false">IFERROR(IF(Y183&lt;&gt;"",VALUE(Y183),""),"")</f>
        <v/>
      </c>
      <c r="AR183" s="47"/>
      <c r="AS183" s="47"/>
      <c r="AT183" s="47"/>
      <c r="AU183" s="47"/>
      <c r="AV183" s="46" t="str">
        <f aca="false">IFERROR(IF(T183&lt;&gt;"",VALUE(T183),""),"")</f>
        <v/>
      </c>
      <c r="AW183" s="46" t="str">
        <f aca="false">IFERROR(IF(N183="","",IF(OR(ISNUMBER(SEARCH("grant",N183)),ISNUMBER(SEARCH("B",AC183))),"Granted",IF(OR(ISNUMBER(SEARCH("pend",N183)),ISNUMBER(SEARCH("A",AC183))),"Pending",IF(ISNUMBER(SEARCH("expir",N183)),"Expired",N183)))),"")</f>
        <v/>
      </c>
      <c r="AX183" s="47"/>
      <c r="AY183" s="46" t="str">
        <f aca="true">IFERROR(IF(M183&lt;&gt;"",ROUND(VALUE(M183),1),IF(L183&lt;&gt;"",ROUND(MAX(0,(DATEVALUE(TEXT(L183,"YYYY-MM-DD"))-TODAY())/365.25),1),"")),"")</f>
        <v/>
      </c>
      <c r="AZ183" s="46" t="str">
        <f aca="false">IFERROR(IF(O183&lt;&gt;"",O183,""),"")</f>
        <v/>
      </c>
      <c r="BA183" s="46" t="str">
        <f aca="false">IFERROR(IF(U183&lt;&gt;"",SUBSTITUTE(SUBSTITUTE(U183,"; ",", "),";",","),""),"")</f>
        <v/>
      </c>
      <c r="BB183" s="47"/>
      <c r="BC183" s="47"/>
      <c r="BD183" s="47"/>
      <c r="BE183" s="47"/>
      <c r="BF183" s="47"/>
      <c r="BG183" s="47"/>
      <c r="BH183" s="47"/>
      <c r="BI183" s="47"/>
      <c r="BJ183" s="47"/>
      <c r="BK183" s="46" t="str">
        <f aca="false">IFERROR(IF(W183&lt;&gt;"",VALUE(W183),""),"")</f>
        <v/>
      </c>
      <c r="BL183" s="46" t="str">
        <f aca="false">IFERROR(IF(X183&lt;&gt;"",VALUE(X183),""),"")</f>
        <v/>
      </c>
      <c r="BM183" s="46" t="str">
        <f aca="false">IFERROR(IF(AD183="","None",IF(ISNUMBER(SEARCH("surv",AD183)),"Survived",IF(ISNUMBER(SEARCH("pend",AD183)),"Pending",IF(ISNUMBER(SEARCH("yes",AD183)),"Pending","None")))),"None")</f>
        <v>None</v>
      </c>
      <c r="BN183" s="47"/>
      <c r="BO183" s="47"/>
      <c r="BP183" s="47"/>
      <c r="BQ183" s="47"/>
      <c r="BR183" s="47"/>
      <c r="BS183" s="47"/>
      <c r="BT183" s="47"/>
      <c r="BU183" s="48" t="n">
        <f aca="false">IFERROR(COUNTA(AE183:BT183)/42,0)</f>
        <v>0.30952380952381</v>
      </c>
      <c r="BV183" s="49"/>
      <c r="BW183" s="50" t="b">
        <f aca="false">IF(Configuration!$C$10="No","",IFERROR(IF(AG183&lt;&gt;"",TRUE(),FALSE()),FALSE()))</f>
        <v>0</v>
      </c>
      <c r="BX183" s="50" t="b">
        <f aca="false">IF(Configuration!$C$11="No","",IFERROR(IF(AND(N(AL183)&gt;=Configuration!$C$44,AM183&lt;&gt;""),TRUE(),FALSE()),FALSE()))</f>
        <v>0</v>
      </c>
      <c r="BY183" s="50" t="b">
        <f aca="false">IF(Configuration!$C$12="No","",IFERROR(IF(AJ183&lt;&gt;"",TRUE(),FALSE()),FALSE()))</f>
        <v>0</v>
      </c>
      <c r="BZ183" s="50" t="b">
        <f aca="false">IF(Configuration!$C$13="No","",IFERROR(IF(AI183&lt;&gt;"",TRUE(),FALSE()),FALSE()))</f>
        <v>0</v>
      </c>
      <c r="CA183" s="50" t="b">
        <f aca="false">IF(Configuration!$C$14="No","",IFERROR(IF(AK183&lt;&gt;"",TRUE(),FALSE()),FALSE()))</f>
        <v>0</v>
      </c>
      <c r="CB183" s="50" t="b">
        <f aca="false">IF(Configuration!$C$15="No","",IFERROR(IF(AND(OR(ISNUMBER(SEARCH("process",AG183)),ISNUMBER(SEARCH("fab",AG183)),ISNUMBER(SEARCH("manufac",AG183))),AO183="Method"),TRUE(),FALSE()),FALSE()))</f>
        <v>0</v>
      </c>
      <c r="CC183" s="50" t="b">
        <f aca="false">IF(Configuration!$C$16="No","",IFERROR(IF(AND(OR(ISNUMBER(SEARCH("material",AG183)),ISNUMBER(SEARCH("chem",AG183)),ISNUMBER(SEARCH("battery",AG183)),ISNUMBER(SEARCH("electrolyte",AG183)),ISNUMBER(SEARCH("polymer",AG183))),OR(AO183="Apparatus",AO183="Method")),TRUE(),FALSE()),FALSE()))</f>
        <v>0</v>
      </c>
      <c r="CD183" s="50" t="b">
        <f aca="false">IF(Configuration!$C$17="No","",IFERROR(IF(AND(OR(AI183="App",AI183="Middleware",AI183="Cloud"),OR(AO183="Method",AO183="CRM")),TRUE(),FALSE()),FALSE()))</f>
        <v>0</v>
      </c>
      <c r="CE183" s="50" t="b">
        <f aca="false">IF(Configuration!$C$18="No","",IFERROR(IF(N(AN183)&gt;=Configuration!$C$45,TRUE(),FALSE()),FALSE()))</f>
        <v>0</v>
      </c>
      <c r="CF183" s="50" t="b">
        <f aca="false">IF(Configuration!$C$19="No","",IFERROR(IF(BE183&lt;&gt;"",TRUE(),FALSE()),FALSE()))</f>
        <v>0</v>
      </c>
      <c r="CG183" s="50" t="b">
        <f aca="false">IF(Configuration!$C$20="No","",IFERROR(IF(AO183&lt;&gt;"",TRUE(),FALSE()),FALSE()))</f>
        <v>0</v>
      </c>
      <c r="CH183" s="50" t="b">
        <f aca="false">IF(Configuration!$C$21="No","",IFERROR(IF(OR(N(AS183)&gt;=Configuration!$C$46,N(AT183)&gt;=Configuration!$C$47),TRUE(),FALSE()),FALSE()))</f>
        <v>0</v>
      </c>
      <c r="CI183" s="50" t="b">
        <f aca="false">IF(Configuration!$C$22="No","",IFERROR(IF(BB183="Yes",TRUE(),FALSE()),FALSE()))</f>
        <v>0</v>
      </c>
      <c r="CJ183" s="50" t="b">
        <f aca="false">IF(Configuration!$C$23="No","",IFERROR(IF(N(AV183)&gt;=Configuration!$C$48,TRUE(),FALSE()),FALSE()))</f>
        <v>0</v>
      </c>
      <c r="CK183" s="50" t="b">
        <f aca="false">IF(Configuration!$C$24="No","",IFERROR(IF(N(AY183)&gt;0,TRUE(),FALSE()),FALSE()))</f>
        <v>0</v>
      </c>
      <c r="CL183" s="50" t="b">
        <f aca="false">IF(Configuration!$C$25="No","",IFERROR(IF(OR(N(AP183)=3,N(AP183)&lt;=1),TRUE(),FALSE()),FALSE()))</f>
        <v>1</v>
      </c>
      <c r="CM183" s="50" t="b">
        <f aca="false">IF(Configuration!$C$26="No","",IFERROR(IF(N(BF183)&gt;=Configuration!$C$49,TRUE(),FALSE()),FALSE()))</f>
        <v>0</v>
      </c>
      <c r="CN183" s="50" t="b">
        <f aca="false">IF(Configuration!$C$27="No","",IFERROR(IF(BD183&lt;&gt;"",TRUE(),FALSE()),FALSE()))</f>
        <v>0</v>
      </c>
      <c r="CO183" s="50" t="b">
        <f aca="false">IF(Configuration!$C$28="No","",IFERROR(IF(N(AU183)&gt;=Configuration!$C$50,TRUE(),FALSE()),FALSE()))</f>
        <v>0</v>
      </c>
      <c r="CP183" s="50" t="b">
        <f aca="false">IF(Configuration!$C$29="No","",IFERROR(IF(AND(N(AR183)&gt;=Configuration!$C$51,AG183&lt;&gt;""),TRUE(),FALSE()),FALSE()))</f>
        <v>0</v>
      </c>
      <c r="CQ183" s="50" t="b">
        <f aca="false">IF(Configuration!$C$30="No","",IFERROR(IF(OR(AW183="Pending",AX183="Yes"),TRUE(),FALSE()),FALSE()))</f>
        <v>0</v>
      </c>
      <c r="CR183" s="50" t="b">
        <f aca="false">IF(Configuration!$C$31="No","",IFERROR(IF(AND(N(BG183)&gt;=Configuration!$C$52,N(AP183)&gt;=1),TRUE(),FALSE()),FALSE()))</f>
        <v>0</v>
      </c>
      <c r="CS183" s="50" t="b">
        <f aca="false">IF(Configuration!$C$32="No","",IFERROR(IF(AND(N(AR183)&gt;=1,OR(AG183&lt;&gt;"",AM183&lt;&gt;"")),TRUE(),FALSE()),FALSE()))</f>
        <v>0</v>
      </c>
      <c r="CT183" s="50" t="b">
        <f aca="false">IF(Configuration!$C$33="No","",IFERROR(IF(AG183&lt;&gt;"",TRUE(),FALSE()),FALSE()))</f>
        <v>0</v>
      </c>
      <c r="CU183" s="50" t="b">
        <f aca="false">IF(Configuration!$C$34="No","",IFERROR(IF(AX183="Yes",TRUE(),FALSE()),FALSE()))</f>
        <v>0</v>
      </c>
      <c r="CV183" s="50" t="b">
        <f aca="false">IF(Configuration!$C$35="No","",IFERROR(IF(OR(BO183="Partial",BO183="Full"),TRUE(),FALSE()),FALSE()))</f>
        <v>0</v>
      </c>
      <c r="CW183" s="50" t="b">
        <f aca="false">IF(Configuration!$C$36="No","",IFERROR(IF(BM183="Survived",TRUE(),FALSE()),FALSE()))</f>
        <v>0</v>
      </c>
      <c r="CX183" s="50" t="b">
        <f aca="false">IF(Configuration!$C$37="No","",IFERROR(IF(AND(BN183="Clean",BP183="None"),TRUE(),FALSE()),FALSE()))</f>
        <v>0</v>
      </c>
      <c r="CY183" s="50" t="b">
        <f aca="false">IF(Configuration!$C$38="No","",IFERROR(IF(N(BK183)&gt;=Configuration!$C$53,TRUE(),FALSE()),FALSE()))</f>
        <v>0</v>
      </c>
      <c r="CZ183" s="50" t="b">
        <f aca="false">IF(Configuration!$C$39="No","",IFERROR(IF(AND(N(BS183)&gt;=2,N(BF183)&gt;=2),TRUE(),FALSE()),FALSE()))</f>
        <v>0</v>
      </c>
      <c r="DA183" s="50" t="b">
        <f aca="false">IF(Configuration!$C$40="No","",IFERROR(IF(OR(N(BG183)&lt;=Configuration!$C$56,N(AY183)&lt;Configuration!$C$57,N(BH183)&lt;=Configuration!$C$58),TRUE(),FALSE()),FALSE()))</f>
        <v>1</v>
      </c>
      <c r="DB183" s="50" t="b">
        <f aca="false">IF(Configuration!$C$41="No","",IFERROR(IF(AND(N(AY183)&gt;=Configuration!$C$54,N(AY183)&lt;=Configuration!$C$55),TRUE(),FALSE()),FALSE()))</f>
        <v>0</v>
      </c>
      <c r="DC183" s="50" t="b">
        <f aca="false">IF(Configuration!$C$42="No","",IFERROR(IF(AND(AG183&lt;&gt;"",AJ183&lt;&gt;""),TRUE(),FALSE()),FALSE()))</f>
        <v>0</v>
      </c>
      <c r="DD183" s="51" t="n">
        <f aca="false">COUNTIF(BW183:DC183,TRUE())</f>
        <v>2</v>
      </c>
    </row>
    <row r="184" customFormat="false" ht="15" hidden="false" customHeight="true" outlineLevel="0" collapsed="false">
      <c r="A184" s="18" t="n">
        <v>145</v>
      </c>
      <c r="B184" s="44"/>
      <c r="C184" s="44"/>
      <c r="D184" s="44"/>
      <c r="E184" s="44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6" t="str">
        <f aca="false">IFERROR(IF(F184&lt;&gt;"",F184,""),"")</f>
        <v/>
      </c>
      <c r="AF184" s="46" t="str">
        <f aca="false">IFERROR(IF(G184&lt;&gt;"",G184,""),"")</f>
        <v/>
      </c>
      <c r="AG184" s="46" t="str">
        <f aca="false">IFERROR(IF(AA184&lt;&gt;"",AA184,IF(R184&lt;&gt;"",R184,"")),"")</f>
        <v/>
      </c>
      <c r="AH184" s="46" t="str">
        <f aca="false">IFERROR(IF(AB184&lt;&gt;"",AB184,IF(S184&lt;&gt;"",S184,"")),"")</f>
        <v/>
      </c>
      <c r="AI184" s="47"/>
      <c r="AJ184" s="47"/>
      <c r="AK184" s="47"/>
      <c r="AL184" s="47"/>
      <c r="AM184" s="47"/>
      <c r="AN184" s="47"/>
      <c r="AO184" s="47"/>
      <c r="AP184" s="47"/>
      <c r="AQ184" s="46" t="str">
        <f aca="false">IFERROR(IF(Y184&lt;&gt;"",VALUE(Y184),""),"")</f>
        <v/>
      </c>
      <c r="AR184" s="47"/>
      <c r="AS184" s="47"/>
      <c r="AT184" s="47"/>
      <c r="AU184" s="47"/>
      <c r="AV184" s="46" t="str">
        <f aca="false">IFERROR(IF(T184&lt;&gt;"",VALUE(T184),""),"")</f>
        <v/>
      </c>
      <c r="AW184" s="46" t="str">
        <f aca="false">IFERROR(IF(N184="","",IF(OR(ISNUMBER(SEARCH("grant",N184)),ISNUMBER(SEARCH("B",AC184))),"Granted",IF(OR(ISNUMBER(SEARCH("pend",N184)),ISNUMBER(SEARCH("A",AC184))),"Pending",IF(ISNUMBER(SEARCH("expir",N184)),"Expired",N184)))),"")</f>
        <v/>
      </c>
      <c r="AX184" s="47"/>
      <c r="AY184" s="46" t="str">
        <f aca="true">IFERROR(IF(M184&lt;&gt;"",ROUND(VALUE(M184),1),IF(L184&lt;&gt;"",ROUND(MAX(0,(DATEVALUE(TEXT(L184,"YYYY-MM-DD"))-TODAY())/365.25),1),"")),"")</f>
        <v/>
      </c>
      <c r="AZ184" s="46" t="str">
        <f aca="false">IFERROR(IF(O184&lt;&gt;"",O184,""),"")</f>
        <v/>
      </c>
      <c r="BA184" s="46" t="str">
        <f aca="false">IFERROR(IF(U184&lt;&gt;"",SUBSTITUTE(SUBSTITUTE(U184,"; ",", "),";",","),""),"")</f>
        <v/>
      </c>
      <c r="BB184" s="47"/>
      <c r="BC184" s="47"/>
      <c r="BD184" s="47"/>
      <c r="BE184" s="47"/>
      <c r="BF184" s="47"/>
      <c r="BG184" s="47"/>
      <c r="BH184" s="47"/>
      <c r="BI184" s="47"/>
      <c r="BJ184" s="47"/>
      <c r="BK184" s="46" t="str">
        <f aca="false">IFERROR(IF(W184&lt;&gt;"",VALUE(W184),""),"")</f>
        <v/>
      </c>
      <c r="BL184" s="46" t="str">
        <f aca="false">IFERROR(IF(X184&lt;&gt;"",VALUE(X184),""),"")</f>
        <v/>
      </c>
      <c r="BM184" s="46" t="str">
        <f aca="false">IFERROR(IF(AD184="","None",IF(ISNUMBER(SEARCH("surv",AD184)),"Survived",IF(ISNUMBER(SEARCH("pend",AD184)),"Pending",IF(ISNUMBER(SEARCH("yes",AD184)),"Pending","None")))),"None")</f>
        <v>None</v>
      </c>
      <c r="BN184" s="47"/>
      <c r="BO184" s="47"/>
      <c r="BP184" s="47"/>
      <c r="BQ184" s="47"/>
      <c r="BR184" s="47"/>
      <c r="BS184" s="47"/>
      <c r="BT184" s="47"/>
      <c r="BU184" s="48" t="n">
        <f aca="false">IFERROR(COUNTA(AE184:BT184)/42,0)</f>
        <v>0.30952380952381</v>
      </c>
      <c r="BV184" s="49"/>
      <c r="BW184" s="50" t="b">
        <f aca="false">IF(Configuration!$C$10="No","",IFERROR(IF(AG184&lt;&gt;"",TRUE(),FALSE()),FALSE()))</f>
        <v>0</v>
      </c>
      <c r="BX184" s="50" t="b">
        <f aca="false">IF(Configuration!$C$11="No","",IFERROR(IF(AND(N(AL184)&gt;=Configuration!$C$44,AM184&lt;&gt;""),TRUE(),FALSE()),FALSE()))</f>
        <v>0</v>
      </c>
      <c r="BY184" s="50" t="b">
        <f aca="false">IF(Configuration!$C$12="No","",IFERROR(IF(AJ184&lt;&gt;"",TRUE(),FALSE()),FALSE()))</f>
        <v>0</v>
      </c>
      <c r="BZ184" s="50" t="b">
        <f aca="false">IF(Configuration!$C$13="No","",IFERROR(IF(AI184&lt;&gt;"",TRUE(),FALSE()),FALSE()))</f>
        <v>0</v>
      </c>
      <c r="CA184" s="50" t="b">
        <f aca="false">IF(Configuration!$C$14="No","",IFERROR(IF(AK184&lt;&gt;"",TRUE(),FALSE()),FALSE()))</f>
        <v>0</v>
      </c>
      <c r="CB184" s="50" t="b">
        <f aca="false">IF(Configuration!$C$15="No","",IFERROR(IF(AND(OR(ISNUMBER(SEARCH("process",AG184)),ISNUMBER(SEARCH("fab",AG184)),ISNUMBER(SEARCH("manufac",AG184))),AO184="Method"),TRUE(),FALSE()),FALSE()))</f>
        <v>0</v>
      </c>
      <c r="CC184" s="50" t="b">
        <f aca="false">IF(Configuration!$C$16="No","",IFERROR(IF(AND(OR(ISNUMBER(SEARCH("material",AG184)),ISNUMBER(SEARCH("chem",AG184)),ISNUMBER(SEARCH("battery",AG184)),ISNUMBER(SEARCH("electrolyte",AG184)),ISNUMBER(SEARCH("polymer",AG184))),OR(AO184="Apparatus",AO184="Method")),TRUE(),FALSE()),FALSE()))</f>
        <v>0</v>
      </c>
      <c r="CD184" s="50" t="b">
        <f aca="false">IF(Configuration!$C$17="No","",IFERROR(IF(AND(OR(AI184="App",AI184="Middleware",AI184="Cloud"),OR(AO184="Method",AO184="CRM")),TRUE(),FALSE()),FALSE()))</f>
        <v>0</v>
      </c>
      <c r="CE184" s="50" t="b">
        <f aca="false">IF(Configuration!$C$18="No","",IFERROR(IF(N(AN184)&gt;=Configuration!$C$45,TRUE(),FALSE()),FALSE()))</f>
        <v>0</v>
      </c>
      <c r="CF184" s="50" t="b">
        <f aca="false">IF(Configuration!$C$19="No","",IFERROR(IF(BE184&lt;&gt;"",TRUE(),FALSE()),FALSE()))</f>
        <v>0</v>
      </c>
      <c r="CG184" s="50" t="b">
        <f aca="false">IF(Configuration!$C$20="No","",IFERROR(IF(AO184&lt;&gt;"",TRUE(),FALSE()),FALSE()))</f>
        <v>0</v>
      </c>
      <c r="CH184" s="50" t="b">
        <f aca="false">IF(Configuration!$C$21="No","",IFERROR(IF(OR(N(AS184)&gt;=Configuration!$C$46,N(AT184)&gt;=Configuration!$C$47),TRUE(),FALSE()),FALSE()))</f>
        <v>0</v>
      </c>
      <c r="CI184" s="50" t="b">
        <f aca="false">IF(Configuration!$C$22="No","",IFERROR(IF(BB184="Yes",TRUE(),FALSE()),FALSE()))</f>
        <v>0</v>
      </c>
      <c r="CJ184" s="50" t="b">
        <f aca="false">IF(Configuration!$C$23="No","",IFERROR(IF(N(AV184)&gt;=Configuration!$C$48,TRUE(),FALSE()),FALSE()))</f>
        <v>0</v>
      </c>
      <c r="CK184" s="50" t="b">
        <f aca="false">IF(Configuration!$C$24="No","",IFERROR(IF(N(AY184)&gt;0,TRUE(),FALSE()),FALSE()))</f>
        <v>0</v>
      </c>
      <c r="CL184" s="50" t="b">
        <f aca="false">IF(Configuration!$C$25="No","",IFERROR(IF(OR(N(AP184)=3,N(AP184)&lt;=1),TRUE(),FALSE()),FALSE()))</f>
        <v>1</v>
      </c>
      <c r="CM184" s="50" t="b">
        <f aca="false">IF(Configuration!$C$26="No","",IFERROR(IF(N(BF184)&gt;=Configuration!$C$49,TRUE(),FALSE()),FALSE()))</f>
        <v>0</v>
      </c>
      <c r="CN184" s="50" t="b">
        <f aca="false">IF(Configuration!$C$27="No","",IFERROR(IF(BD184&lt;&gt;"",TRUE(),FALSE()),FALSE()))</f>
        <v>0</v>
      </c>
      <c r="CO184" s="50" t="b">
        <f aca="false">IF(Configuration!$C$28="No","",IFERROR(IF(N(AU184)&gt;=Configuration!$C$50,TRUE(),FALSE()),FALSE()))</f>
        <v>0</v>
      </c>
      <c r="CP184" s="50" t="b">
        <f aca="false">IF(Configuration!$C$29="No","",IFERROR(IF(AND(N(AR184)&gt;=Configuration!$C$51,AG184&lt;&gt;""),TRUE(),FALSE()),FALSE()))</f>
        <v>0</v>
      </c>
      <c r="CQ184" s="50" t="b">
        <f aca="false">IF(Configuration!$C$30="No","",IFERROR(IF(OR(AW184="Pending",AX184="Yes"),TRUE(),FALSE()),FALSE()))</f>
        <v>0</v>
      </c>
      <c r="CR184" s="50" t="b">
        <f aca="false">IF(Configuration!$C$31="No","",IFERROR(IF(AND(N(BG184)&gt;=Configuration!$C$52,N(AP184)&gt;=1),TRUE(),FALSE()),FALSE()))</f>
        <v>0</v>
      </c>
      <c r="CS184" s="50" t="b">
        <f aca="false">IF(Configuration!$C$32="No","",IFERROR(IF(AND(N(AR184)&gt;=1,OR(AG184&lt;&gt;"",AM184&lt;&gt;"")),TRUE(),FALSE()),FALSE()))</f>
        <v>0</v>
      </c>
      <c r="CT184" s="50" t="b">
        <f aca="false">IF(Configuration!$C$33="No","",IFERROR(IF(AG184&lt;&gt;"",TRUE(),FALSE()),FALSE()))</f>
        <v>0</v>
      </c>
      <c r="CU184" s="50" t="b">
        <f aca="false">IF(Configuration!$C$34="No","",IFERROR(IF(AX184="Yes",TRUE(),FALSE()),FALSE()))</f>
        <v>0</v>
      </c>
      <c r="CV184" s="50" t="b">
        <f aca="false">IF(Configuration!$C$35="No","",IFERROR(IF(OR(BO184="Partial",BO184="Full"),TRUE(),FALSE()),FALSE()))</f>
        <v>0</v>
      </c>
      <c r="CW184" s="50" t="b">
        <f aca="false">IF(Configuration!$C$36="No","",IFERROR(IF(BM184="Survived",TRUE(),FALSE()),FALSE()))</f>
        <v>0</v>
      </c>
      <c r="CX184" s="50" t="b">
        <f aca="false">IF(Configuration!$C$37="No","",IFERROR(IF(AND(BN184="Clean",BP184="None"),TRUE(),FALSE()),FALSE()))</f>
        <v>0</v>
      </c>
      <c r="CY184" s="50" t="b">
        <f aca="false">IF(Configuration!$C$38="No","",IFERROR(IF(N(BK184)&gt;=Configuration!$C$53,TRUE(),FALSE()),FALSE()))</f>
        <v>0</v>
      </c>
      <c r="CZ184" s="50" t="b">
        <f aca="false">IF(Configuration!$C$39="No","",IFERROR(IF(AND(N(BS184)&gt;=2,N(BF184)&gt;=2),TRUE(),FALSE()),FALSE()))</f>
        <v>0</v>
      </c>
      <c r="DA184" s="50" t="b">
        <f aca="false">IF(Configuration!$C$40="No","",IFERROR(IF(OR(N(BG184)&lt;=Configuration!$C$56,N(AY184)&lt;Configuration!$C$57,N(BH184)&lt;=Configuration!$C$58),TRUE(),FALSE()),FALSE()))</f>
        <v>1</v>
      </c>
      <c r="DB184" s="50" t="b">
        <f aca="false">IF(Configuration!$C$41="No","",IFERROR(IF(AND(N(AY184)&gt;=Configuration!$C$54,N(AY184)&lt;=Configuration!$C$55),TRUE(),FALSE()),FALSE()))</f>
        <v>0</v>
      </c>
      <c r="DC184" s="50" t="b">
        <f aca="false">IF(Configuration!$C$42="No","",IFERROR(IF(AND(AG184&lt;&gt;"",AJ184&lt;&gt;""),TRUE(),FALSE()),FALSE()))</f>
        <v>0</v>
      </c>
      <c r="DD184" s="51" t="n">
        <f aca="false">COUNTIF(BW184:DC184,TRUE())</f>
        <v>2</v>
      </c>
    </row>
    <row r="185" customFormat="false" ht="15" hidden="false" customHeight="true" outlineLevel="0" collapsed="false">
      <c r="A185" s="18" t="n">
        <v>146</v>
      </c>
      <c r="B185" s="44"/>
      <c r="C185" s="44"/>
      <c r="D185" s="44"/>
      <c r="E185" s="44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6" t="str">
        <f aca="false">IFERROR(IF(F185&lt;&gt;"",F185,""),"")</f>
        <v/>
      </c>
      <c r="AF185" s="46" t="str">
        <f aca="false">IFERROR(IF(G185&lt;&gt;"",G185,""),"")</f>
        <v/>
      </c>
      <c r="AG185" s="46" t="str">
        <f aca="false">IFERROR(IF(AA185&lt;&gt;"",AA185,IF(R185&lt;&gt;"",R185,"")),"")</f>
        <v/>
      </c>
      <c r="AH185" s="46" t="str">
        <f aca="false">IFERROR(IF(AB185&lt;&gt;"",AB185,IF(S185&lt;&gt;"",S185,"")),"")</f>
        <v/>
      </c>
      <c r="AI185" s="47"/>
      <c r="AJ185" s="47"/>
      <c r="AK185" s="47"/>
      <c r="AL185" s="47"/>
      <c r="AM185" s="47"/>
      <c r="AN185" s="47"/>
      <c r="AO185" s="47"/>
      <c r="AP185" s="47"/>
      <c r="AQ185" s="46" t="str">
        <f aca="false">IFERROR(IF(Y185&lt;&gt;"",VALUE(Y185),""),"")</f>
        <v/>
      </c>
      <c r="AR185" s="47"/>
      <c r="AS185" s="47"/>
      <c r="AT185" s="47"/>
      <c r="AU185" s="47"/>
      <c r="AV185" s="46" t="str">
        <f aca="false">IFERROR(IF(T185&lt;&gt;"",VALUE(T185),""),"")</f>
        <v/>
      </c>
      <c r="AW185" s="46" t="str">
        <f aca="false">IFERROR(IF(N185="","",IF(OR(ISNUMBER(SEARCH("grant",N185)),ISNUMBER(SEARCH("B",AC185))),"Granted",IF(OR(ISNUMBER(SEARCH("pend",N185)),ISNUMBER(SEARCH("A",AC185))),"Pending",IF(ISNUMBER(SEARCH("expir",N185)),"Expired",N185)))),"")</f>
        <v/>
      </c>
      <c r="AX185" s="47"/>
      <c r="AY185" s="46" t="str">
        <f aca="true">IFERROR(IF(M185&lt;&gt;"",ROUND(VALUE(M185),1),IF(L185&lt;&gt;"",ROUND(MAX(0,(DATEVALUE(TEXT(L185,"YYYY-MM-DD"))-TODAY())/365.25),1),"")),"")</f>
        <v/>
      </c>
      <c r="AZ185" s="46" t="str">
        <f aca="false">IFERROR(IF(O185&lt;&gt;"",O185,""),"")</f>
        <v/>
      </c>
      <c r="BA185" s="46" t="str">
        <f aca="false">IFERROR(IF(U185&lt;&gt;"",SUBSTITUTE(SUBSTITUTE(U185,"; ",", "),";",","),""),"")</f>
        <v/>
      </c>
      <c r="BB185" s="47"/>
      <c r="BC185" s="47"/>
      <c r="BD185" s="47"/>
      <c r="BE185" s="47"/>
      <c r="BF185" s="47"/>
      <c r="BG185" s="47"/>
      <c r="BH185" s="47"/>
      <c r="BI185" s="47"/>
      <c r="BJ185" s="47"/>
      <c r="BK185" s="46" t="str">
        <f aca="false">IFERROR(IF(W185&lt;&gt;"",VALUE(W185),""),"")</f>
        <v/>
      </c>
      <c r="BL185" s="46" t="str">
        <f aca="false">IFERROR(IF(X185&lt;&gt;"",VALUE(X185),""),"")</f>
        <v/>
      </c>
      <c r="BM185" s="46" t="str">
        <f aca="false">IFERROR(IF(AD185="","None",IF(ISNUMBER(SEARCH("surv",AD185)),"Survived",IF(ISNUMBER(SEARCH("pend",AD185)),"Pending",IF(ISNUMBER(SEARCH("yes",AD185)),"Pending","None")))),"None")</f>
        <v>None</v>
      </c>
      <c r="BN185" s="47"/>
      <c r="BO185" s="47"/>
      <c r="BP185" s="47"/>
      <c r="BQ185" s="47"/>
      <c r="BR185" s="47"/>
      <c r="BS185" s="47"/>
      <c r="BT185" s="47"/>
      <c r="BU185" s="48" t="n">
        <f aca="false">IFERROR(COUNTA(AE185:BT185)/42,0)</f>
        <v>0.30952380952381</v>
      </c>
      <c r="BV185" s="49"/>
      <c r="BW185" s="50" t="b">
        <f aca="false">IF(Configuration!$C$10="No","",IFERROR(IF(AG185&lt;&gt;"",TRUE(),FALSE()),FALSE()))</f>
        <v>0</v>
      </c>
      <c r="BX185" s="50" t="b">
        <f aca="false">IF(Configuration!$C$11="No","",IFERROR(IF(AND(N(AL185)&gt;=Configuration!$C$44,AM185&lt;&gt;""),TRUE(),FALSE()),FALSE()))</f>
        <v>0</v>
      </c>
      <c r="BY185" s="50" t="b">
        <f aca="false">IF(Configuration!$C$12="No","",IFERROR(IF(AJ185&lt;&gt;"",TRUE(),FALSE()),FALSE()))</f>
        <v>0</v>
      </c>
      <c r="BZ185" s="50" t="b">
        <f aca="false">IF(Configuration!$C$13="No","",IFERROR(IF(AI185&lt;&gt;"",TRUE(),FALSE()),FALSE()))</f>
        <v>0</v>
      </c>
      <c r="CA185" s="50" t="b">
        <f aca="false">IF(Configuration!$C$14="No","",IFERROR(IF(AK185&lt;&gt;"",TRUE(),FALSE()),FALSE()))</f>
        <v>0</v>
      </c>
      <c r="CB185" s="50" t="b">
        <f aca="false">IF(Configuration!$C$15="No","",IFERROR(IF(AND(OR(ISNUMBER(SEARCH("process",AG185)),ISNUMBER(SEARCH("fab",AG185)),ISNUMBER(SEARCH("manufac",AG185))),AO185="Method"),TRUE(),FALSE()),FALSE()))</f>
        <v>0</v>
      </c>
      <c r="CC185" s="50" t="b">
        <f aca="false">IF(Configuration!$C$16="No","",IFERROR(IF(AND(OR(ISNUMBER(SEARCH("material",AG185)),ISNUMBER(SEARCH("chem",AG185)),ISNUMBER(SEARCH("battery",AG185)),ISNUMBER(SEARCH("electrolyte",AG185)),ISNUMBER(SEARCH("polymer",AG185))),OR(AO185="Apparatus",AO185="Method")),TRUE(),FALSE()),FALSE()))</f>
        <v>0</v>
      </c>
      <c r="CD185" s="50" t="b">
        <f aca="false">IF(Configuration!$C$17="No","",IFERROR(IF(AND(OR(AI185="App",AI185="Middleware",AI185="Cloud"),OR(AO185="Method",AO185="CRM")),TRUE(),FALSE()),FALSE()))</f>
        <v>0</v>
      </c>
      <c r="CE185" s="50" t="b">
        <f aca="false">IF(Configuration!$C$18="No","",IFERROR(IF(N(AN185)&gt;=Configuration!$C$45,TRUE(),FALSE()),FALSE()))</f>
        <v>0</v>
      </c>
      <c r="CF185" s="50" t="b">
        <f aca="false">IF(Configuration!$C$19="No","",IFERROR(IF(BE185&lt;&gt;"",TRUE(),FALSE()),FALSE()))</f>
        <v>0</v>
      </c>
      <c r="CG185" s="50" t="b">
        <f aca="false">IF(Configuration!$C$20="No","",IFERROR(IF(AO185&lt;&gt;"",TRUE(),FALSE()),FALSE()))</f>
        <v>0</v>
      </c>
      <c r="CH185" s="50" t="b">
        <f aca="false">IF(Configuration!$C$21="No","",IFERROR(IF(OR(N(AS185)&gt;=Configuration!$C$46,N(AT185)&gt;=Configuration!$C$47),TRUE(),FALSE()),FALSE()))</f>
        <v>0</v>
      </c>
      <c r="CI185" s="50" t="b">
        <f aca="false">IF(Configuration!$C$22="No","",IFERROR(IF(BB185="Yes",TRUE(),FALSE()),FALSE()))</f>
        <v>0</v>
      </c>
      <c r="CJ185" s="50" t="b">
        <f aca="false">IF(Configuration!$C$23="No","",IFERROR(IF(N(AV185)&gt;=Configuration!$C$48,TRUE(),FALSE()),FALSE()))</f>
        <v>0</v>
      </c>
      <c r="CK185" s="50" t="b">
        <f aca="false">IF(Configuration!$C$24="No","",IFERROR(IF(N(AY185)&gt;0,TRUE(),FALSE()),FALSE()))</f>
        <v>0</v>
      </c>
      <c r="CL185" s="50" t="b">
        <f aca="false">IF(Configuration!$C$25="No","",IFERROR(IF(OR(N(AP185)=3,N(AP185)&lt;=1),TRUE(),FALSE()),FALSE()))</f>
        <v>1</v>
      </c>
      <c r="CM185" s="50" t="b">
        <f aca="false">IF(Configuration!$C$26="No","",IFERROR(IF(N(BF185)&gt;=Configuration!$C$49,TRUE(),FALSE()),FALSE()))</f>
        <v>0</v>
      </c>
      <c r="CN185" s="50" t="b">
        <f aca="false">IF(Configuration!$C$27="No","",IFERROR(IF(BD185&lt;&gt;"",TRUE(),FALSE()),FALSE()))</f>
        <v>0</v>
      </c>
      <c r="CO185" s="50" t="b">
        <f aca="false">IF(Configuration!$C$28="No","",IFERROR(IF(N(AU185)&gt;=Configuration!$C$50,TRUE(),FALSE()),FALSE()))</f>
        <v>0</v>
      </c>
      <c r="CP185" s="50" t="b">
        <f aca="false">IF(Configuration!$C$29="No","",IFERROR(IF(AND(N(AR185)&gt;=Configuration!$C$51,AG185&lt;&gt;""),TRUE(),FALSE()),FALSE()))</f>
        <v>0</v>
      </c>
      <c r="CQ185" s="50" t="b">
        <f aca="false">IF(Configuration!$C$30="No","",IFERROR(IF(OR(AW185="Pending",AX185="Yes"),TRUE(),FALSE()),FALSE()))</f>
        <v>0</v>
      </c>
      <c r="CR185" s="50" t="b">
        <f aca="false">IF(Configuration!$C$31="No","",IFERROR(IF(AND(N(BG185)&gt;=Configuration!$C$52,N(AP185)&gt;=1),TRUE(),FALSE()),FALSE()))</f>
        <v>0</v>
      </c>
      <c r="CS185" s="50" t="b">
        <f aca="false">IF(Configuration!$C$32="No","",IFERROR(IF(AND(N(AR185)&gt;=1,OR(AG185&lt;&gt;"",AM185&lt;&gt;"")),TRUE(),FALSE()),FALSE()))</f>
        <v>0</v>
      </c>
      <c r="CT185" s="50" t="b">
        <f aca="false">IF(Configuration!$C$33="No","",IFERROR(IF(AG185&lt;&gt;"",TRUE(),FALSE()),FALSE()))</f>
        <v>0</v>
      </c>
      <c r="CU185" s="50" t="b">
        <f aca="false">IF(Configuration!$C$34="No","",IFERROR(IF(AX185="Yes",TRUE(),FALSE()),FALSE()))</f>
        <v>0</v>
      </c>
      <c r="CV185" s="50" t="b">
        <f aca="false">IF(Configuration!$C$35="No","",IFERROR(IF(OR(BO185="Partial",BO185="Full"),TRUE(),FALSE()),FALSE()))</f>
        <v>0</v>
      </c>
      <c r="CW185" s="50" t="b">
        <f aca="false">IF(Configuration!$C$36="No","",IFERROR(IF(BM185="Survived",TRUE(),FALSE()),FALSE()))</f>
        <v>0</v>
      </c>
      <c r="CX185" s="50" t="b">
        <f aca="false">IF(Configuration!$C$37="No","",IFERROR(IF(AND(BN185="Clean",BP185="None"),TRUE(),FALSE()),FALSE()))</f>
        <v>0</v>
      </c>
      <c r="CY185" s="50" t="b">
        <f aca="false">IF(Configuration!$C$38="No","",IFERROR(IF(N(BK185)&gt;=Configuration!$C$53,TRUE(),FALSE()),FALSE()))</f>
        <v>0</v>
      </c>
      <c r="CZ185" s="50" t="b">
        <f aca="false">IF(Configuration!$C$39="No","",IFERROR(IF(AND(N(BS185)&gt;=2,N(BF185)&gt;=2),TRUE(),FALSE()),FALSE()))</f>
        <v>0</v>
      </c>
      <c r="DA185" s="50" t="b">
        <f aca="false">IF(Configuration!$C$40="No","",IFERROR(IF(OR(N(BG185)&lt;=Configuration!$C$56,N(AY185)&lt;Configuration!$C$57,N(BH185)&lt;=Configuration!$C$58),TRUE(),FALSE()),FALSE()))</f>
        <v>1</v>
      </c>
      <c r="DB185" s="50" t="b">
        <f aca="false">IF(Configuration!$C$41="No","",IFERROR(IF(AND(N(AY185)&gt;=Configuration!$C$54,N(AY185)&lt;=Configuration!$C$55),TRUE(),FALSE()),FALSE()))</f>
        <v>0</v>
      </c>
      <c r="DC185" s="50" t="b">
        <f aca="false">IF(Configuration!$C$42="No","",IFERROR(IF(AND(AG185&lt;&gt;"",AJ185&lt;&gt;""),TRUE(),FALSE()),FALSE()))</f>
        <v>0</v>
      </c>
      <c r="DD185" s="51" t="n">
        <f aca="false">COUNTIF(BW185:DC185,TRUE())</f>
        <v>2</v>
      </c>
    </row>
    <row r="186" customFormat="false" ht="15" hidden="false" customHeight="true" outlineLevel="0" collapsed="false">
      <c r="A186" s="18" t="n">
        <v>147</v>
      </c>
      <c r="B186" s="44"/>
      <c r="C186" s="44"/>
      <c r="D186" s="44"/>
      <c r="E186" s="44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6" t="str">
        <f aca="false">IFERROR(IF(F186&lt;&gt;"",F186,""),"")</f>
        <v/>
      </c>
      <c r="AF186" s="46" t="str">
        <f aca="false">IFERROR(IF(G186&lt;&gt;"",G186,""),"")</f>
        <v/>
      </c>
      <c r="AG186" s="46" t="str">
        <f aca="false">IFERROR(IF(AA186&lt;&gt;"",AA186,IF(R186&lt;&gt;"",R186,"")),"")</f>
        <v/>
      </c>
      <c r="AH186" s="46" t="str">
        <f aca="false">IFERROR(IF(AB186&lt;&gt;"",AB186,IF(S186&lt;&gt;"",S186,"")),"")</f>
        <v/>
      </c>
      <c r="AI186" s="47"/>
      <c r="AJ186" s="47"/>
      <c r="AK186" s="47"/>
      <c r="AL186" s="47"/>
      <c r="AM186" s="47"/>
      <c r="AN186" s="47"/>
      <c r="AO186" s="47"/>
      <c r="AP186" s="47"/>
      <c r="AQ186" s="46" t="str">
        <f aca="false">IFERROR(IF(Y186&lt;&gt;"",VALUE(Y186),""),"")</f>
        <v/>
      </c>
      <c r="AR186" s="47"/>
      <c r="AS186" s="47"/>
      <c r="AT186" s="47"/>
      <c r="AU186" s="47"/>
      <c r="AV186" s="46" t="str">
        <f aca="false">IFERROR(IF(T186&lt;&gt;"",VALUE(T186),""),"")</f>
        <v/>
      </c>
      <c r="AW186" s="46" t="str">
        <f aca="false">IFERROR(IF(N186="","",IF(OR(ISNUMBER(SEARCH("grant",N186)),ISNUMBER(SEARCH("B",AC186))),"Granted",IF(OR(ISNUMBER(SEARCH("pend",N186)),ISNUMBER(SEARCH("A",AC186))),"Pending",IF(ISNUMBER(SEARCH("expir",N186)),"Expired",N186)))),"")</f>
        <v/>
      </c>
      <c r="AX186" s="47"/>
      <c r="AY186" s="46" t="str">
        <f aca="true">IFERROR(IF(M186&lt;&gt;"",ROUND(VALUE(M186),1),IF(L186&lt;&gt;"",ROUND(MAX(0,(DATEVALUE(TEXT(L186,"YYYY-MM-DD"))-TODAY())/365.25),1),"")),"")</f>
        <v/>
      </c>
      <c r="AZ186" s="46" t="str">
        <f aca="false">IFERROR(IF(O186&lt;&gt;"",O186,""),"")</f>
        <v/>
      </c>
      <c r="BA186" s="46" t="str">
        <f aca="false">IFERROR(IF(U186&lt;&gt;"",SUBSTITUTE(SUBSTITUTE(U186,"; ",", "),";",","),""),"")</f>
        <v/>
      </c>
      <c r="BB186" s="47"/>
      <c r="BC186" s="47"/>
      <c r="BD186" s="47"/>
      <c r="BE186" s="47"/>
      <c r="BF186" s="47"/>
      <c r="BG186" s="47"/>
      <c r="BH186" s="47"/>
      <c r="BI186" s="47"/>
      <c r="BJ186" s="47"/>
      <c r="BK186" s="46" t="str">
        <f aca="false">IFERROR(IF(W186&lt;&gt;"",VALUE(W186),""),"")</f>
        <v/>
      </c>
      <c r="BL186" s="46" t="str">
        <f aca="false">IFERROR(IF(X186&lt;&gt;"",VALUE(X186),""),"")</f>
        <v/>
      </c>
      <c r="BM186" s="46" t="str">
        <f aca="false">IFERROR(IF(AD186="","None",IF(ISNUMBER(SEARCH("surv",AD186)),"Survived",IF(ISNUMBER(SEARCH("pend",AD186)),"Pending",IF(ISNUMBER(SEARCH("yes",AD186)),"Pending","None")))),"None")</f>
        <v>None</v>
      </c>
      <c r="BN186" s="47"/>
      <c r="BO186" s="47"/>
      <c r="BP186" s="47"/>
      <c r="BQ186" s="47"/>
      <c r="BR186" s="47"/>
      <c r="BS186" s="47"/>
      <c r="BT186" s="47"/>
      <c r="BU186" s="48" t="n">
        <f aca="false">IFERROR(COUNTA(AE186:BT186)/42,0)</f>
        <v>0.30952380952381</v>
      </c>
      <c r="BV186" s="49"/>
      <c r="BW186" s="50" t="b">
        <f aca="false">IF(Configuration!$C$10="No","",IFERROR(IF(AG186&lt;&gt;"",TRUE(),FALSE()),FALSE()))</f>
        <v>0</v>
      </c>
      <c r="BX186" s="50" t="b">
        <f aca="false">IF(Configuration!$C$11="No","",IFERROR(IF(AND(N(AL186)&gt;=Configuration!$C$44,AM186&lt;&gt;""),TRUE(),FALSE()),FALSE()))</f>
        <v>0</v>
      </c>
      <c r="BY186" s="50" t="b">
        <f aca="false">IF(Configuration!$C$12="No","",IFERROR(IF(AJ186&lt;&gt;"",TRUE(),FALSE()),FALSE()))</f>
        <v>0</v>
      </c>
      <c r="BZ186" s="50" t="b">
        <f aca="false">IF(Configuration!$C$13="No","",IFERROR(IF(AI186&lt;&gt;"",TRUE(),FALSE()),FALSE()))</f>
        <v>0</v>
      </c>
      <c r="CA186" s="50" t="b">
        <f aca="false">IF(Configuration!$C$14="No","",IFERROR(IF(AK186&lt;&gt;"",TRUE(),FALSE()),FALSE()))</f>
        <v>0</v>
      </c>
      <c r="CB186" s="50" t="b">
        <f aca="false">IF(Configuration!$C$15="No","",IFERROR(IF(AND(OR(ISNUMBER(SEARCH("process",AG186)),ISNUMBER(SEARCH("fab",AG186)),ISNUMBER(SEARCH("manufac",AG186))),AO186="Method"),TRUE(),FALSE()),FALSE()))</f>
        <v>0</v>
      </c>
      <c r="CC186" s="50" t="b">
        <f aca="false">IF(Configuration!$C$16="No","",IFERROR(IF(AND(OR(ISNUMBER(SEARCH("material",AG186)),ISNUMBER(SEARCH("chem",AG186)),ISNUMBER(SEARCH("battery",AG186)),ISNUMBER(SEARCH("electrolyte",AG186)),ISNUMBER(SEARCH("polymer",AG186))),OR(AO186="Apparatus",AO186="Method")),TRUE(),FALSE()),FALSE()))</f>
        <v>0</v>
      </c>
      <c r="CD186" s="50" t="b">
        <f aca="false">IF(Configuration!$C$17="No","",IFERROR(IF(AND(OR(AI186="App",AI186="Middleware",AI186="Cloud"),OR(AO186="Method",AO186="CRM")),TRUE(),FALSE()),FALSE()))</f>
        <v>0</v>
      </c>
      <c r="CE186" s="50" t="b">
        <f aca="false">IF(Configuration!$C$18="No","",IFERROR(IF(N(AN186)&gt;=Configuration!$C$45,TRUE(),FALSE()),FALSE()))</f>
        <v>0</v>
      </c>
      <c r="CF186" s="50" t="b">
        <f aca="false">IF(Configuration!$C$19="No","",IFERROR(IF(BE186&lt;&gt;"",TRUE(),FALSE()),FALSE()))</f>
        <v>0</v>
      </c>
      <c r="CG186" s="50" t="b">
        <f aca="false">IF(Configuration!$C$20="No","",IFERROR(IF(AO186&lt;&gt;"",TRUE(),FALSE()),FALSE()))</f>
        <v>0</v>
      </c>
      <c r="CH186" s="50" t="b">
        <f aca="false">IF(Configuration!$C$21="No","",IFERROR(IF(OR(N(AS186)&gt;=Configuration!$C$46,N(AT186)&gt;=Configuration!$C$47),TRUE(),FALSE()),FALSE()))</f>
        <v>0</v>
      </c>
      <c r="CI186" s="50" t="b">
        <f aca="false">IF(Configuration!$C$22="No","",IFERROR(IF(BB186="Yes",TRUE(),FALSE()),FALSE()))</f>
        <v>0</v>
      </c>
      <c r="CJ186" s="50" t="b">
        <f aca="false">IF(Configuration!$C$23="No","",IFERROR(IF(N(AV186)&gt;=Configuration!$C$48,TRUE(),FALSE()),FALSE()))</f>
        <v>0</v>
      </c>
      <c r="CK186" s="50" t="b">
        <f aca="false">IF(Configuration!$C$24="No","",IFERROR(IF(N(AY186)&gt;0,TRUE(),FALSE()),FALSE()))</f>
        <v>0</v>
      </c>
      <c r="CL186" s="50" t="b">
        <f aca="false">IF(Configuration!$C$25="No","",IFERROR(IF(OR(N(AP186)=3,N(AP186)&lt;=1),TRUE(),FALSE()),FALSE()))</f>
        <v>1</v>
      </c>
      <c r="CM186" s="50" t="b">
        <f aca="false">IF(Configuration!$C$26="No","",IFERROR(IF(N(BF186)&gt;=Configuration!$C$49,TRUE(),FALSE()),FALSE()))</f>
        <v>0</v>
      </c>
      <c r="CN186" s="50" t="b">
        <f aca="false">IF(Configuration!$C$27="No","",IFERROR(IF(BD186&lt;&gt;"",TRUE(),FALSE()),FALSE()))</f>
        <v>0</v>
      </c>
      <c r="CO186" s="50" t="b">
        <f aca="false">IF(Configuration!$C$28="No","",IFERROR(IF(N(AU186)&gt;=Configuration!$C$50,TRUE(),FALSE()),FALSE()))</f>
        <v>0</v>
      </c>
      <c r="CP186" s="50" t="b">
        <f aca="false">IF(Configuration!$C$29="No","",IFERROR(IF(AND(N(AR186)&gt;=Configuration!$C$51,AG186&lt;&gt;""),TRUE(),FALSE()),FALSE()))</f>
        <v>0</v>
      </c>
      <c r="CQ186" s="50" t="b">
        <f aca="false">IF(Configuration!$C$30="No","",IFERROR(IF(OR(AW186="Pending",AX186="Yes"),TRUE(),FALSE()),FALSE()))</f>
        <v>0</v>
      </c>
      <c r="CR186" s="50" t="b">
        <f aca="false">IF(Configuration!$C$31="No","",IFERROR(IF(AND(N(BG186)&gt;=Configuration!$C$52,N(AP186)&gt;=1),TRUE(),FALSE()),FALSE()))</f>
        <v>0</v>
      </c>
      <c r="CS186" s="50" t="b">
        <f aca="false">IF(Configuration!$C$32="No","",IFERROR(IF(AND(N(AR186)&gt;=1,OR(AG186&lt;&gt;"",AM186&lt;&gt;"")),TRUE(),FALSE()),FALSE()))</f>
        <v>0</v>
      </c>
      <c r="CT186" s="50" t="b">
        <f aca="false">IF(Configuration!$C$33="No","",IFERROR(IF(AG186&lt;&gt;"",TRUE(),FALSE()),FALSE()))</f>
        <v>0</v>
      </c>
      <c r="CU186" s="50" t="b">
        <f aca="false">IF(Configuration!$C$34="No","",IFERROR(IF(AX186="Yes",TRUE(),FALSE()),FALSE()))</f>
        <v>0</v>
      </c>
      <c r="CV186" s="50" t="b">
        <f aca="false">IF(Configuration!$C$35="No","",IFERROR(IF(OR(BO186="Partial",BO186="Full"),TRUE(),FALSE()),FALSE()))</f>
        <v>0</v>
      </c>
      <c r="CW186" s="50" t="b">
        <f aca="false">IF(Configuration!$C$36="No","",IFERROR(IF(BM186="Survived",TRUE(),FALSE()),FALSE()))</f>
        <v>0</v>
      </c>
      <c r="CX186" s="50" t="b">
        <f aca="false">IF(Configuration!$C$37="No","",IFERROR(IF(AND(BN186="Clean",BP186="None"),TRUE(),FALSE()),FALSE()))</f>
        <v>0</v>
      </c>
      <c r="CY186" s="50" t="b">
        <f aca="false">IF(Configuration!$C$38="No","",IFERROR(IF(N(BK186)&gt;=Configuration!$C$53,TRUE(),FALSE()),FALSE()))</f>
        <v>0</v>
      </c>
      <c r="CZ186" s="50" t="b">
        <f aca="false">IF(Configuration!$C$39="No","",IFERROR(IF(AND(N(BS186)&gt;=2,N(BF186)&gt;=2),TRUE(),FALSE()),FALSE()))</f>
        <v>0</v>
      </c>
      <c r="DA186" s="50" t="b">
        <f aca="false">IF(Configuration!$C$40="No","",IFERROR(IF(OR(N(BG186)&lt;=Configuration!$C$56,N(AY186)&lt;Configuration!$C$57,N(BH186)&lt;=Configuration!$C$58),TRUE(),FALSE()),FALSE()))</f>
        <v>1</v>
      </c>
      <c r="DB186" s="50" t="b">
        <f aca="false">IF(Configuration!$C$41="No","",IFERROR(IF(AND(N(AY186)&gt;=Configuration!$C$54,N(AY186)&lt;=Configuration!$C$55),TRUE(),FALSE()),FALSE()))</f>
        <v>0</v>
      </c>
      <c r="DC186" s="50" t="b">
        <f aca="false">IF(Configuration!$C$42="No","",IFERROR(IF(AND(AG186&lt;&gt;"",AJ186&lt;&gt;""),TRUE(),FALSE()),FALSE()))</f>
        <v>0</v>
      </c>
      <c r="DD186" s="51" t="n">
        <f aca="false">COUNTIF(BW186:DC186,TRUE())</f>
        <v>2</v>
      </c>
    </row>
    <row r="187" customFormat="false" ht="15" hidden="false" customHeight="true" outlineLevel="0" collapsed="false">
      <c r="A187" s="18" t="n">
        <v>148</v>
      </c>
      <c r="B187" s="44"/>
      <c r="C187" s="44"/>
      <c r="D187" s="44"/>
      <c r="E187" s="44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6" t="str">
        <f aca="false">IFERROR(IF(F187&lt;&gt;"",F187,""),"")</f>
        <v/>
      </c>
      <c r="AF187" s="46" t="str">
        <f aca="false">IFERROR(IF(G187&lt;&gt;"",G187,""),"")</f>
        <v/>
      </c>
      <c r="AG187" s="46" t="str">
        <f aca="false">IFERROR(IF(AA187&lt;&gt;"",AA187,IF(R187&lt;&gt;"",R187,"")),"")</f>
        <v/>
      </c>
      <c r="AH187" s="46" t="str">
        <f aca="false">IFERROR(IF(AB187&lt;&gt;"",AB187,IF(S187&lt;&gt;"",S187,"")),"")</f>
        <v/>
      </c>
      <c r="AI187" s="47"/>
      <c r="AJ187" s="47"/>
      <c r="AK187" s="47"/>
      <c r="AL187" s="47"/>
      <c r="AM187" s="47"/>
      <c r="AN187" s="47"/>
      <c r="AO187" s="47"/>
      <c r="AP187" s="47"/>
      <c r="AQ187" s="46" t="str">
        <f aca="false">IFERROR(IF(Y187&lt;&gt;"",VALUE(Y187),""),"")</f>
        <v/>
      </c>
      <c r="AR187" s="47"/>
      <c r="AS187" s="47"/>
      <c r="AT187" s="47"/>
      <c r="AU187" s="47"/>
      <c r="AV187" s="46" t="str">
        <f aca="false">IFERROR(IF(T187&lt;&gt;"",VALUE(T187),""),"")</f>
        <v/>
      </c>
      <c r="AW187" s="46" t="str">
        <f aca="false">IFERROR(IF(N187="","",IF(OR(ISNUMBER(SEARCH("grant",N187)),ISNUMBER(SEARCH("B",AC187))),"Granted",IF(OR(ISNUMBER(SEARCH("pend",N187)),ISNUMBER(SEARCH("A",AC187))),"Pending",IF(ISNUMBER(SEARCH("expir",N187)),"Expired",N187)))),"")</f>
        <v/>
      </c>
      <c r="AX187" s="47"/>
      <c r="AY187" s="46" t="str">
        <f aca="true">IFERROR(IF(M187&lt;&gt;"",ROUND(VALUE(M187),1),IF(L187&lt;&gt;"",ROUND(MAX(0,(DATEVALUE(TEXT(L187,"YYYY-MM-DD"))-TODAY())/365.25),1),"")),"")</f>
        <v/>
      </c>
      <c r="AZ187" s="46" t="str">
        <f aca="false">IFERROR(IF(O187&lt;&gt;"",O187,""),"")</f>
        <v/>
      </c>
      <c r="BA187" s="46" t="str">
        <f aca="false">IFERROR(IF(U187&lt;&gt;"",SUBSTITUTE(SUBSTITUTE(U187,"; ",", "),";",","),""),"")</f>
        <v/>
      </c>
      <c r="BB187" s="47"/>
      <c r="BC187" s="47"/>
      <c r="BD187" s="47"/>
      <c r="BE187" s="47"/>
      <c r="BF187" s="47"/>
      <c r="BG187" s="47"/>
      <c r="BH187" s="47"/>
      <c r="BI187" s="47"/>
      <c r="BJ187" s="47"/>
      <c r="BK187" s="46" t="str">
        <f aca="false">IFERROR(IF(W187&lt;&gt;"",VALUE(W187),""),"")</f>
        <v/>
      </c>
      <c r="BL187" s="46" t="str">
        <f aca="false">IFERROR(IF(X187&lt;&gt;"",VALUE(X187),""),"")</f>
        <v/>
      </c>
      <c r="BM187" s="46" t="str">
        <f aca="false">IFERROR(IF(AD187="","None",IF(ISNUMBER(SEARCH("surv",AD187)),"Survived",IF(ISNUMBER(SEARCH("pend",AD187)),"Pending",IF(ISNUMBER(SEARCH("yes",AD187)),"Pending","None")))),"None")</f>
        <v>None</v>
      </c>
      <c r="BN187" s="47"/>
      <c r="BO187" s="47"/>
      <c r="BP187" s="47"/>
      <c r="BQ187" s="47"/>
      <c r="BR187" s="47"/>
      <c r="BS187" s="47"/>
      <c r="BT187" s="47"/>
      <c r="BU187" s="48" t="n">
        <f aca="false">IFERROR(COUNTA(AE187:BT187)/42,0)</f>
        <v>0.30952380952381</v>
      </c>
      <c r="BV187" s="49"/>
      <c r="BW187" s="50" t="b">
        <f aca="false">IF(Configuration!$C$10="No","",IFERROR(IF(AG187&lt;&gt;"",TRUE(),FALSE()),FALSE()))</f>
        <v>0</v>
      </c>
      <c r="BX187" s="50" t="b">
        <f aca="false">IF(Configuration!$C$11="No","",IFERROR(IF(AND(N(AL187)&gt;=Configuration!$C$44,AM187&lt;&gt;""),TRUE(),FALSE()),FALSE()))</f>
        <v>0</v>
      </c>
      <c r="BY187" s="50" t="b">
        <f aca="false">IF(Configuration!$C$12="No","",IFERROR(IF(AJ187&lt;&gt;"",TRUE(),FALSE()),FALSE()))</f>
        <v>0</v>
      </c>
      <c r="BZ187" s="50" t="b">
        <f aca="false">IF(Configuration!$C$13="No","",IFERROR(IF(AI187&lt;&gt;"",TRUE(),FALSE()),FALSE()))</f>
        <v>0</v>
      </c>
      <c r="CA187" s="50" t="b">
        <f aca="false">IF(Configuration!$C$14="No","",IFERROR(IF(AK187&lt;&gt;"",TRUE(),FALSE()),FALSE()))</f>
        <v>0</v>
      </c>
      <c r="CB187" s="50" t="b">
        <f aca="false">IF(Configuration!$C$15="No","",IFERROR(IF(AND(OR(ISNUMBER(SEARCH("process",AG187)),ISNUMBER(SEARCH("fab",AG187)),ISNUMBER(SEARCH("manufac",AG187))),AO187="Method"),TRUE(),FALSE()),FALSE()))</f>
        <v>0</v>
      </c>
      <c r="CC187" s="50" t="b">
        <f aca="false">IF(Configuration!$C$16="No","",IFERROR(IF(AND(OR(ISNUMBER(SEARCH("material",AG187)),ISNUMBER(SEARCH("chem",AG187)),ISNUMBER(SEARCH("battery",AG187)),ISNUMBER(SEARCH("electrolyte",AG187)),ISNUMBER(SEARCH("polymer",AG187))),OR(AO187="Apparatus",AO187="Method")),TRUE(),FALSE()),FALSE()))</f>
        <v>0</v>
      </c>
      <c r="CD187" s="50" t="b">
        <f aca="false">IF(Configuration!$C$17="No","",IFERROR(IF(AND(OR(AI187="App",AI187="Middleware",AI187="Cloud"),OR(AO187="Method",AO187="CRM")),TRUE(),FALSE()),FALSE()))</f>
        <v>0</v>
      </c>
      <c r="CE187" s="50" t="b">
        <f aca="false">IF(Configuration!$C$18="No","",IFERROR(IF(N(AN187)&gt;=Configuration!$C$45,TRUE(),FALSE()),FALSE()))</f>
        <v>0</v>
      </c>
      <c r="CF187" s="50" t="b">
        <f aca="false">IF(Configuration!$C$19="No","",IFERROR(IF(BE187&lt;&gt;"",TRUE(),FALSE()),FALSE()))</f>
        <v>0</v>
      </c>
      <c r="CG187" s="50" t="b">
        <f aca="false">IF(Configuration!$C$20="No","",IFERROR(IF(AO187&lt;&gt;"",TRUE(),FALSE()),FALSE()))</f>
        <v>0</v>
      </c>
      <c r="CH187" s="50" t="b">
        <f aca="false">IF(Configuration!$C$21="No","",IFERROR(IF(OR(N(AS187)&gt;=Configuration!$C$46,N(AT187)&gt;=Configuration!$C$47),TRUE(),FALSE()),FALSE()))</f>
        <v>0</v>
      </c>
      <c r="CI187" s="50" t="b">
        <f aca="false">IF(Configuration!$C$22="No","",IFERROR(IF(BB187="Yes",TRUE(),FALSE()),FALSE()))</f>
        <v>0</v>
      </c>
      <c r="CJ187" s="50" t="b">
        <f aca="false">IF(Configuration!$C$23="No","",IFERROR(IF(N(AV187)&gt;=Configuration!$C$48,TRUE(),FALSE()),FALSE()))</f>
        <v>0</v>
      </c>
      <c r="CK187" s="50" t="b">
        <f aca="false">IF(Configuration!$C$24="No","",IFERROR(IF(N(AY187)&gt;0,TRUE(),FALSE()),FALSE()))</f>
        <v>0</v>
      </c>
      <c r="CL187" s="50" t="b">
        <f aca="false">IF(Configuration!$C$25="No","",IFERROR(IF(OR(N(AP187)=3,N(AP187)&lt;=1),TRUE(),FALSE()),FALSE()))</f>
        <v>1</v>
      </c>
      <c r="CM187" s="50" t="b">
        <f aca="false">IF(Configuration!$C$26="No","",IFERROR(IF(N(BF187)&gt;=Configuration!$C$49,TRUE(),FALSE()),FALSE()))</f>
        <v>0</v>
      </c>
      <c r="CN187" s="50" t="b">
        <f aca="false">IF(Configuration!$C$27="No","",IFERROR(IF(BD187&lt;&gt;"",TRUE(),FALSE()),FALSE()))</f>
        <v>0</v>
      </c>
      <c r="CO187" s="50" t="b">
        <f aca="false">IF(Configuration!$C$28="No","",IFERROR(IF(N(AU187)&gt;=Configuration!$C$50,TRUE(),FALSE()),FALSE()))</f>
        <v>0</v>
      </c>
      <c r="CP187" s="50" t="b">
        <f aca="false">IF(Configuration!$C$29="No","",IFERROR(IF(AND(N(AR187)&gt;=Configuration!$C$51,AG187&lt;&gt;""),TRUE(),FALSE()),FALSE()))</f>
        <v>0</v>
      </c>
      <c r="CQ187" s="50" t="b">
        <f aca="false">IF(Configuration!$C$30="No","",IFERROR(IF(OR(AW187="Pending",AX187="Yes"),TRUE(),FALSE()),FALSE()))</f>
        <v>0</v>
      </c>
      <c r="CR187" s="50" t="b">
        <f aca="false">IF(Configuration!$C$31="No","",IFERROR(IF(AND(N(BG187)&gt;=Configuration!$C$52,N(AP187)&gt;=1),TRUE(),FALSE()),FALSE()))</f>
        <v>0</v>
      </c>
      <c r="CS187" s="50" t="b">
        <f aca="false">IF(Configuration!$C$32="No","",IFERROR(IF(AND(N(AR187)&gt;=1,OR(AG187&lt;&gt;"",AM187&lt;&gt;"")),TRUE(),FALSE()),FALSE()))</f>
        <v>0</v>
      </c>
      <c r="CT187" s="50" t="b">
        <f aca="false">IF(Configuration!$C$33="No","",IFERROR(IF(AG187&lt;&gt;"",TRUE(),FALSE()),FALSE()))</f>
        <v>0</v>
      </c>
      <c r="CU187" s="50" t="b">
        <f aca="false">IF(Configuration!$C$34="No","",IFERROR(IF(AX187="Yes",TRUE(),FALSE()),FALSE()))</f>
        <v>0</v>
      </c>
      <c r="CV187" s="50" t="b">
        <f aca="false">IF(Configuration!$C$35="No","",IFERROR(IF(OR(BO187="Partial",BO187="Full"),TRUE(),FALSE()),FALSE()))</f>
        <v>0</v>
      </c>
      <c r="CW187" s="50" t="b">
        <f aca="false">IF(Configuration!$C$36="No","",IFERROR(IF(BM187="Survived",TRUE(),FALSE()),FALSE()))</f>
        <v>0</v>
      </c>
      <c r="CX187" s="50" t="b">
        <f aca="false">IF(Configuration!$C$37="No","",IFERROR(IF(AND(BN187="Clean",BP187="None"),TRUE(),FALSE()),FALSE()))</f>
        <v>0</v>
      </c>
      <c r="CY187" s="50" t="b">
        <f aca="false">IF(Configuration!$C$38="No","",IFERROR(IF(N(BK187)&gt;=Configuration!$C$53,TRUE(),FALSE()),FALSE()))</f>
        <v>0</v>
      </c>
      <c r="CZ187" s="50" t="b">
        <f aca="false">IF(Configuration!$C$39="No","",IFERROR(IF(AND(N(BS187)&gt;=2,N(BF187)&gt;=2),TRUE(),FALSE()),FALSE()))</f>
        <v>0</v>
      </c>
      <c r="DA187" s="50" t="b">
        <f aca="false">IF(Configuration!$C$40="No","",IFERROR(IF(OR(N(BG187)&lt;=Configuration!$C$56,N(AY187)&lt;Configuration!$C$57,N(BH187)&lt;=Configuration!$C$58),TRUE(),FALSE()),FALSE()))</f>
        <v>1</v>
      </c>
      <c r="DB187" s="50" t="b">
        <f aca="false">IF(Configuration!$C$41="No","",IFERROR(IF(AND(N(AY187)&gt;=Configuration!$C$54,N(AY187)&lt;=Configuration!$C$55),TRUE(),FALSE()),FALSE()))</f>
        <v>0</v>
      </c>
      <c r="DC187" s="50" t="b">
        <f aca="false">IF(Configuration!$C$42="No","",IFERROR(IF(AND(AG187&lt;&gt;"",AJ187&lt;&gt;""),TRUE(),FALSE()),FALSE()))</f>
        <v>0</v>
      </c>
      <c r="DD187" s="51" t="n">
        <f aca="false">COUNTIF(BW187:DC187,TRUE())</f>
        <v>2</v>
      </c>
    </row>
    <row r="188" customFormat="false" ht="15" hidden="false" customHeight="true" outlineLevel="0" collapsed="false">
      <c r="A188" s="18" t="n">
        <v>149</v>
      </c>
      <c r="B188" s="44"/>
      <c r="C188" s="44"/>
      <c r="D188" s="44"/>
      <c r="E188" s="44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6" t="str">
        <f aca="false">IFERROR(IF(F188&lt;&gt;"",F188,""),"")</f>
        <v/>
      </c>
      <c r="AF188" s="46" t="str">
        <f aca="false">IFERROR(IF(G188&lt;&gt;"",G188,""),"")</f>
        <v/>
      </c>
      <c r="AG188" s="46" t="str">
        <f aca="false">IFERROR(IF(AA188&lt;&gt;"",AA188,IF(R188&lt;&gt;"",R188,"")),"")</f>
        <v/>
      </c>
      <c r="AH188" s="46" t="str">
        <f aca="false">IFERROR(IF(AB188&lt;&gt;"",AB188,IF(S188&lt;&gt;"",S188,"")),"")</f>
        <v/>
      </c>
      <c r="AI188" s="47"/>
      <c r="AJ188" s="47"/>
      <c r="AK188" s="47"/>
      <c r="AL188" s="47"/>
      <c r="AM188" s="47"/>
      <c r="AN188" s="47"/>
      <c r="AO188" s="47"/>
      <c r="AP188" s="47"/>
      <c r="AQ188" s="46" t="str">
        <f aca="false">IFERROR(IF(Y188&lt;&gt;"",VALUE(Y188),""),"")</f>
        <v/>
      </c>
      <c r="AR188" s="47"/>
      <c r="AS188" s="47"/>
      <c r="AT188" s="47"/>
      <c r="AU188" s="47"/>
      <c r="AV188" s="46" t="str">
        <f aca="false">IFERROR(IF(T188&lt;&gt;"",VALUE(T188),""),"")</f>
        <v/>
      </c>
      <c r="AW188" s="46" t="str">
        <f aca="false">IFERROR(IF(N188="","",IF(OR(ISNUMBER(SEARCH("grant",N188)),ISNUMBER(SEARCH("B",AC188))),"Granted",IF(OR(ISNUMBER(SEARCH("pend",N188)),ISNUMBER(SEARCH("A",AC188))),"Pending",IF(ISNUMBER(SEARCH("expir",N188)),"Expired",N188)))),"")</f>
        <v/>
      </c>
      <c r="AX188" s="47"/>
      <c r="AY188" s="46" t="str">
        <f aca="true">IFERROR(IF(M188&lt;&gt;"",ROUND(VALUE(M188),1),IF(L188&lt;&gt;"",ROUND(MAX(0,(DATEVALUE(TEXT(L188,"YYYY-MM-DD"))-TODAY())/365.25),1),"")),"")</f>
        <v/>
      </c>
      <c r="AZ188" s="46" t="str">
        <f aca="false">IFERROR(IF(O188&lt;&gt;"",O188,""),"")</f>
        <v/>
      </c>
      <c r="BA188" s="46" t="str">
        <f aca="false">IFERROR(IF(U188&lt;&gt;"",SUBSTITUTE(SUBSTITUTE(U188,"; ",", "),";",","),""),"")</f>
        <v/>
      </c>
      <c r="BB188" s="47"/>
      <c r="BC188" s="47"/>
      <c r="BD188" s="47"/>
      <c r="BE188" s="47"/>
      <c r="BF188" s="47"/>
      <c r="BG188" s="47"/>
      <c r="BH188" s="47"/>
      <c r="BI188" s="47"/>
      <c r="BJ188" s="47"/>
      <c r="BK188" s="46" t="str">
        <f aca="false">IFERROR(IF(W188&lt;&gt;"",VALUE(W188),""),"")</f>
        <v/>
      </c>
      <c r="BL188" s="46" t="str">
        <f aca="false">IFERROR(IF(X188&lt;&gt;"",VALUE(X188),""),"")</f>
        <v/>
      </c>
      <c r="BM188" s="46" t="str">
        <f aca="false">IFERROR(IF(AD188="","None",IF(ISNUMBER(SEARCH("surv",AD188)),"Survived",IF(ISNUMBER(SEARCH("pend",AD188)),"Pending",IF(ISNUMBER(SEARCH("yes",AD188)),"Pending","None")))),"None")</f>
        <v>None</v>
      </c>
      <c r="BN188" s="47"/>
      <c r="BO188" s="47"/>
      <c r="BP188" s="47"/>
      <c r="BQ188" s="47"/>
      <c r="BR188" s="47"/>
      <c r="BS188" s="47"/>
      <c r="BT188" s="47"/>
      <c r="BU188" s="48" t="n">
        <f aca="false">IFERROR(COUNTA(AE188:BT188)/42,0)</f>
        <v>0.30952380952381</v>
      </c>
      <c r="BV188" s="49"/>
      <c r="BW188" s="50" t="b">
        <f aca="false">IF(Configuration!$C$10="No","",IFERROR(IF(AG188&lt;&gt;"",TRUE(),FALSE()),FALSE()))</f>
        <v>0</v>
      </c>
      <c r="BX188" s="50" t="b">
        <f aca="false">IF(Configuration!$C$11="No","",IFERROR(IF(AND(N(AL188)&gt;=Configuration!$C$44,AM188&lt;&gt;""),TRUE(),FALSE()),FALSE()))</f>
        <v>0</v>
      </c>
      <c r="BY188" s="50" t="b">
        <f aca="false">IF(Configuration!$C$12="No","",IFERROR(IF(AJ188&lt;&gt;"",TRUE(),FALSE()),FALSE()))</f>
        <v>0</v>
      </c>
      <c r="BZ188" s="50" t="b">
        <f aca="false">IF(Configuration!$C$13="No","",IFERROR(IF(AI188&lt;&gt;"",TRUE(),FALSE()),FALSE()))</f>
        <v>0</v>
      </c>
      <c r="CA188" s="50" t="b">
        <f aca="false">IF(Configuration!$C$14="No","",IFERROR(IF(AK188&lt;&gt;"",TRUE(),FALSE()),FALSE()))</f>
        <v>0</v>
      </c>
      <c r="CB188" s="50" t="b">
        <f aca="false">IF(Configuration!$C$15="No","",IFERROR(IF(AND(OR(ISNUMBER(SEARCH("process",AG188)),ISNUMBER(SEARCH("fab",AG188)),ISNUMBER(SEARCH("manufac",AG188))),AO188="Method"),TRUE(),FALSE()),FALSE()))</f>
        <v>0</v>
      </c>
      <c r="CC188" s="50" t="b">
        <f aca="false">IF(Configuration!$C$16="No","",IFERROR(IF(AND(OR(ISNUMBER(SEARCH("material",AG188)),ISNUMBER(SEARCH("chem",AG188)),ISNUMBER(SEARCH("battery",AG188)),ISNUMBER(SEARCH("electrolyte",AG188)),ISNUMBER(SEARCH("polymer",AG188))),OR(AO188="Apparatus",AO188="Method")),TRUE(),FALSE()),FALSE()))</f>
        <v>0</v>
      </c>
      <c r="CD188" s="50" t="b">
        <f aca="false">IF(Configuration!$C$17="No","",IFERROR(IF(AND(OR(AI188="App",AI188="Middleware",AI188="Cloud"),OR(AO188="Method",AO188="CRM")),TRUE(),FALSE()),FALSE()))</f>
        <v>0</v>
      </c>
      <c r="CE188" s="50" t="b">
        <f aca="false">IF(Configuration!$C$18="No","",IFERROR(IF(N(AN188)&gt;=Configuration!$C$45,TRUE(),FALSE()),FALSE()))</f>
        <v>0</v>
      </c>
      <c r="CF188" s="50" t="b">
        <f aca="false">IF(Configuration!$C$19="No","",IFERROR(IF(BE188&lt;&gt;"",TRUE(),FALSE()),FALSE()))</f>
        <v>0</v>
      </c>
      <c r="CG188" s="50" t="b">
        <f aca="false">IF(Configuration!$C$20="No","",IFERROR(IF(AO188&lt;&gt;"",TRUE(),FALSE()),FALSE()))</f>
        <v>0</v>
      </c>
      <c r="CH188" s="50" t="b">
        <f aca="false">IF(Configuration!$C$21="No","",IFERROR(IF(OR(N(AS188)&gt;=Configuration!$C$46,N(AT188)&gt;=Configuration!$C$47),TRUE(),FALSE()),FALSE()))</f>
        <v>0</v>
      </c>
      <c r="CI188" s="50" t="b">
        <f aca="false">IF(Configuration!$C$22="No","",IFERROR(IF(BB188="Yes",TRUE(),FALSE()),FALSE()))</f>
        <v>0</v>
      </c>
      <c r="CJ188" s="50" t="b">
        <f aca="false">IF(Configuration!$C$23="No","",IFERROR(IF(N(AV188)&gt;=Configuration!$C$48,TRUE(),FALSE()),FALSE()))</f>
        <v>0</v>
      </c>
      <c r="CK188" s="50" t="b">
        <f aca="false">IF(Configuration!$C$24="No","",IFERROR(IF(N(AY188)&gt;0,TRUE(),FALSE()),FALSE()))</f>
        <v>0</v>
      </c>
      <c r="CL188" s="50" t="b">
        <f aca="false">IF(Configuration!$C$25="No","",IFERROR(IF(OR(N(AP188)=3,N(AP188)&lt;=1),TRUE(),FALSE()),FALSE()))</f>
        <v>1</v>
      </c>
      <c r="CM188" s="50" t="b">
        <f aca="false">IF(Configuration!$C$26="No","",IFERROR(IF(N(BF188)&gt;=Configuration!$C$49,TRUE(),FALSE()),FALSE()))</f>
        <v>0</v>
      </c>
      <c r="CN188" s="50" t="b">
        <f aca="false">IF(Configuration!$C$27="No","",IFERROR(IF(BD188&lt;&gt;"",TRUE(),FALSE()),FALSE()))</f>
        <v>0</v>
      </c>
      <c r="CO188" s="50" t="b">
        <f aca="false">IF(Configuration!$C$28="No","",IFERROR(IF(N(AU188)&gt;=Configuration!$C$50,TRUE(),FALSE()),FALSE()))</f>
        <v>0</v>
      </c>
      <c r="CP188" s="50" t="b">
        <f aca="false">IF(Configuration!$C$29="No","",IFERROR(IF(AND(N(AR188)&gt;=Configuration!$C$51,AG188&lt;&gt;""),TRUE(),FALSE()),FALSE()))</f>
        <v>0</v>
      </c>
      <c r="CQ188" s="50" t="b">
        <f aca="false">IF(Configuration!$C$30="No","",IFERROR(IF(OR(AW188="Pending",AX188="Yes"),TRUE(),FALSE()),FALSE()))</f>
        <v>0</v>
      </c>
      <c r="CR188" s="50" t="b">
        <f aca="false">IF(Configuration!$C$31="No","",IFERROR(IF(AND(N(BG188)&gt;=Configuration!$C$52,N(AP188)&gt;=1),TRUE(),FALSE()),FALSE()))</f>
        <v>0</v>
      </c>
      <c r="CS188" s="50" t="b">
        <f aca="false">IF(Configuration!$C$32="No","",IFERROR(IF(AND(N(AR188)&gt;=1,OR(AG188&lt;&gt;"",AM188&lt;&gt;"")),TRUE(),FALSE()),FALSE()))</f>
        <v>0</v>
      </c>
      <c r="CT188" s="50" t="b">
        <f aca="false">IF(Configuration!$C$33="No","",IFERROR(IF(AG188&lt;&gt;"",TRUE(),FALSE()),FALSE()))</f>
        <v>0</v>
      </c>
      <c r="CU188" s="50" t="b">
        <f aca="false">IF(Configuration!$C$34="No","",IFERROR(IF(AX188="Yes",TRUE(),FALSE()),FALSE()))</f>
        <v>0</v>
      </c>
      <c r="CV188" s="50" t="b">
        <f aca="false">IF(Configuration!$C$35="No","",IFERROR(IF(OR(BO188="Partial",BO188="Full"),TRUE(),FALSE()),FALSE()))</f>
        <v>0</v>
      </c>
      <c r="CW188" s="50" t="b">
        <f aca="false">IF(Configuration!$C$36="No","",IFERROR(IF(BM188="Survived",TRUE(),FALSE()),FALSE()))</f>
        <v>0</v>
      </c>
      <c r="CX188" s="50" t="b">
        <f aca="false">IF(Configuration!$C$37="No","",IFERROR(IF(AND(BN188="Clean",BP188="None"),TRUE(),FALSE()),FALSE()))</f>
        <v>0</v>
      </c>
      <c r="CY188" s="50" t="b">
        <f aca="false">IF(Configuration!$C$38="No","",IFERROR(IF(N(BK188)&gt;=Configuration!$C$53,TRUE(),FALSE()),FALSE()))</f>
        <v>0</v>
      </c>
      <c r="CZ188" s="50" t="b">
        <f aca="false">IF(Configuration!$C$39="No","",IFERROR(IF(AND(N(BS188)&gt;=2,N(BF188)&gt;=2),TRUE(),FALSE()),FALSE()))</f>
        <v>0</v>
      </c>
      <c r="DA188" s="50" t="b">
        <f aca="false">IF(Configuration!$C$40="No","",IFERROR(IF(OR(N(BG188)&lt;=Configuration!$C$56,N(AY188)&lt;Configuration!$C$57,N(BH188)&lt;=Configuration!$C$58),TRUE(),FALSE()),FALSE()))</f>
        <v>1</v>
      </c>
      <c r="DB188" s="50" t="b">
        <f aca="false">IF(Configuration!$C$41="No","",IFERROR(IF(AND(N(AY188)&gt;=Configuration!$C$54,N(AY188)&lt;=Configuration!$C$55),TRUE(),FALSE()),FALSE()))</f>
        <v>0</v>
      </c>
      <c r="DC188" s="50" t="b">
        <f aca="false">IF(Configuration!$C$42="No","",IFERROR(IF(AND(AG188&lt;&gt;"",AJ188&lt;&gt;""),TRUE(),FALSE()),FALSE()))</f>
        <v>0</v>
      </c>
      <c r="DD188" s="51" t="n">
        <f aca="false">COUNTIF(BW188:DC188,TRUE())</f>
        <v>2</v>
      </c>
    </row>
    <row r="189" customFormat="false" ht="15" hidden="false" customHeight="true" outlineLevel="0" collapsed="false">
      <c r="A189" s="18" t="n">
        <v>150</v>
      </c>
      <c r="B189" s="44"/>
      <c r="C189" s="44"/>
      <c r="D189" s="44"/>
      <c r="E189" s="44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6" t="str">
        <f aca="false">IFERROR(IF(F189&lt;&gt;"",F189,""),"")</f>
        <v/>
      </c>
      <c r="AF189" s="46" t="str">
        <f aca="false">IFERROR(IF(G189&lt;&gt;"",G189,""),"")</f>
        <v/>
      </c>
      <c r="AG189" s="46" t="str">
        <f aca="false">IFERROR(IF(AA189&lt;&gt;"",AA189,IF(R189&lt;&gt;"",R189,"")),"")</f>
        <v/>
      </c>
      <c r="AH189" s="46" t="str">
        <f aca="false">IFERROR(IF(AB189&lt;&gt;"",AB189,IF(S189&lt;&gt;"",S189,"")),"")</f>
        <v/>
      </c>
      <c r="AI189" s="47"/>
      <c r="AJ189" s="47"/>
      <c r="AK189" s="47"/>
      <c r="AL189" s="47"/>
      <c r="AM189" s="47"/>
      <c r="AN189" s="47"/>
      <c r="AO189" s="47"/>
      <c r="AP189" s="47"/>
      <c r="AQ189" s="46" t="str">
        <f aca="false">IFERROR(IF(Y189&lt;&gt;"",VALUE(Y189),""),"")</f>
        <v/>
      </c>
      <c r="AR189" s="47"/>
      <c r="AS189" s="47"/>
      <c r="AT189" s="47"/>
      <c r="AU189" s="47"/>
      <c r="AV189" s="46" t="str">
        <f aca="false">IFERROR(IF(T189&lt;&gt;"",VALUE(T189),""),"")</f>
        <v/>
      </c>
      <c r="AW189" s="46" t="str">
        <f aca="false">IFERROR(IF(N189="","",IF(OR(ISNUMBER(SEARCH("grant",N189)),ISNUMBER(SEARCH("B",AC189))),"Granted",IF(OR(ISNUMBER(SEARCH("pend",N189)),ISNUMBER(SEARCH("A",AC189))),"Pending",IF(ISNUMBER(SEARCH("expir",N189)),"Expired",N189)))),"")</f>
        <v/>
      </c>
      <c r="AX189" s="47"/>
      <c r="AY189" s="46" t="str">
        <f aca="true">IFERROR(IF(M189&lt;&gt;"",ROUND(VALUE(M189),1),IF(L189&lt;&gt;"",ROUND(MAX(0,(DATEVALUE(TEXT(L189,"YYYY-MM-DD"))-TODAY())/365.25),1),"")),"")</f>
        <v/>
      </c>
      <c r="AZ189" s="46" t="str">
        <f aca="false">IFERROR(IF(O189&lt;&gt;"",O189,""),"")</f>
        <v/>
      </c>
      <c r="BA189" s="46" t="str">
        <f aca="false">IFERROR(IF(U189&lt;&gt;"",SUBSTITUTE(SUBSTITUTE(U189,"; ",", "),";",","),""),"")</f>
        <v/>
      </c>
      <c r="BB189" s="47"/>
      <c r="BC189" s="47"/>
      <c r="BD189" s="47"/>
      <c r="BE189" s="47"/>
      <c r="BF189" s="47"/>
      <c r="BG189" s="47"/>
      <c r="BH189" s="47"/>
      <c r="BI189" s="47"/>
      <c r="BJ189" s="47"/>
      <c r="BK189" s="46" t="str">
        <f aca="false">IFERROR(IF(W189&lt;&gt;"",VALUE(W189),""),"")</f>
        <v/>
      </c>
      <c r="BL189" s="46" t="str">
        <f aca="false">IFERROR(IF(X189&lt;&gt;"",VALUE(X189),""),"")</f>
        <v/>
      </c>
      <c r="BM189" s="46" t="str">
        <f aca="false">IFERROR(IF(AD189="","None",IF(ISNUMBER(SEARCH("surv",AD189)),"Survived",IF(ISNUMBER(SEARCH("pend",AD189)),"Pending",IF(ISNUMBER(SEARCH("yes",AD189)),"Pending","None")))),"None")</f>
        <v>None</v>
      </c>
      <c r="BN189" s="47"/>
      <c r="BO189" s="47"/>
      <c r="BP189" s="47"/>
      <c r="BQ189" s="47"/>
      <c r="BR189" s="47"/>
      <c r="BS189" s="47"/>
      <c r="BT189" s="47"/>
      <c r="BU189" s="48" t="n">
        <f aca="false">IFERROR(COUNTA(AE189:BT189)/42,0)</f>
        <v>0.30952380952381</v>
      </c>
      <c r="BV189" s="49"/>
      <c r="BW189" s="50" t="b">
        <f aca="false">IF(Configuration!$C$10="No","",IFERROR(IF(AG189&lt;&gt;"",TRUE(),FALSE()),FALSE()))</f>
        <v>0</v>
      </c>
      <c r="BX189" s="50" t="b">
        <f aca="false">IF(Configuration!$C$11="No","",IFERROR(IF(AND(N(AL189)&gt;=Configuration!$C$44,AM189&lt;&gt;""),TRUE(),FALSE()),FALSE()))</f>
        <v>0</v>
      </c>
      <c r="BY189" s="50" t="b">
        <f aca="false">IF(Configuration!$C$12="No","",IFERROR(IF(AJ189&lt;&gt;"",TRUE(),FALSE()),FALSE()))</f>
        <v>0</v>
      </c>
      <c r="BZ189" s="50" t="b">
        <f aca="false">IF(Configuration!$C$13="No","",IFERROR(IF(AI189&lt;&gt;"",TRUE(),FALSE()),FALSE()))</f>
        <v>0</v>
      </c>
      <c r="CA189" s="50" t="b">
        <f aca="false">IF(Configuration!$C$14="No","",IFERROR(IF(AK189&lt;&gt;"",TRUE(),FALSE()),FALSE()))</f>
        <v>0</v>
      </c>
      <c r="CB189" s="50" t="b">
        <f aca="false">IF(Configuration!$C$15="No","",IFERROR(IF(AND(OR(ISNUMBER(SEARCH("process",AG189)),ISNUMBER(SEARCH("fab",AG189)),ISNUMBER(SEARCH("manufac",AG189))),AO189="Method"),TRUE(),FALSE()),FALSE()))</f>
        <v>0</v>
      </c>
      <c r="CC189" s="50" t="b">
        <f aca="false">IF(Configuration!$C$16="No","",IFERROR(IF(AND(OR(ISNUMBER(SEARCH("material",AG189)),ISNUMBER(SEARCH("chem",AG189)),ISNUMBER(SEARCH("battery",AG189)),ISNUMBER(SEARCH("electrolyte",AG189)),ISNUMBER(SEARCH("polymer",AG189))),OR(AO189="Apparatus",AO189="Method")),TRUE(),FALSE()),FALSE()))</f>
        <v>0</v>
      </c>
      <c r="CD189" s="50" t="b">
        <f aca="false">IF(Configuration!$C$17="No","",IFERROR(IF(AND(OR(AI189="App",AI189="Middleware",AI189="Cloud"),OR(AO189="Method",AO189="CRM")),TRUE(),FALSE()),FALSE()))</f>
        <v>0</v>
      </c>
      <c r="CE189" s="50" t="b">
        <f aca="false">IF(Configuration!$C$18="No","",IFERROR(IF(N(AN189)&gt;=Configuration!$C$45,TRUE(),FALSE()),FALSE()))</f>
        <v>0</v>
      </c>
      <c r="CF189" s="50" t="b">
        <f aca="false">IF(Configuration!$C$19="No","",IFERROR(IF(BE189&lt;&gt;"",TRUE(),FALSE()),FALSE()))</f>
        <v>0</v>
      </c>
      <c r="CG189" s="50" t="b">
        <f aca="false">IF(Configuration!$C$20="No","",IFERROR(IF(AO189&lt;&gt;"",TRUE(),FALSE()),FALSE()))</f>
        <v>0</v>
      </c>
      <c r="CH189" s="50" t="b">
        <f aca="false">IF(Configuration!$C$21="No","",IFERROR(IF(OR(N(AS189)&gt;=Configuration!$C$46,N(AT189)&gt;=Configuration!$C$47),TRUE(),FALSE()),FALSE()))</f>
        <v>0</v>
      </c>
      <c r="CI189" s="50" t="b">
        <f aca="false">IF(Configuration!$C$22="No","",IFERROR(IF(BB189="Yes",TRUE(),FALSE()),FALSE()))</f>
        <v>0</v>
      </c>
      <c r="CJ189" s="50" t="b">
        <f aca="false">IF(Configuration!$C$23="No","",IFERROR(IF(N(AV189)&gt;=Configuration!$C$48,TRUE(),FALSE()),FALSE()))</f>
        <v>0</v>
      </c>
      <c r="CK189" s="50" t="b">
        <f aca="false">IF(Configuration!$C$24="No","",IFERROR(IF(N(AY189)&gt;0,TRUE(),FALSE()),FALSE()))</f>
        <v>0</v>
      </c>
      <c r="CL189" s="50" t="b">
        <f aca="false">IF(Configuration!$C$25="No","",IFERROR(IF(OR(N(AP189)=3,N(AP189)&lt;=1),TRUE(),FALSE()),FALSE()))</f>
        <v>1</v>
      </c>
      <c r="CM189" s="50" t="b">
        <f aca="false">IF(Configuration!$C$26="No","",IFERROR(IF(N(BF189)&gt;=Configuration!$C$49,TRUE(),FALSE()),FALSE()))</f>
        <v>0</v>
      </c>
      <c r="CN189" s="50" t="b">
        <f aca="false">IF(Configuration!$C$27="No","",IFERROR(IF(BD189&lt;&gt;"",TRUE(),FALSE()),FALSE()))</f>
        <v>0</v>
      </c>
      <c r="CO189" s="50" t="b">
        <f aca="false">IF(Configuration!$C$28="No","",IFERROR(IF(N(AU189)&gt;=Configuration!$C$50,TRUE(),FALSE()),FALSE()))</f>
        <v>0</v>
      </c>
      <c r="CP189" s="50" t="b">
        <f aca="false">IF(Configuration!$C$29="No","",IFERROR(IF(AND(N(AR189)&gt;=Configuration!$C$51,AG189&lt;&gt;""),TRUE(),FALSE()),FALSE()))</f>
        <v>0</v>
      </c>
      <c r="CQ189" s="50" t="b">
        <f aca="false">IF(Configuration!$C$30="No","",IFERROR(IF(OR(AW189="Pending",AX189="Yes"),TRUE(),FALSE()),FALSE()))</f>
        <v>0</v>
      </c>
      <c r="CR189" s="50" t="b">
        <f aca="false">IF(Configuration!$C$31="No","",IFERROR(IF(AND(N(BG189)&gt;=Configuration!$C$52,N(AP189)&gt;=1),TRUE(),FALSE()),FALSE()))</f>
        <v>0</v>
      </c>
      <c r="CS189" s="50" t="b">
        <f aca="false">IF(Configuration!$C$32="No","",IFERROR(IF(AND(N(AR189)&gt;=1,OR(AG189&lt;&gt;"",AM189&lt;&gt;"")),TRUE(),FALSE()),FALSE()))</f>
        <v>0</v>
      </c>
      <c r="CT189" s="50" t="b">
        <f aca="false">IF(Configuration!$C$33="No","",IFERROR(IF(AG189&lt;&gt;"",TRUE(),FALSE()),FALSE()))</f>
        <v>0</v>
      </c>
      <c r="CU189" s="50" t="b">
        <f aca="false">IF(Configuration!$C$34="No","",IFERROR(IF(AX189="Yes",TRUE(),FALSE()),FALSE()))</f>
        <v>0</v>
      </c>
      <c r="CV189" s="50" t="b">
        <f aca="false">IF(Configuration!$C$35="No","",IFERROR(IF(OR(BO189="Partial",BO189="Full"),TRUE(),FALSE()),FALSE()))</f>
        <v>0</v>
      </c>
      <c r="CW189" s="50" t="b">
        <f aca="false">IF(Configuration!$C$36="No","",IFERROR(IF(BM189="Survived",TRUE(),FALSE()),FALSE()))</f>
        <v>0</v>
      </c>
      <c r="CX189" s="50" t="b">
        <f aca="false">IF(Configuration!$C$37="No","",IFERROR(IF(AND(BN189="Clean",BP189="None"),TRUE(),FALSE()),FALSE()))</f>
        <v>0</v>
      </c>
      <c r="CY189" s="50" t="b">
        <f aca="false">IF(Configuration!$C$38="No","",IFERROR(IF(N(BK189)&gt;=Configuration!$C$53,TRUE(),FALSE()),FALSE()))</f>
        <v>0</v>
      </c>
      <c r="CZ189" s="50" t="b">
        <f aca="false">IF(Configuration!$C$39="No","",IFERROR(IF(AND(N(BS189)&gt;=2,N(BF189)&gt;=2),TRUE(),FALSE()),FALSE()))</f>
        <v>0</v>
      </c>
      <c r="DA189" s="50" t="b">
        <f aca="false">IF(Configuration!$C$40="No","",IFERROR(IF(OR(N(BG189)&lt;=Configuration!$C$56,N(AY189)&lt;Configuration!$C$57,N(BH189)&lt;=Configuration!$C$58),TRUE(),FALSE()),FALSE()))</f>
        <v>1</v>
      </c>
      <c r="DB189" s="50" t="b">
        <f aca="false">IF(Configuration!$C$41="No","",IFERROR(IF(AND(N(AY189)&gt;=Configuration!$C$54,N(AY189)&lt;=Configuration!$C$55),TRUE(),FALSE()),FALSE()))</f>
        <v>0</v>
      </c>
      <c r="DC189" s="50" t="b">
        <f aca="false">IF(Configuration!$C$42="No","",IFERROR(IF(AND(AG189&lt;&gt;"",AJ189&lt;&gt;""),TRUE(),FALSE()),FALSE()))</f>
        <v>0</v>
      </c>
      <c r="DD189" s="51" t="n">
        <f aca="false">COUNTIF(BW189:DC189,TRUE())</f>
        <v>2</v>
      </c>
    </row>
    <row r="190" customFormat="false" ht="15" hidden="false" customHeight="true" outlineLevel="0" collapsed="false">
      <c r="A190" s="18" t="n">
        <v>151</v>
      </c>
      <c r="B190" s="44"/>
      <c r="C190" s="44"/>
      <c r="D190" s="44"/>
      <c r="E190" s="44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6" t="str">
        <f aca="false">IFERROR(IF(F190&lt;&gt;"",F190,""),"")</f>
        <v/>
      </c>
      <c r="AF190" s="46" t="str">
        <f aca="false">IFERROR(IF(G190&lt;&gt;"",G190,""),"")</f>
        <v/>
      </c>
      <c r="AG190" s="46" t="str">
        <f aca="false">IFERROR(IF(AA190&lt;&gt;"",AA190,IF(R190&lt;&gt;"",R190,"")),"")</f>
        <v/>
      </c>
      <c r="AH190" s="46" t="str">
        <f aca="false">IFERROR(IF(AB190&lt;&gt;"",AB190,IF(S190&lt;&gt;"",S190,"")),"")</f>
        <v/>
      </c>
      <c r="AI190" s="47"/>
      <c r="AJ190" s="47"/>
      <c r="AK190" s="47"/>
      <c r="AL190" s="47"/>
      <c r="AM190" s="47"/>
      <c r="AN190" s="47"/>
      <c r="AO190" s="47"/>
      <c r="AP190" s="47"/>
      <c r="AQ190" s="46" t="str">
        <f aca="false">IFERROR(IF(Y190&lt;&gt;"",VALUE(Y190),""),"")</f>
        <v/>
      </c>
      <c r="AR190" s="47"/>
      <c r="AS190" s="47"/>
      <c r="AT190" s="47"/>
      <c r="AU190" s="47"/>
      <c r="AV190" s="46" t="str">
        <f aca="false">IFERROR(IF(T190&lt;&gt;"",VALUE(T190),""),"")</f>
        <v/>
      </c>
      <c r="AW190" s="46" t="str">
        <f aca="false">IFERROR(IF(N190="","",IF(OR(ISNUMBER(SEARCH("grant",N190)),ISNUMBER(SEARCH("B",AC190))),"Granted",IF(OR(ISNUMBER(SEARCH("pend",N190)),ISNUMBER(SEARCH("A",AC190))),"Pending",IF(ISNUMBER(SEARCH("expir",N190)),"Expired",N190)))),"")</f>
        <v/>
      </c>
      <c r="AX190" s="47"/>
      <c r="AY190" s="46" t="str">
        <f aca="true">IFERROR(IF(M190&lt;&gt;"",ROUND(VALUE(M190),1),IF(L190&lt;&gt;"",ROUND(MAX(0,(DATEVALUE(TEXT(L190,"YYYY-MM-DD"))-TODAY())/365.25),1),"")),"")</f>
        <v/>
      </c>
      <c r="AZ190" s="46" t="str">
        <f aca="false">IFERROR(IF(O190&lt;&gt;"",O190,""),"")</f>
        <v/>
      </c>
      <c r="BA190" s="46" t="str">
        <f aca="false">IFERROR(IF(U190&lt;&gt;"",SUBSTITUTE(SUBSTITUTE(U190,"; ",", "),";",","),""),"")</f>
        <v/>
      </c>
      <c r="BB190" s="47"/>
      <c r="BC190" s="47"/>
      <c r="BD190" s="47"/>
      <c r="BE190" s="47"/>
      <c r="BF190" s="47"/>
      <c r="BG190" s="47"/>
      <c r="BH190" s="47"/>
      <c r="BI190" s="47"/>
      <c r="BJ190" s="47"/>
      <c r="BK190" s="46" t="str">
        <f aca="false">IFERROR(IF(W190&lt;&gt;"",VALUE(W190),""),"")</f>
        <v/>
      </c>
      <c r="BL190" s="46" t="str">
        <f aca="false">IFERROR(IF(X190&lt;&gt;"",VALUE(X190),""),"")</f>
        <v/>
      </c>
      <c r="BM190" s="46" t="str">
        <f aca="false">IFERROR(IF(AD190="","None",IF(ISNUMBER(SEARCH("surv",AD190)),"Survived",IF(ISNUMBER(SEARCH("pend",AD190)),"Pending",IF(ISNUMBER(SEARCH("yes",AD190)),"Pending","None")))),"None")</f>
        <v>None</v>
      </c>
      <c r="BN190" s="47"/>
      <c r="BO190" s="47"/>
      <c r="BP190" s="47"/>
      <c r="BQ190" s="47"/>
      <c r="BR190" s="47"/>
      <c r="BS190" s="47"/>
      <c r="BT190" s="47"/>
      <c r="BU190" s="48" t="n">
        <f aca="false">IFERROR(COUNTA(AE190:BT190)/42,0)</f>
        <v>0.30952380952381</v>
      </c>
      <c r="BV190" s="49"/>
      <c r="BW190" s="50" t="b">
        <f aca="false">IF(Configuration!$C$10="No","",IFERROR(IF(AG190&lt;&gt;"",TRUE(),FALSE()),FALSE()))</f>
        <v>0</v>
      </c>
      <c r="BX190" s="50" t="b">
        <f aca="false">IF(Configuration!$C$11="No","",IFERROR(IF(AND(N(AL190)&gt;=Configuration!$C$44,AM190&lt;&gt;""),TRUE(),FALSE()),FALSE()))</f>
        <v>0</v>
      </c>
      <c r="BY190" s="50" t="b">
        <f aca="false">IF(Configuration!$C$12="No","",IFERROR(IF(AJ190&lt;&gt;"",TRUE(),FALSE()),FALSE()))</f>
        <v>0</v>
      </c>
      <c r="BZ190" s="50" t="b">
        <f aca="false">IF(Configuration!$C$13="No","",IFERROR(IF(AI190&lt;&gt;"",TRUE(),FALSE()),FALSE()))</f>
        <v>0</v>
      </c>
      <c r="CA190" s="50" t="b">
        <f aca="false">IF(Configuration!$C$14="No","",IFERROR(IF(AK190&lt;&gt;"",TRUE(),FALSE()),FALSE()))</f>
        <v>0</v>
      </c>
      <c r="CB190" s="50" t="b">
        <f aca="false">IF(Configuration!$C$15="No","",IFERROR(IF(AND(OR(ISNUMBER(SEARCH("process",AG190)),ISNUMBER(SEARCH("fab",AG190)),ISNUMBER(SEARCH("manufac",AG190))),AO190="Method"),TRUE(),FALSE()),FALSE()))</f>
        <v>0</v>
      </c>
      <c r="CC190" s="50" t="b">
        <f aca="false">IF(Configuration!$C$16="No","",IFERROR(IF(AND(OR(ISNUMBER(SEARCH("material",AG190)),ISNUMBER(SEARCH("chem",AG190)),ISNUMBER(SEARCH("battery",AG190)),ISNUMBER(SEARCH("electrolyte",AG190)),ISNUMBER(SEARCH("polymer",AG190))),OR(AO190="Apparatus",AO190="Method")),TRUE(),FALSE()),FALSE()))</f>
        <v>0</v>
      </c>
      <c r="CD190" s="50" t="b">
        <f aca="false">IF(Configuration!$C$17="No","",IFERROR(IF(AND(OR(AI190="App",AI190="Middleware",AI190="Cloud"),OR(AO190="Method",AO190="CRM")),TRUE(),FALSE()),FALSE()))</f>
        <v>0</v>
      </c>
      <c r="CE190" s="50" t="b">
        <f aca="false">IF(Configuration!$C$18="No","",IFERROR(IF(N(AN190)&gt;=Configuration!$C$45,TRUE(),FALSE()),FALSE()))</f>
        <v>0</v>
      </c>
      <c r="CF190" s="50" t="b">
        <f aca="false">IF(Configuration!$C$19="No","",IFERROR(IF(BE190&lt;&gt;"",TRUE(),FALSE()),FALSE()))</f>
        <v>0</v>
      </c>
      <c r="CG190" s="50" t="b">
        <f aca="false">IF(Configuration!$C$20="No","",IFERROR(IF(AO190&lt;&gt;"",TRUE(),FALSE()),FALSE()))</f>
        <v>0</v>
      </c>
      <c r="CH190" s="50" t="b">
        <f aca="false">IF(Configuration!$C$21="No","",IFERROR(IF(OR(N(AS190)&gt;=Configuration!$C$46,N(AT190)&gt;=Configuration!$C$47),TRUE(),FALSE()),FALSE()))</f>
        <v>0</v>
      </c>
      <c r="CI190" s="50" t="b">
        <f aca="false">IF(Configuration!$C$22="No","",IFERROR(IF(BB190="Yes",TRUE(),FALSE()),FALSE()))</f>
        <v>0</v>
      </c>
      <c r="CJ190" s="50" t="b">
        <f aca="false">IF(Configuration!$C$23="No","",IFERROR(IF(N(AV190)&gt;=Configuration!$C$48,TRUE(),FALSE()),FALSE()))</f>
        <v>0</v>
      </c>
      <c r="CK190" s="50" t="b">
        <f aca="false">IF(Configuration!$C$24="No","",IFERROR(IF(N(AY190)&gt;0,TRUE(),FALSE()),FALSE()))</f>
        <v>0</v>
      </c>
      <c r="CL190" s="50" t="b">
        <f aca="false">IF(Configuration!$C$25="No","",IFERROR(IF(OR(N(AP190)=3,N(AP190)&lt;=1),TRUE(),FALSE()),FALSE()))</f>
        <v>1</v>
      </c>
      <c r="CM190" s="50" t="b">
        <f aca="false">IF(Configuration!$C$26="No","",IFERROR(IF(N(BF190)&gt;=Configuration!$C$49,TRUE(),FALSE()),FALSE()))</f>
        <v>0</v>
      </c>
      <c r="CN190" s="50" t="b">
        <f aca="false">IF(Configuration!$C$27="No","",IFERROR(IF(BD190&lt;&gt;"",TRUE(),FALSE()),FALSE()))</f>
        <v>0</v>
      </c>
      <c r="CO190" s="50" t="b">
        <f aca="false">IF(Configuration!$C$28="No","",IFERROR(IF(N(AU190)&gt;=Configuration!$C$50,TRUE(),FALSE()),FALSE()))</f>
        <v>0</v>
      </c>
      <c r="CP190" s="50" t="b">
        <f aca="false">IF(Configuration!$C$29="No","",IFERROR(IF(AND(N(AR190)&gt;=Configuration!$C$51,AG190&lt;&gt;""),TRUE(),FALSE()),FALSE()))</f>
        <v>0</v>
      </c>
      <c r="CQ190" s="50" t="b">
        <f aca="false">IF(Configuration!$C$30="No","",IFERROR(IF(OR(AW190="Pending",AX190="Yes"),TRUE(),FALSE()),FALSE()))</f>
        <v>0</v>
      </c>
      <c r="CR190" s="50" t="b">
        <f aca="false">IF(Configuration!$C$31="No","",IFERROR(IF(AND(N(BG190)&gt;=Configuration!$C$52,N(AP190)&gt;=1),TRUE(),FALSE()),FALSE()))</f>
        <v>0</v>
      </c>
      <c r="CS190" s="50" t="b">
        <f aca="false">IF(Configuration!$C$32="No","",IFERROR(IF(AND(N(AR190)&gt;=1,OR(AG190&lt;&gt;"",AM190&lt;&gt;"")),TRUE(),FALSE()),FALSE()))</f>
        <v>0</v>
      </c>
      <c r="CT190" s="50" t="b">
        <f aca="false">IF(Configuration!$C$33="No","",IFERROR(IF(AG190&lt;&gt;"",TRUE(),FALSE()),FALSE()))</f>
        <v>0</v>
      </c>
      <c r="CU190" s="50" t="b">
        <f aca="false">IF(Configuration!$C$34="No","",IFERROR(IF(AX190="Yes",TRUE(),FALSE()),FALSE()))</f>
        <v>0</v>
      </c>
      <c r="CV190" s="50" t="b">
        <f aca="false">IF(Configuration!$C$35="No","",IFERROR(IF(OR(BO190="Partial",BO190="Full"),TRUE(),FALSE()),FALSE()))</f>
        <v>0</v>
      </c>
      <c r="CW190" s="50" t="b">
        <f aca="false">IF(Configuration!$C$36="No","",IFERROR(IF(BM190="Survived",TRUE(),FALSE()),FALSE()))</f>
        <v>0</v>
      </c>
      <c r="CX190" s="50" t="b">
        <f aca="false">IF(Configuration!$C$37="No","",IFERROR(IF(AND(BN190="Clean",BP190="None"),TRUE(),FALSE()),FALSE()))</f>
        <v>0</v>
      </c>
      <c r="CY190" s="50" t="b">
        <f aca="false">IF(Configuration!$C$38="No","",IFERROR(IF(N(BK190)&gt;=Configuration!$C$53,TRUE(),FALSE()),FALSE()))</f>
        <v>0</v>
      </c>
      <c r="CZ190" s="50" t="b">
        <f aca="false">IF(Configuration!$C$39="No","",IFERROR(IF(AND(N(BS190)&gt;=2,N(BF190)&gt;=2),TRUE(),FALSE()),FALSE()))</f>
        <v>0</v>
      </c>
      <c r="DA190" s="50" t="b">
        <f aca="false">IF(Configuration!$C$40="No","",IFERROR(IF(OR(N(BG190)&lt;=Configuration!$C$56,N(AY190)&lt;Configuration!$C$57,N(BH190)&lt;=Configuration!$C$58),TRUE(),FALSE()),FALSE()))</f>
        <v>1</v>
      </c>
      <c r="DB190" s="50" t="b">
        <f aca="false">IF(Configuration!$C$41="No","",IFERROR(IF(AND(N(AY190)&gt;=Configuration!$C$54,N(AY190)&lt;=Configuration!$C$55),TRUE(),FALSE()),FALSE()))</f>
        <v>0</v>
      </c>
      <c r="DC190" s="50" t="b">
        <f aca="false">IF(Configuration!$C$42="No","",IFERROR(IF(AND(AG190&lt;&gt;"",AJ190&lt;&gt;""),TRUE(),FALSE()),FALSE()))</f>
        <v>0</v>
      </c>
      <c r="DD190" s="51" t="n">
        <f aca="false">COUNTIF(BW190:DC190,TRUE())</f>
        <v>2</v>
      </c>
    </row>
    <row r="191" customFormat="false" ht="15" hidden="false" customHeight="true" outlineLevel="0" collapsed="false">
      <c r="A191" s="18" t="n">
        <v>152</v>
      </c>
      <c r="B191" s="44"/>
      <c r="C191" s="44"/>
      <c r="D191" s="44"/>
      <c r="E191" s="44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6" t="str">
        <f aca="false">IFERROR(IF(F191&lt;&gt;"",F191,""),"")</f>
        <v/>
      </c>
      <c r="AF191" s="46" t="str">
        <f aca="false">IFERROR(IF(G191&lt;&gt;"",G191,""),"")</f>
        <v/>
      </c>
      <c r="AG191" s="46" t="str">
        <f aca="false">IFERROR(IF(AA191&lt;&gt;"",AA191,IF(R191&lt;&gt;"",R191,"")),"")</f>
        <v/>
      </c>
      <c r="AH191" s="46" t="str">
        <f aca="false">IFERROR(IF(AB191&lt;&gt;"",AB191,IF(S191&lt;&gt;"",S191,"")),"")</f>
        <v/>
      </c>
      <c r="AI191" s="47"/>
      <c r="AJ191" s="47"/>
      <c r="AK191" s="47"/>
      <c r="AL191" s="47"/>
      <c r="AM191" s="47"/>
      <c r="AN191" s="47"/>
      <c r="AO191" s="47"/>
      <c r="AP191" s="47"/>
      <c r="AQ191" s="46" t="str">
        <f aca="false">IFERROR(IF(Y191&lt;&gt;"",VALUE(Y191),""),"")</f>
        <v/>
      </c>
      <c r="AR191" s="47"/>
      <c r="AS191" s="47"/>
      <c r="AT191" s="47"/>
      <c r="AU191" s="47"/>
      <c r="AV191" s="46" t="str">
        <f aca="false">IFERROR(IF(T191&lt;&gt;"",VALUE(T191),""),"")</f>
        <v/>
      </c>
      <c r="AW191" s="46" t="str">
        <f aca="false">IFERROR(IF(N191="","",IF(OR(ISNUMBER(SEARCH("grant",N191)),ISNUMBER(SEARCH("B",AC191))),"Granted",IF(OR(ISNUMBER(SEARCH("pend",N191)),ISNUMBER(SEARCH("A",AC191))),"Pending",IF(ISNUMBER(SEARCH("expir",N191)),"Expired",N191)))),"")</f>
        <v/>
      </c>
      <c r="AX191" s="47"/>
      <c r="AY191" s="46" t="str">
        <f aca="true">IFERROR(IF(M191&lt;&gt;"",ROUND(VALUE(M191),1),IF(L191&lt;&gt;"",ROUND(MAX(0,(DATEVALUE(TEXT(L191,"YYYY-MM-DD"))-TODAY())/365.25),1),"")),"")</f>
        <v/>
      </c>
      <c r="AZ191" s="46" t="str">
        <f aca="false">IFERROR(IF(O191&lt;&gt;"",O191,""),"")</f>
        <v/>
      </c>
      <c r="BA191" s="46" t="str">
        <f aca="false">IFERROR(IF(U191&lt;&gt;"",SUBSTITUTE(SUBSTITUTE(U191,"; ",", "),";",","),""),"")</f>
        <v/>
      </c>
      <c r="BB191" s="47"/>
      <c r="BC191" s="47"/>
      <c r="BD191" s="47"/>
      <c r="BE191" s="47"/>
      <c r="BF191" s="47"/>
      <c r="BG191" s="47"/>
      <c r="BH191" s="47"/>
      <c r="BI191" s="47"/>
      <c r="BJ191" s="47"/>
      <c r="BK191" s="46" t="str">
        <f aca="false">IFERROR(IF(W191&lt;&gt;"",VALUE(W191),""),"")</f>
        <v/>
      </c>
      <c r="BL191" s="46" t="str">
        <f aca="false">IFERROR(IF(X191&lt;&gt;"",VALUE(X191),""),"")</f>
        <v/>
      </c>
      <c r="BM191" s="46" t="str">
        <f aca="false">IFERROR(IF(AD191="","None",IF(ISNUMBER(SEARCH("surv",AD191)),"Survived",IF(ISNUMBER(SEARCH("pend",AD191)),"Pending",IF(ISNUMBER(SEARCH("yes",AD191)),"Pending","None")))),"None")</f>
        <v>None</v>
      </c>
      <c r="BN191" s="47"/>
      <c r="BO191" s="47"/>
      <c r="BP191" s="47"/>
      <c r="BQ191" s="47"/>
      <c r="BR191" s="47"/>
      <c r="BS191" s="47"/>
      <c r="BT191" s="47"/>
      <c r="BU191" s="48" t="n">
        <f aca="false">IFERROR(COUNTA(AE191:BT191)/42,0)</f>
        <v>0.30952380952381</v>
      </c>
      <c r="BV191" s="49"/>
      <c r="BW191" s="50" t="b">
        <f aca="false">IF(Configuration!$C$10="No","",IFERROR(IF(AG191&lt;&gt;"",TRUE(),FALSE()),FALSE()))</f>
        <v>0</v>
      </c>
      <c r="BX191" s="50" t="b">
        <f aca="false">IF(Configuration!$C$11="No","",IFERROR(IF(AND(N(AL191)&gt;=Configuration!$C$44,AM191&lt;&gt;""),TRUE(),FALSE()),FALSE()))</f>
        <v>0</v>
      </c>
      <c r="BY191" s="50" t="b">
        <f aca="false">IF(Configuration!$C$12="No","",IFERROR(IF(AJ191&lt;&gt;"",TRUE(),FALSE()),FALSE()))</f>
        <v>0</v>
      </c>
      <c r="BZ191" s="50" t="b">
        <f aca="false">IF(Configuration!$C$13="No","",IFERROR(IF(AI191&lt;&gt;"",TRUE(),FALSE()),FALSE()))</f>
        <v>0</v>
      </c>
      <c r="CA191" s="50" t="b">
        <f aca="false">IF(Configuration!$C$14="No","",IFERROR(IF(AK191&lt;&gt;"",TRUE(),FALSE()),FALSE()))</f>
        <v>0</v>
      </c>
      <c r="CB191" s="50" t="b">
        <f aca="false">IF(Configuration!$C$15="No","",IFERROR(IF(AND(OR(ISNUMBER(SEARCH("process",AG191)),ISNUMBER(SEARCH("fab",AG191)),ISNUMBER(SEARCH("manufac",AG191))),AO191="Method"),TRUE(),FALSE()),FALSE()))</f>
        <v>0</v>
      </c>
      <c r="CC191" s="50" t="b">
        <f aca="false">IF(Configuration!$C$16="No","",IFERROR(IF(AND(OR(ISNUMBER(SEARCH("material",AG191)),ISNUMBER(SEARCH("chem",AG191)),ISNUMBER(SEARCH("battery",AG191)),ISNUMBER(SEARCH("electrolyte",AG191)),ISNUMBER(SEARCH("polymer",AG191))),OR(AO191="Apparatus",AO191="Method")),TRUE(),FALSE()),FALSE()))</f>
        <v>0</v>
      </c>
      <c r="CD191" s="50" t="b">
        <f aca="false">IF(Configuration!$C$17="No","",IFERROR(IF(AND(OR(AI191="App",AI191="Middleware",AI191="Cloud"),OR(AO191="Method",AO191="CRM")),TRUE(),FALSE()),FALSE()))</f>
        <v>0</v>
      </c>
      <c r="CE191" s="50" t="b">
        <f aca="false">IF(Configuration!$C$18="No","",IFERROR(IF(N(AN191)&gt;=Configuration!$C$45,TRUE(),FALSE()),FALSE()))</f>
        <v>0</v>
      </c>
      <c r="CF191" s="50" t="b">
        <f aca="false">IF(Configuration!$C$19="No","",IFERROR(IF(BE191&lt;&gt;"",TRUE(),FALSE()),FALSE()))</f>
        <v>0</v>
      </c>
      <c r="CG191" s="50" t="b">
        <f aca="false">IF(Configuration!$C$20="No","",IFERROR(IF(AO191&lt;&gt;"",TRUE(),FALSE()),FALSE()))</f>
        <v>0</v>
      </c>
      <c r="CH191" s="50" t="b">
        <f aca="false">IF(Configuration!$C$21="No","",IFERROR(IF(OR(N(AS191)&gt;=Configuration!$C$46,N(AT191)&gt;=Configuration!$C$47),TRUE(),FALSE()),FALSE()))</f>
        <v>0</v>
      </c>
      <c r="CI191" s="50" t="b">
        <f aca="false">IF(Configuration!$C$22="No","",IFERROR(IF(BB191="Yes",TRUE(),FALSE()),FALSE()))</f>
        <v>0</v>
      </c>
      <c r="CJ191" s="50" t="b">
        <f aca="false">IF(Configuration!$C$23="No","",IFERROR(IF(N(AV191)&gt;=Configuration!$C$48,TRUE(),FALSE()),FALSE()))</f>
        <v>0</v>
      </c>
      <c r="CK191" s="50" t="b">
        <f aca="false">IF(Configuration!$C$24="No","",IFERROR(IF(N(AY191)&gt;0,TRUE(),FALSE()),FALSE()))</f>
        <v>0</v>
      </c>
      <c r="CL191" s="50" t="b">
        <f aca="false">IF(Configuration!$C$25="No","",IFERROR(IF(OR(N(AP191)=3,N(AP191)&lt;=1),TRUE(),FALSE()),FALSE()))</f>
        <v>1</v>
      </c>
      <c r="CM191" s="50" t="b">
        <f aca="false">IF(Configuration!$C$26="No","",IFERROR(IF(N(BF191)&gt;=Configuration!$C$49,TRUE(),FALSE()),FALSE()))</f>
        <v>0</v>
      </c>
      <c r="CN191" s="50" t="b">
        <f aca="false">IF(Configuration!$C$27="No","",IFERROR(IF(BD191&lt;&gt;"",TRUE(),FALSE()),FALSE()))</f>
        <v>0</v>
      </c>
      <c r="CO191" s="50" t="b">
        <f aca="false">IF(Configuration!$C$28="No","",IFERROR(IF(N(AU191)&gt;=Configuration!$C$50,TRUE(),FALSE()),FALSE()))</f>
        <v>0</v>
      </c>
      <c r="CP191" s="50" t="b">
        <f aca="false">IF(Configuration!$C$29="No","",IFERROR(IF(AND(N(AR191)&gt;=Configuration!$C$51,AG191&lt;&gt;""),TRUE(),FALSE()),FALSE()))</f>
        <v>0</v>
      </c>
      <c r="CQ191" s="50" t="b">
        <f aca="false">IF(Configuration!$C$30="No","",IFERROR(IF(OR(AW191="Pending",AX191="Yes"),TRUE(),FALSE()),FALSE()))</f>
        <v>0</v>
      </c>
      <c r="CR191" s="50" t="b">
        <f aca="false">IF(Configuration!$C$31="No","",IFERROR(IF(AND(N(BG191)&gt;=Configuration!$C$52,N(AP191)&gt;=1),TRUE(),FALSE()),FALSE()))</f>
        <v>0</v>
      </c>
      <c r="CS191" s="50" t="b">
        <f aca="false">IF(Configuration!$C$32="No","",IFERROR(IF(AND(N(AR191)&gt;=1,OR(AG191&lt;&gt;"",AM191&lt;&gt;"")),TRUE(),FALSE()),FALSE()))</f>
        <v>0</v>
      </c>
      <c r="CT191" s="50" t="b">
        <f aca="false">IF(Configuration!$C$33="No","",IFERROR(IF(AG191&lt;&gt;"",TRUE(),FALSE()),FALSE()))</f>
        <v>0</v>
      </c>
      <c r="CU191" s="50" t="b">
        <f aca="false">IF(Configuration!$C$34="No","",IFERROR(IF(AX191="Yes",TRUE(),FALSE()),FALSE()))</f>
        <v>0</v>
      </c>
      <c r="CV191" s="50" t="b">
        <f aca="false">IF(Configuration!$C$35="No","",IFERROR(IF(OR(BO191="Partial",BO191="Full"),TRUE(),FALSE()),FALSE()))</f>
        <v>0</v>
      </c>
      <c r="CW191" s="50" t="b">
        <f aca="false">IF(Configuration!$C$36="No","",IFERROR(IF(BM191="Survived",TRUE(),FALSE()),FALSE()))</f>
        <v>0</v>
      </c>
      <c r="CX191" s="50" t="b">
        <f aca="false">IF(Configuration!$C$37="No","",IFERROR(IF(AND(BN191="Clean",BP191="None"),TRUE(),FALSE()),FALSE()))</f>
        <v>0</v>
      </c>
      <c r="CY191" s="50" t="b">
        <f aca="false">IF(Configuration!$C$38="No","",IFERROR(IF(N(BK191)&gt;=Configuration!$C$53,TRUE(),FALSE()),FALSE()))</f>
        <v>0</v>
      </c>
      <c r="CZ191" s="50" t="b">
        <f aca="false">IF(Configuration!$C$39="No","",IFERROR(IF(AND(N(BS191)&gt;=2,N(BF191)&gt;=2),TRUE(),FALSE()),FALSE()))</f>
        <v>0</v>
      </c>
      <c r="DA191" s="50" t="b">
        <f aca="false">IF(Configuration!$C$40="No","",IFERROR(IF(OR(N(BG191)&lt;=Configuration!$C$56,N(AY191)&lt;Configuration!$C$57,N(BH191)&lt;=Configuration!$C$58),TRUE(),FALSE()),FALSE()))</f>
        <v>1</v>
      </c>
      <c r="DB191" s="50" t="b">
        <f aca="false">IF(Configuration!$C$41="No","",IFERROR(IF(AND(N(AY191)&gt;=Configuration!$C$54,N(AY191)&lt;=Configuration!$C$55),TRUE(),FALSE()),FALSE()))</f>
        <v>0</v>
      </c>
      <c r="DC191" s="50" t="b">
        <f aca="false">IF(Configuration!$C$42="No","",IFERROR(IF(AND(AG191&lt;&gt;"",AJ191&lt;&gt;""),TRUE(),FALSE()),FALSE()))</f>
        <v>0</v>
      </c>
      <c r="DD191" s="51" t="n">
        <f aca="false">COUNTIF(BW191:DC191,TRUE())</f>
        <v>2</v>
      </c>
    </row>
    <row r="192" customFormat="false" ht="15" hidden="false" customHeight="true" outlineLevel="0" collapsed="false">
      <c r="A192" s="18" t="n">
        <v>153</v>
      </c>
      <c r="B192" s="44"/>
      <c r="C192" s="44"/>
      <c r="D192" s="44"/>
      <c r="E192" s="44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6" t="str">
        <f aca="false">IFERROR(IF(F192&lt;&gt;"",F192,""),"")</f>
        <v/>
      </c>
      <c r="AF192" s="46" t="str">
        <f aca="false">IFERROR(IF(G192&lt;&gt;"",G192,""),"")</f>
        <v/>
      </c>
      <c r="AG192" s="46" t="str">
        <f aca="false">IFERROR(IF(AA192&lt;&gt;"",AA192,IF(R192&lt;&gt;"",R192,"")),"")</f>
        <v/>
      </c>
      <c r="AH192" s="46" t="str">
        <f aca="false">IFERROR(IF(AB192&lt;&gt;"",AB192,IF(S192&lt;&gt;"",S192,"")),"")</f>
        <v/>
      </c>
      <c r="AI192" s="47"/>
      <c r="AJ192" s="47"/>
      <c r="AK192" s="47"/>
      <c r="AL192" s="47"/>
      <c r="AM192" s="47"/>
      <c r="AN192" s="47"/>
      <c r="AO192" s="47"/>
      <c r="AP192" s="47"/>
      <c r="AQ192" s="46" t="str">
        <f aca="false">IFERROR(IF(Y192&lt;&gt;"",VALUE(Y192),""),"")</f>
        <v/>
      </c>
      <c r="AR192" s="47"/>
      <c r="AS192" s="47"/>
      <c r="AT192" s="47"/>
      <c r="AU192" s="47"/>
      <c r="AV192" s="46" t="str">
        <f aca="false">IFERROR(IF(T192&lt;&gt;"",VALUE(T192),""),"")</f>
        <v/>
      </c>
      <c r="AW192" s="46" t="str">
        <f aca="false">IFERROR(IF(N192="","",IF(OR(ISNUMBER(SEARCH("grant",N192)),ISNUMBER(SEARCH("B",AC192))),"Granted",IF(OR(ISNUMBER(SEARCH("pend",N192)),ISNUMBER(SEARCH("A",AC192))),"Pending",IF(ISNUMBER(SEARCH("expir",N192)),"Expired",N192)))),"")</f>
        <v/>
      </c>
      <c r="AX192" s="47"/>
      <c r="AY192" s="46" t="str">
        <f aca="true">IFERROR(IF(M192&lt;&gt;"",ROUND(VALUE(M192),1),IF(L192&lt;&gt;"",ROUND(MAX(0,(DATEVALUE(TEXT(L192,"YYYY-MM-DD"))-TODAY())/365.25),1),"")),"")</f>
        <v/>
      </c>
      <c r="AZ192" s="46" t="str">
        <f aca="false">IFERROR(IF(O192&lt;&gt;"",O192,""),"")</f>
        <v/>
      </c>
      <c r="BA192" s="46" t="str">
        <f aca="false">IFERROR(IF(U192&lt;&gt;"",SUBSTITUTE(SUBSTITUTE(U192,"; ",", "),";",","),""),"")</f>
        <v/>
      </c>
      <c r="BB192" s="47"/>
      <c r="BC192" s="47"/>
      <c r="BD192" s="47"/>
      <c r="BE192" s="47"/>
      <c r="BF192" s="47"/>
      <c r="BG192" s="47"/>
      <c r="BH192" s="47"/>
      <c r="BI192" s="47"/>
      <c r="BJ192" s="47"/>
      <c r="BK192" s="46" t="str">
        <f aca="false">IFERROR(IF(W192&lt;&gt;"",VALUE(W192),""),"")</f>
        <v/>
      </c>
      <c r="BL192" s="46" t="str">
        <f aca="false">IFERROR(IF(X192&lt;&gt;"",VALUE(X192),""),"")</f>
        <v/>
      </c>
      <c r="BM192" s="46" t="str">
        <f aca="false">IFERROR(IF(AD192="","None",IF(ISNUMBER(SEARCH("surv",AD192)),"Survived",IF(ISNUMBER(SEARCH("pend",AD192)),"Pending",IF(ISNUMBER(SEARCH("yes",AD192)),"Pending","None")))),"None")</f>
        <v>None</v>
      </c>
      <c r="BN192" s="47"/>
      <c r="BO192" s="47"/>
      <c r="BP192" s="47"/>
      <c r="BQ192" s="47"/>
      <c r="BR192" s="47"/>
      <c r="BS192" s="47"/>
      <c r="BT192" s="47"/>
      <c r="BU192" s="48" t="n">
        <f aca="false">IFERROR(COUNTA(AE192:BT192)/42,0)</f>
        <v>0.30952380952381</v>
      </c>
      <c r="BV192" s="49"/>
      <c r="BW192" s="50" t="b">
        <f aca="false">IF(Configuration!$C$10="No","",IFERROR(IF(AG192&lt;&gt;"",TRUE(),FALSE()),FALSE()))</f>
        <v>0</v>
      </c>
      <c r="BX192" s="50" t="b">
        <f aca="false">IF(Configuration!$C$11="No","",IFERROR(IF(AND(N(AL192)&gt;=Configuration!$C$44,AM192&lt;&gt;""),TRUE(),FALSE()),FALSE()))</f>
        <v>0</v>
      </c>
      <c r="BY192" s="50" t="b">
        <f aca="false">IF(Configuration!$C$12="No","",IFERROR(IF(AJ192&lt;&gt;"",TRUE(),FALSE()),FALSE()))</f>
        <v>0</v>
      </c>
      <c r="BZ192" s="50" t="b">
        <f aca="false">IF(Configuration!$C$13="No","",IFERROR(IF(AI192&lt;&gt;"",TRUE(),FALSE()),FALSE()))</f>
        <v>0</v>
      </c>
      <c r="CA192" s="50" t="b">
        <f aca="false">IF(Configuration!$C$14="No","",IFERROR(IF(AK192&lt;&gt;"",TRUE(),FALSE()),FALSE()))</f>
        <v>0</v>
      </c>
      <c r="CB192" s="50" t="b">
        <f aca="false">IF(Configuration!$C$15="No","",IFERROR(IF(AND(OR(ISNUMBER(SEARCH("process",AG192)),ISNUMBER(SEARCH("fab",AG192)),ISNUMBER(SEARCH("manufac",AG192))),AO192="Method"),TRUE(),FALSE()),FALSE()))</f>
        <v>0</v>
      </c>
      <c r="CC192" s="50" t="b">
        <f aca="false">IF(Configuration!$C$16="No","",IFERROR(IF(AND(OR(ISNUMBER(SEARCH("material",AG192)),ISNUMBER(SEARCH("chem",AG192)),ISNUMBER(SEARCH("battery",AG192)),ISNUMBER(SEARCH("electrolyte",AG192)),ISNUMBER(SEARCH("polymer",AG192))),OR(AO192="Apparatus",AO192="Method")),TRUE(),FALSE()),FALSE()))</f>
        <v>0</v>
      </c>
      <c r="CD192" s="50" t="b">
        <f aca="false">IF(Configuration!$C$17="No","",IFERROR(IF(AND(OR(AI192="App",AI192="Middleware",AI192="Cloud"),OR(AO192="Method",AO192="CRM")),TRUE(),FALSE()),FALSE()))</f>
        <v>0</v>
      </c>
      <c r="CE192" s="50" t="b">
        <f aca="false">IF(Configuration!$C$18="No","",IFERROR(IF(N(AN192)&gt;=Configuration!$C$45,TRUE(),FALSE()),FALSE()))</f>
        <v>0</v>
      </c>
      <c r="CF192" s="50" t="b">
        <f aca="false">IF(Configuration!$C$19="No","",IFERROR(IF(BE192&lt;&gt;"",TRUE(),FALSE()),FALSE()))</f>
        <v>0</v>
      </c>
      <c r="CG192" s="50" t="b">
        <f aca="false">IF(Configuration!$C$20="No","",IFERROR(IF(AO192&lt;&gt;"",TRUE(),FALSE()),FALSE()))</f>
        <v>0</v>
      </c>
      <c r="CH192" s="50" t="b">
        <f aca="false">IF(Configuration!$C$21="No","",IFERROR(IF(OR(N(AS192)&gt;=Configuration!$C$46,N(AT192)&gt;=Configuration!$C$47),TRUE(),FALSE()),FALSE()))</f>
        <v>0</v>
      </c>
      <c r="CI192" s="50" t="b">
        <f aca="false">IF(Configuration!$C$22="No","",IFERROR(IF(BB192="Yes",TRUE(),FALSE()),FALSE()))</f>
        <v>0</v>
      </c>
      <c r="CJ192" s="50" t="b">
        <f aca="false">IF(Configuration!$C$23="No","",IFERROR(IF(N(AV192)&gt;=Configuration!$C$48,TRUE(),FALSE()),FALSE()))</f>
        <v>0</v>
      </c>
      <c r="CK192" s="50" t="b">
        <f aca="false">IF(Configuration!$C$24="No","",IFERROR(IF(N(AY192)&gt;0,TRUE(),FALSE()),FALSE()))</f>
        <v>0</v>
      </c>
      <c r="CL192" s="50" t="b">
        <f aca="false">IF(Configuration!$C$25="No","",IFERROR(IF(OR(N(AP192)=3,N(AP192)&lt;=1),TRUE(),FALSE()),FALSE()))</f>
        <v>1</v>
      </c>
      <c r="CM192" s="50" t="b">
        <f aca="false">IF(Configuration!$C$26="No","",IFERROR(IF(N(BF192)&gt;=Configuration!$C$49,TRUE(),FALSE()),FALSE()))</f>
        <v>0</v>
      </c>
      <c r="CN192" s="50" t="b">
        <f aca="false">IF(Configuration!$C$27="No","",IFERROR(IF(BD192&lt;&gt;"",TRUE(),FALSE()),FALSE()))</f>
        <v>0</v>
      </c>
      <c r="CO192" s="50" t="b">
        <f aca="false">IF(Configuration!$C$28="No","",IFERROR(IF(N(AU192)&gt;=Configuration!$C$50,TRUE(),FALSE()),FALSE()))</f>
        <v>0</v>
      </c>
      <c r="CP192" s="50" t="b">
        <f aca="false">IF(Configuration!$C$29="No","",IFERROR(IF(AND(N(AR192)&gt;=Configuration!$C$51,AG192&lt;&gt;""),TRUE(),FALSE()),FALSE()))</f>
        <v>0</v>
      </c>
      <c r="CQ192" s="50" t="b">
        <f aca="false">IF(Configuration!$C$30="No","",IFERROR(IF(OR(AW192="Pending",AX192="Yes"),TRUE(),FALSE()),FALSE()))</f>
        <v>0</v>
      </c>
      <c r="CR192" s="50" t="b">
        <f aca="false">IF(Configuration!$C$31="No","",IFERROR(IF(AND(N(BG192)&gt;=Configuration!$C$52,N(AP192)&gt;=1),TRUE(),FALSE()),FALSE()))</f>
        <v>0</v>
      </c>
      <c r="CS192" s="50" t="b">
        <f aca="false">IF(Configuration!$C$32="No","",IFERROR(IF(AND(N(AR192)&gt;=1,OR(AG192&lt;&gt;"",AM192&lt;&gt;"")),TRUE(),FALSE()),FALSE()))</f>
        <v>0</v>
      </c>
      <c r="CT192" s="50" t="b">
        <f aca="false">IF(Configuration!$C$33="No","",IFERROR(IF(AG192&lt;&gt;"",TRUE(),FALSE()),FALSE()))</f>
        <v>0</v>
      </c>
      <c r="CU192" s="50" t="b">
        <f aca="false">IF(Configuration!$C$34="No","",IFERROR(IF(AX192="Yes",TRUE(),FALSE()),FALSE()))</f>
        <v>0</v>
      </c>
      <c r="CV192" s="50" t="b">
        <f aca="false">IF(Configuration!$C$35="No","",IFERROR(IF(OR(BO192="Partial",BO192="Full"),TRUE(),FALSE()),FALSE()))</f>
        <v>0</v>
      </c>
      <c r="CW192" s="50" t="b">
        <f aca="false">IF(Configuration!$C$36="No","",IFERROR(IF(BM192="Survived",TRUE(),FALSE()),FALSE()))</f>
        <v>0</v>
      </c>
      <c r="CX192" s="50" t="b">
        <f aca="false">IF(Configuration!$C$37="No","",IFERROR(IF(AND(BN192="Clean",BP192="None"),TRUE(),FALSE()),FALSE()))</f>
        <v>0</v>
      </c>
      <c r="CY192" s="50" t="b">
        <f aca="false">IF(Configuration!$C$38="No","",IFERROR(IF(N(BK192)&gt;=Configuration!$C$53,TRUE(),FALSE()),FALSE()))</f>
        <v>0</v>
      </c>
      <c r="CZ192" s="50" t="b">
        <f aca="false">IF(Configuration!$C$39="No","",IFERROR(IF(AND(N(BS192)&gt;=2,N(BF192)&gt;=2),TRUE(),FALSE()),FALSE()))</f>
        <v>0</v>
      </c>
      <c r="DA192" s="50" t="b">
        <f aca="false">IF(Configuration!$C$40="No","",IFERROR(IF(OR(N(BG192)&lt;=Configuration!$C$56,N(AY192)&lt;Configuration!$C$57,N(BH192)&lt;=Configuration!$C$58),TRUE(),FALSE()),FALSE()))</f>
        <v>1</v>
      </c>
      <c r="DB192" s="50" t="b">
        <f aca="false">IF(Configuration!$C$41="No","",IFERROR(IF(AND(N(AY192)&gt;=Configuration!$C$54,N(AY192)&lt;=Configuration!$C$55),TRUE(),FALSE()),FALSE()))</f>
        <v>0</v>
      </c>
      <c r="DC192" s="50" t="b">
        <f aca="false">IF(Configuration!$C$42="No","",IFERROR(IF(AND(AG192&lt;&gt;"",AJ192&lt;&gt;""),TRUE(),FALSE()),FALSE()))</f>
        <v>0</v>
      </c>
      <c r="DD192" s="51" t="n">
        <f aca="false">COUNTIF(BW192:DC192,TRUE())</f>
        <v>2</v>
      </c>
    </row>
    <row r="193" customFormat="false" ht="15" hidden="false" customHeight="true" outlineLevel="0" collapsed="false">
      <c r="A193" s="18" t="n">
        <v>154</v>
      </c>
      <c r="B193" s="44"/>
      <c r="C193" s="44"/>
      <c r="D193" s="44"/>
      <c r="E193" s="44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6" t="str">
        <f aca="false">IFERROR(IF(F193&lt;&gt;"",F193,""),"")</f>
        <v/>
      </c>
      <c r="AF193" s="46" t="str">
        <f aca="false">IFERROR(IF(G193&lt;&gt;"",G193,""),"")</f>
        <v/>
      </c>
      <c r="AG193" s="46" t="str">
        <f aca="false">IFERROR(IF(AA193&lt;&gt;"",AA193,IF(R193&lt;&gt;"",R193,"")),"")</f>
        <v/>
      </c>
      <c r="AH193" s="46" t="str">
        <f aca="false">IFERROR(IF(AB193&lt;&gt;"",AB193,IF(S193&lt;&gt;"",S193,"")),"")</f>
        <v/>
      </c>
      <c r="AI193" s="47"/>
      <c r="AJ193" s="47"/>
      <c r="AK193" s="47"/>
      <c r="AL193" s="47"/>
      <c r="AM193" s="47"/>
      <c r="AN193" s="47"/>
      <c r="AO193" s="47"/>
      <c r="AP193" s="47"/>
      <c r="AQ193" s="46" t="str">
        <f aca="false">IFERROR(IF(Y193&lt;&gt;"",VALUE(Y193),""),"")</f>
        <v/>
      </c>
      <c r="AR193" s="47"/>
      <c r="AS193" s="47"/>
      <c r="AT193" s="47"/>
      <c r="AU193" s="47"/>
      <c r="AV193" s="46" t="str">
        <f aca="false">IFERROR(IF(T193&lt;&gt;"",VALUE(T193),""),"")</f>
        <v/>
      </c>
      <c r="AW193" s="46" t="str">
        <f aca="false">IFERROR(IF(N193="","",IF(OR(ISNUMBER(SEARCH("grant",N193)),ISNUMBER(SEARCH("B",AC193))),"Granted",IF(OR(ISNUMBER(SEARCH("pend",N193)),ISNUMBER(SEARCH("A",AC193))),"Pending",IF(ISNUMBER(SEARCH("expir",N193)),"Expired",N193)))),"")</f>
        <v/>
      </c>
      <c r="AX193" s="47"/>
      <c r="AY193" s="46" t="str">
        <f aca="true">IFERROR(IF(M193&lt;&gt;"",ROUND(VALUE(M193),1),IF(L193&lt;&gt;"",ROUND(MAX(0,(DATEVALUE(TEXT(L193,"YYYY-MM-DD"))-TODAY())/365.25),1),"")),"")</f>
        <v/>
      </c>
      <c r="AZ193" s="46" t="str">
        <f aca="false">IFERROR(IF(O193&lt;&gt;"",O193,""),"")</f>
        <v/>
      </c>
      <c r="BA193" s="46" t="str">
        <f aca="false">IFERROR(IF(U193&lt;&gt;"",SUBSTITUTE(SUBSTITUTE(U193,"; ",", "),";",","),""),"")</f>
        <v/>
      </c>
      <c r="BB193" s="47"/>
      <c r="BC193" s="47"/>
      <c r="BD193" s="47"/>
      <c r="BE193" s="47"/>
      <c r="BF193" s="47"/>
      <c r="BG193" s="47"/>
      <c r="BH193" s="47"/>
      <c r="BI193" s="47"/>
      <c r="BJ193" s="47"/>
      <c r="BK193" s="46" t="str">
        <f aca="false">IFERROR(IF(W193&lt;&gt;"",VALUE(W193),""),"")</f>
        <v/>
      </c>
      <c r="BL193" s="46" t="str">
        <f aca="false">IFERROR(IF(X193&lt;&gt;"",VALUE(X193),""),"")</f>
        <v/>
      </c>
      <c r="BM193" s="46" t="str">
        <f aca="false">IFERROR(IF(AD193="","None",IF(ISNUMBER(SEARCH("surv",AD193)),"Survived",IF(ISNUMBER(SEARCH("pend",AD193)),"Pending",IF(ISNUMBER(SEARCH("yes",AD193)),"Pending","None")))),"None")</f>
        <v>None</v>
      </c>
      <c r="BN193" s="47"/>
      <c r="BO193" s="47"/>
      <c r="BP193" s="47"/>
      <c r="BQ193" s="47"/>
      <c r="BR193" s="47"/>
      <c r="BS193" s="47"/>
      <c r="BT193" s="47"/>
      <c r="BU193" s="48" t="n">
        <f aca="false">IFERROR(COUNTA(AE193:BT193)/42,0)</f>
        <v>0.30952380952381</v>
      </c>
      <c r="BV193" s="49"/>
      <c r="BW193" s="50" t="b">
        <f aca="false">IF(Configuration!$C$10="No","",IFERROR(IF(AG193&lt;&gt;"",TRUE(),FALSE()),FALSE()))</f>
        <v>0</v>
      </c>
      <c r="BX193" s="50" t="b">
        <f aca="false">IF(Configuration!$C$11="No","",IFERROR(IF(AND(N(AL193)&gt;=Configuration!$C$44,AM193&lt;&gt;""),TRUE(),FALSE()),FALSE()))</f>
        <v>0</v>
      </c>
      <c r="BY193" s="50" t="b">
        <f aca="false">IF(Configuration!$C$12="No","",IFERROR(IF(AJ193&lt;&gt;"",TRUE(),FALSE()),FALSE()))</f>
        <v>0</v>
      </c>
      <c r="BZ193" s="50" t="b">
        <f aca="false">IF(Configuration!$C$13="No","",IFERROR(IF(AI193&lt;&gt;"",TRUE(),FALSE()),FALSE()))</f>
        <v>0</v>
      </c>
      <c r="CA193" s="50" t="b">
        <f aca="false">IF(Configuration!$C$14="No","",IFERROR(IF(AK193&lt;&gt;"",TRUE(),FALSE()),FALSE()))</f>
        <v>0</v>
      </c>
      <c r="CB193" s="50" t="b">
        <f aca="false">IF(Configuration!$C$15="No","",IFERROR(IF(AND(OR(ISNUMBER(SEARCH("process",AG193)),ISNUMBER(SEARCH("fab",AG193)),ISNUMBER(SEARCH("manufac",AG193))),AO193="Method"),TRUE(),FALSE()),FALSE()))</f>
        <v>0</v>
      </c>
      <c r="CC193" s="50" t="b">
        <f aca="false">IF(Configuration!$C$16="No","",IFERROR(IF(AND(OR(ISNUMBER(SEARCH("material",AG193)),ISNUMBER(SEARCH("chem",AG193)),ISNUMBER(SEARCH("battery",AG193)),ISNUMBER(SEARCH("electrolyte",AG193)),ISNUMBER(SEARCH("polymer",AG193))),OR(AO193="Apparatus",AO193="Method")),TRUE(),FALSE()),FALSE()))</f>
        <v>0</v>
      </c>
      <c r="CD193" s="50" t="b">
        <f aca="false">IF(Configuration!$C$17="No","",IFERROR(IF(AND(OR(AI193="App",AI193="Middleware",AI193="Cloud"),OR(AO193="Method",AO193="CRM")),TRUE(),FALSE()),FALSE()))</f>
        <v>0</v>
      </c>
      <c r="CE193" s="50" t="b">
        <f aca="false">IF(Configuration!$C$18="No","",IFERROR(IF(N(AN193)&gt;=Configuration!$C$45,TRUE(),FALSE()),FALSE()))</f>
        <v>0</v>
      </c>
      <c r="CF193" s="50" t="b">
        <f aca="false">IF(Configuration!$C$19="No","",IFERROR(IF(BE193&lt;&gt;"",TRUE(),FALSE()),FALSE()))</f>
        <v>0</v>
      </c>
      <c r="CG193" s="50" t="b">
        <f aca="false">IF(Configuration!$C$20="No","",IFERROR(IF(AO193&lt;&gt;"",TRUE(),FALSE()),FALSE()))</f>
        <v>0</v>
      </c>
      <c r="CH193" s="50" t="b">
        <f aca="false">IF(Configuration!$C$21="No","",IFERROR(IF(OR(N(AS193)&gt;=Configuration!$C$46,N(AT193)&gt;=Configuration!$C$47),TRUE(),FALSE()),FALSE()))</f>
        <v>0</v>
      </c>
      <c r="CI193" s="50" t="b">
        <f aca="false">IF(Configuration!$C$22="No","",IFERROR(IF(BB193="Yes",TRUE(),FALSE()),FALSE()))</f>
        <v>0</v>
      </c>
      <c r="CJ193" s="50" t="b">
        <f aca="false">IF(Configuration!$C$23="No","",IFERROR(IF(N(AV193)&gt;=Configuration!$C$48,TRUE(),FALSE()),FALSE()))</f>
        <v>0</v>
      </c>
      <c r="CK193" s="50" t="b">
        <f aca="false">IF(Configuration!$C$24="No","",IFERROR(IF(N(AY193)&gt;0,TRUE(),FALSE()),FALSE()))</f>
        <v>0</v>
      </c>
      <c r="CL193" s="50" t="b">
        <f aca="false">IF(Configuration!$C$25="No","",IFERROR(IF(OR(N(AP193)=3,N(AP193)&lt;=1),TRUE(),FALSE()),FALSE()))</f>
        <v>1</v>
      </c>
      <c r="CM193" s="50" t="b">
        <f aca="false">IF(Configuration!$C$26="No","",IFERROR(IF(N(BF193)&gt;=Configuration!$C$49,TRUE(),FALSE()),FALSE()))</f>
        <v>0</v>
      </c>
      <c r="CN193" s="50" t="b">
        <f aca="false">IF(Configuration!$C$27="No","",IFERROR(IF(BD193&lt;&gt;"",TRUE(),FALSE()),FALSE()))</f>
        <v>0</v>
      </c>
      <c r="CO193" s="50" t="b">
        <f aca="false">IF(Configuration!$C$28="No","",IFERROR(IF(N(AU193)&gt;=Configuration!$C$50,TRUE(),FALSE()),FALSE()))</f>
        <v>0</v>
      </c>
      <c r="CP193" s="50" t="b">
        <f aca="false">IF(Configuration!$C$29="No","",IFERROR(IF(AND(N(AR193)&gt;=Configuration!$C$51,AG193&lt;&gt;""),TRUE(),FALSE()),FALSE()))</f>
        <v>0</v>
      </c>
      <c r="CQ193" s="50" t="b">
        <f aca="false">IF(Configuration!$C$30="No","",IFERROR(IF(OR(AW193="Pending",AX193="Yes"),TRUE(),FALSE()),FALSE()))</f>
        <v>0</v>
      </c>
      <c r="CR193" s="50" t="b">
        <f aca="false">IF(Configuration!$C$31="No","",IFERROR(IF(AND(N(BG193)&gt;=Configuration!$C$52,N(AP193)&gt;=1),TRUE(),FALSE()),FALSE()))</f>
        <v>0</v>
      </c>
      <c r="CS193" s="50" t="b">
        <f aca="false">IF(Configuration!$C$32="No","",IFERROR(IF(AND(N(AR193)&gt;=1,OR(AG193&lt;&gt;"",AM193&lt;&gt;"")),TRUE(),FALSE()),FALSE()))</f>
        <v>0</v>
      </c>
      <c r="CT193" s="50" t="b">
        <f aca="false">IF(Configuration!$C$33="No","",IFERROR(IF(AG193&lt;&gt;"",TRUE(),FALSE()),FALSE()))</f>
        <v>0</v>
      </c>
      <c r="CU193" s="50" t="b">
        <f aca="false">IF(Configuration!$C$34="No","",IFERROR(IF(AX193="Yes",TRUE(),FALSE()),FALSE()))</f>
        <v>0</v>
      </c>
      <c r="CV193" s="50" t="b">
        <f aca="false">IF(Configuration!$C$35="No","",IFERROR(IF(OR(BO193="Partial",BO193="Full"),TRUE(),FALSE()),FALSE()))</f>
        <v>0</v>
      </c>
      <c r="CW193" s="50" t="b">
        <f aca="false">IF(Configuration!$C$36="No","",IFERROR(IF(BM193="Survived",TRUE(),FALSE()),FALSE()))</f>
        <v>0</v>
      </c>
      <c r="CX193" s="50" t="b">
        <f aca="false">IF(Configuration!$C$37="No","",IFERROR(IF(AND(BN193="Clean",BP193="None"),TRUE(),FALSE()),FALSE()))</f>
        <v>0</v>
      </c>
      <c r="CY193" s="50" t="b">
        <f aca="false">IF(Configuration!$C$38="No","",IFERROR(IF(N(BK193)&gt;=Configuration!$C$53,TRUE(),FALSE()),FALSE()))</f>
        <v>0</v>
      </c>
      <c r="CZ193" s="50" t="b">
        <f aca="false">IF(Configuration!$C$39="No","",IFERROR(IF(AND(N(BS193)&gt;=2,N(BF193)&gt;=2),TRUE(),FALSE()),FALSE()))</f>
        <v>0</v>
      </c>
      <c r="DA193" s="50" t="b">
        <f aca="false">IF(Configuration!$C$40="No","",IFERROR(IF(OR(N(BG193)&lt;=Configuration!$C$56,N(AY193)&lt;Configuration!$C$57,N(BH193)&lt;=Configuration!$C$58),TRUE(),FALSE()),FALSE()))</f>
        <v>1</v>
      </c>
      <c r="DB193" s="50" t="b">
        <f aca="false">IF(Configuration!$C$41="No","",IFERROR(IF(AND(N(AY193)&gt;=Configuration!$C$54,N(AY193)&lt;=Configuration!$C$55),TRUE(),FALSE()),FALSE()))</f>
        <v>0</v>
      </c>
      <c r="DC193" s="50" t="b">
        <f aca="false">IF(Configuration!$C$42="No","",IFERROR(IF(AND(AG193&lt;&gt;"",AJ193&lt;&gt;""),TRUE(),FALSE()),FALSE()))</f>
        <v>0</v>
      </c>
      <c r="DD193" s="51" t="n">
        <f aca="false">COUNTIF(BW193:DC193,TRUE())</f>
        <v>2</v>
      </c>
    </row>
    <row r="194" customFormat="false" ht="15" hidden="false" customHeight="true" outlineLevel="0" collapsed="false">
      <c r="A194" s="18" t="n">
        <v>155</v>
      </c>
      <c r="B194" s="44"/>
      <c r="C194" s="44"/>
      <c r="D194" s="44"/>
      <c r="E194" s="44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6" t="str">
        <f aca="false">IFERROR(IF(F194&lt;&gt;"",F194,""),"")</f>
        <v/>
      </c>
      <c r="AF194" s="46" t="str">
        <f aca="false">IFERROR(IF(G194&lt;&gt;"",G194,""),"")</f>
        <v/>
      </c>
      <c r="AG194" s="46" t="str">
        <f aca="false">IFERROR(IF(AA194&lt;&gt;"",AA194,IF(R194&lt;&gt;"",R194,"")),"")</f>
        <v/>
      </c>
      <c r="AH194" s="46" t="str">
        <f aca="false">IFERROR(IF(AB194&lt;&gt;"",AB194,IF(S194&lt;&gt;"",S194,"")),"")</f>
        <v/>
      </c>
      <c r="AI194" s="47"/>
      <c r="AJ194" s="47"/>
      <c r="AK194" s="47"/>
      <c r="AL194" s="47"/>
      <c r="AM194" s="47"/>
      <c r="AN194" s="47"/>
      <c r="AO194" s="47"/>
      <c r="AP194" s="47"/>
      <c r="AQ194" s="46" t="str">
        <f aca="false">IFERROR(IF(Y194&lt;&gt;"",VALUE(Y194),""),"")</f>
        <v/>
      </c>
      <c r="AR194" s="47"/>
      <c r="AS194" s="47"/>
      <c r="AT194" s="47"/>
      <c r="AU194" s="47"/>
      <c r="AV194" s="46" t="str">
        <f aca="false">IFERROR(IF(T194&lt;&gt;"",VALUE(T194),""),"")</f>
        <v/>
      </c>
      <c r="AW194" s="46" t="str">
        <f aca="false">IFERROR(IF(N194="","",IF(OR(ISNUMBER(SEARCH("grant",N194)),ISNUMBER(SEARCH("B",AC194))),"Granted",IF(OR(ISNUMBER(SEARCH("pend",N194)),ISNUMBER(SEARCH("A",AC194))),"Pending",IF(ISNUMBER(SEARCH("expir",N194)),"Expired",N194)))),"")</f>
        <v/>
      </c>
      <c r="AX194" s="47"/>
      <c r="AY194" s="46" t="str">
        <f aca="true">IFERROR(IF(M194&lt;&gt;"",ROUND(VALUE(M194),1),IF(L194&lt;&gt;"",ROUND(MAX(0,(DATEVALUE(TEXT(L194,"YYYY-MM-DD"))-TODAY())/365.25),1),"")),"")</f>
        <v/>
      </c>
      <c r="AZ194" s="46" t="str">
        <f aca="false">IFERROR(IF(O194&lt;&gt;"",O194,""),"")</f>
        <v/>
      </c>
      <c r="BA194" s="46" t="str">
        <f aca="false">IFERROR(IF(U194&lt;&gt;"",SUBSTITUTE(SUBSTITUTE(U194,"; ",", "),";",","),""),"")</f>
        <v/>
      </c>
      <c r="BB194" s="47"/>
      <c r="BC194" s="47"/>
      <c r="BD194" s="47"/>
      <c r="BE194" s="47"/>
      <c r="BF194" s="47"/>
      <c r="BG194" s="47"/>
      <c r="BH194" s="47"/>
      <c r="BI194" s="47"/>
      <c r="BJ194" s="47"/>
      <c r="BK194" s="46" t="str">
        <f aca="false">IFERROR(IF(W194&lt;&gt;"",VALUE(W194),""),"")</f>
        <v/>
      </c>
      <c r="BL194" s="46" t="str">
        <f aca="false">IFERROR(IF(X194&lt;&gt;"",VALUE(X194),""),"")</f>
        <v/>
      </c>
      <c r="BM194" s="46" t="str">
        <f aca="false">IFERROR(IF(AD194="","None",IF(ISNUMBER(SEARCH("surv",AD194)),"Survived",IF(ISNUMBER(SEARCH("pend",AD194)),"Pending",IF(ISNUMBER(SEARCH("yes",AD194)),"Pending","None")))),"None")</f>
        <v>None</v>
      </c>
      <c r="BN194" s="47"/>
      <c r="BO194" s="47"/>
      <c r="BP194" s="47"/>
      <c r="BQ194" s="47"/>
      <c r="BR194" s="47"/>
      <c r="BS194" s="47"/>
      <c r="BT194" s="47"/>
      <c r="BU194" s="48" t="n">
        <f aca="false">IFERROR(COUNTA(AE194:BT194)/42,0)</f>
        <v>0.30952380952381</v>
      </c>
      <c r="BV194" s="49"/>
      <c r="BW194" s="50" t="b">
        <f aca="false">IF(Configuration!$C$10="No","",IFERROR(IF(AG194&lt;&gt;"",TRUE(),FALSE()),FALSE()))</f>
        <v>0</v>
      </c>
      <c r="BX194" s="50" t="b">
        <f aca="false">IF(Configuration!$C$11="No","",IFERROR(IF(AND(N(AL194)&gt;=Configuration!$C$44,AM194&lt;&gt;""),TRUE(),FALSE()),FALSE()))</f>
        <v>0</v>
      </c>
      <c r="BY194" s="50" t="b">
        <f aca="false">IF(Configuration!$C$12="No","",IFERROR(IF(AJ194&lt;&gt;"",TRUE(),FALSE()),FALSE()))</f>
        <v>0</v>
      </c>
      <c r="BZ194" s="50" t="b">
        <f aca="false">IF(Configuration!$C$13="No","",IFERROR(IF(AI194&lt;&gt;"",TRUE(),FALSE()),FALSE()))</f>
        <v>0</v>
      </c>
      <c r="CA194" s="50" t="b">
        <f aca="false">IF(Configuration!$C$14="No","",IFERROR(IF(AK194&lt;&gt;"",TRUE(),FALSE()),FALSE()))</f>
        <v>0</v>
      </c>
      <c r="CB194" s="50" t="b">
        <f aca="false">IF(Configuration!$C$15="No","",IFERROR(IF(AND(OR(ISNUMBER(SEARCH("process",AG194)),ISNUMBER(SEARCH("fab",AG194)),ISNUMBER(SEARCH("manufac",AG194))),AO194="Method"),TRUE(),FALSE()),FALSE()))</f>
        <v>0</v>
      </c>
      <c r="CC194" s="50" t="b">
        <f aca="false">IF(Configuration!$C$16="No","",IFERROR(IF(AND(OR(ISNUMBER(SEARCH("material",AG194)),ISNUMBER(SEARCH("chem",AG194)),ISNUMBER(SEARCH("battery",AG194)),ISNUMBER(SEARCH("electrolyte",AG194)),ISNUMBER(SEARCH("polymer",AG194))),OR(AO194="Apparatus",AO194="Method")),TRUE(),FALSE()),FALSE()))</f>
        <v>0</v>
      </c>
      <c r="CD194" s="50" t="b">
        <f aca="false">IF(Configuration!$C$17="No","",IFERROR(IF(AND(OR(AI194="App",AI194="Middleware",AI194="Cloud"),OR(AO194="Method",AO194="CRM")),TRUE(),FALSE()),FALSE()))</f>
        <v>0</v>
      </c>
      <c r="CE194" s="50" t="b">
        <f aca="false">IF(Configuration!$C$18="No","",IFERROR(IF(N(AN194)&gt;=Configuration!$C$45,TRUE(),FALSE()),FALSE()))</f>
        <v>0</v>
      </c>
      <c r="CF194" s="50" t="b">
        <f aca="false">IF(Configuration!$C$19="No","",IFERROR(IF(BE194&lt;&gt;"",TRUE(),FALSE()),FALSE()))</f>
        <v>0</v>
      </c>
      <c r="CG194" s="50" t="b">
        <f aca="false">IF(Configuration!$C$20="No","",IFERROR(IF(AO194&lt;&gt;"",TRUE(),FALSE()),FALSE()))</f>
        <v>0</v>
      </c>
      <c r="CH194" s="50" t="b">
        <f aca="false">IF(Configuration!$C$21="No","",IFERROR(IF(OR(N(AS194)&gt;=Configuration!$C$46,N(AT194)&gt;=Configuration!$C$47),TRUE(),FALSE()),FALSE()))</f>
        <v>0</v>
      </c>
      <c r="CI194" s="50" t="b">
        <f aca="false">IF(Configuration!$C$22="No","",IFERROR(IF(BB194="Yes",TRUE(),FALSE()),FALSE()))</f>
        <v>0</v>
      </c>
      <c r="CJ194" s="50" t="b">
        <f aca="false">IF(Configuration!$C$23="No","",IFERROR(IF(N(AV194)&gt;=Configuration!$C$48,TRUE(),FALSE()),FALSE()))</f>
        <v>0</v>
      </c>
      <c r="CK194" s="50" t="b">
        <f aca="false">IF(Configuration!$C$24="No","",IFERROR(IF(N(AY194)&gt;0,TRUE(),FALSE()),FALSE()))</f>
        <v>0</v>
      </c>
      <c r="CL194" s="50" t="b">
        <f aca="false">IF(Configuration!$C$25="No","",IFERROR(IF(OR(N(AP194)=3,N(AP194)&lt;=1),TRUE(),FALSE()),FALSE()))</f>
        <v>1</v>
      </c>
      <c r="CM194" s="50" t="b">
        <f aca="false">IF(Configuration!$C$26="No","",IFERROR(IF(N(BF194)&gt;=Configuration!$C$49,TRUE(),FALSE()),FALSE()))</f>
        <v>0</v>
      </c>
      <c r="CN194" s="50" t="b">
        <f aca="false">IF(Configuration!$C$27="No","",IFERROR(IF(BD194&lt;&gt;"",TRUE(),FALSE()),FALSE()))</f>
        <v>0</v>
      </c>
      <c r="CO194" s="50" t="b">
        <f aca="false">IF(Configuration!$C$28="No","",IFERROR(IF(N(AU194)&gt;=Configuration!$C$50,TRUE(),FALSE()),FALSE()))</f>
        <v>0</v>
      </c>
      <c r="CP194" s="50" t="b">
        <f aca="false">IF(Configuration!$C$29="No","",IFERROR(IF(AND(N(AR194)&gt;=Configuration!$C$51,AG194&lt;&gt;""),TRUE(),FALSE()),FALSE()))</f>
        <v>0</v>
      </c>
      <c r="CQ194" s="50" t="b">
        <f aca="false">IF(Configuration!$C$30="No","",IFERROR(IF(OR(AW194="Pending",AX194="Yes"),TRUE(),FALSE()),FALSE()))</f>
        <v>0</v>
      </c>
      <c r="CR194" s="50" t="b">
        <f aca="false">IF(Configuration!$C$31="No","",IFERROR(IF(AND(N(BG194)&gt;=Configuration!$C$52,N(AP194)&gt;=1),TRUE(),FALSE()),FALSE()))</f>
        <v>0</v>
      </c>
      <c r="CS194" s="50" t="b">
        <f aca="false">IF(Configuration!$C$32="No","",IFERROR(IF(AND(N(AR194)&gt;=1,OR(AG194&lt;&gt;"",AM194&lt;&gt;"")),TRUE(),FALSE()),FALSE()))</f>
        <v>0</v>
      </c>
      <c r="CT194" s="50" t="b">
        <f aca="false">IF(Configuration!$C$33="No","",IFERROR(IF(AG194&lt;&gt;"",TRUE(),FALSE()),FALSE()))</f>
        <v>0</v>
      </c>
      <c r="CU194" s="50" t="b">
        <f aca="false">IF(Configuration!$C$34="No","",IFERROR(IF(AX194="Yes",TRUE(),FALSE()),FALSE()))</f>
        <v>0</v>
      </c>
      <c r="CV194" s="50" t="b">
        <f aca="false">IF(Configuration!$C$35="No","",IFERROR(IF(OR(BO194="Partial",BO194="Full"),TRUE(),FALSE()),FALSE()))</f>
        <v>0</v>
      </c>
      <c r="CW194" s="50" t="b">
        <f aca="false">IF(Configuration!$C$36="No","",IFERROR(IF(BM194="Survived",TRUE(),FALSE()),FALSE()))</f>
        <v>0</v>
      </c>
      <c r="CX194" s="50" t="b">
        <f aca="false">IF(Configuration!$C$37="No","",IFERROR(IF(AND(BN194="Clean",BP194="None"),TRUE(),FALSE()),FALSE()))</f>
        <v>0</v>
      </c>
      <c r="CY194" s="50" t="b">
        <f aca="false">IF(Configuration!$C$38="No","",IFERROR(IF(N(BK194)&gt;=Configuration!$C$53,TRUE(),FALSE()),FALSE()))</f>
        <v>0</v>
      </c>
      <c r="CZ194" s="50" t="b">
        <f aca="false">IF(Configuration!$C$39="No","",IFERROR(IF(AND(N(BS194)&gt;=2,N(BF194)&gt;=2),TRUE(),FALSE()),FALSE()))</f>
        <v>0</v>
      </c>
      <c r="DA194" s="50" t="b">
        <f aca="false">IF(Configuration!$C$40="No","",IFERROR(IF(OR(N(BG194)&lt;=Configuration!$C$56,N(AY194)&lt;Configuration!$C$57,N(BH194)&lt;=Configuration!$C$58),TRUE(),FALSE()),FALSE()))</f>
        <v>1</v>
      </c>
      <c r="DB194" s="50" t="b">
        <f aca="false">IF(Configuration!$C$41="No","",IFERROR(IF(AND(N(AY194)&gt;=Configuration!$C$54,N(AY194)&lt;=Configuration!$C$55),TRUE(),FALSE()),FALSE()))</f>
        <v>0</v>
      </c>
      <c r="DC194" s="50" t="b">
        <f aca="false">IF(Configuration!$C$42="No","",IFERROR(IF(AND(AG194&lt;&gt;"",AJ194&lt;&gt;""),TRUE(),FALSE()),FALSE()))</f>
        <v>0</v>
      </c>
      <c r="DD194" s="51" t="n">
        <f aca="false">COUNTIF(BW194:DC194,TRUE())</f>
        <v>2</v>
      </c>
    </row>
    <row r="195" customFormat="false" ht="15" hidden="false" customHeight="true" outlineLevel="0" collapsed="false">
      <c r="A195" s="18" t="n">
        <v>156</v>
      </c>
      <c r="B195" s="44"/>
      <c r="C195" s="44"/>
      <c r="D195" s="44"/>
      <c r="E195" s="44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6" t="str">
        <f aca="false">IFERROR(IF(F195&lt;&gt;"",F195,""),"")</f>
        <v/>
      </c>
      <c r="AF195" s="46" t="str">
        <f aca="false">IFERROR(IF(G195&lt;&gt;"",G195,""),"")</f>
        <v/>
      </c>
      <c r="AG195" s="46" t="str">
        <f aca="false">IFERROR(IF(AA195&lt;&gt;"",AA195,IF(R195&lt;&gt;"",R195,"")),"")</f>
        <v/>
      </c>
      <c r="AH195" s="46" t="str">
        <f aca="false">IFERROR(IF(AB195&lt;&gt;"",AB195,IF(S195&lt;&gt;"",S195,"")),"")</f>
        <v/>
      </c>
      <c r="AI195" s="47"/>
      <c r="AJ195" s="47"/>
      <c r="AK195" s="47"/>
      <c r="AL195" s="47"/>
      <c r="AM195" s="47"/>
      <c r="AN195" s="47"/>
      <c r="AO195" s="47"/>
      <c r="AP195" s="47"/>
      <c r="AQ195" s="46" t="str">
        <f aca="false">IFERROR(IF(Y195&lt;&gt;"",VALUE(Y195),""),"")</f>
        <v/>
      </c>
      <c r="AR195" s="47"/>
      <c r="AS195" s="47"/>
      <c r="AT195" s="47"/>
      <c r="AU195" s="47"/>
      <c r="AV195" s="46" t="str">
        <f aca="false">IFERROR(IF(T195&lt;&gt;"",VALUE(T195),""),"")</f>
        <v/>
      </c>
      <c r="AW195" s="46" t="str">
        <f aca="false">IFERROR(IF(N195="","",IF(OR(ISNUMBER(SEARCH("grant",N195)),ISNUMBER(SEARCH("B",AC195))),"Granted",IF(OR(ISNUMBER(SEARCH("pend",N195)),ISNUMBER(SEARCH("A",AC195))),"Pending",IF(ISNUMBER(SEARCH("expir",N195)),"Expired",N195)))),"")</f>
        <v/>
      </c>
      <c r="AX195" s="47"/>
      <c r="AY195" s="46" t="str">
        <f aca="true">IFERROR(IF(M195&lt;&gt;"",ROUND(VALUE(M195),1),IF(L195&lt;&gt;"",ROUND(MAX(0,(DATEVALUE(TEXT(L195,"YYYY-MM-DD"))-TODAY())/365.25),1),"")),"")</f>
        <v/>
      </c>
      <c r="AZ195" s="46" t="str">
        <f aca="false">IFERROR(IF(O195&lt;&gt;"",O195,""),"")</f>
        <v/>
      </c>
      <c r="BA195" s="46" t="str">
        <f aca="false">IFERROR(IF(U195&lt;&gt;"",SUBSTITUTE(SUBSTITUTE(U195,"; ",", "),";",","),""),"")</f>
        <v/>
      </c>
      <c r="BB195" s="47"/>
      <c r="BC195" s="47"/>
      <c r="BD195" s="47"/>
      <c r="BE195" s="47"/>
      <c r="BF195" s="47"/>
      <c r="BG195" s="47"/>
      <c r="BH195" s="47"/>
      <c r="BI195" s="47"/>
      <c r="BJ195" s="47"/>
      <c r="BK195" s="46" t="str">
        <f aca="false">IFERROR(IF(W195&lt;&gt;"",VALUE(W195),""),"")</f>
        <v/>
      </c>
      <c r="BL195" s="46" t="str">
        <f aca="false">IFERROR(IF(X195&lt;&gt;"",VALUE(X195),""),"")</f>
        <v/>
      </c>
      <c r="BM195" s="46" t="str">
        <f aca="false">IFERROR(IF(AD195="","None",IF(ISNUMBER(SEARCH("surv",AD195)),"Survived",IF(ISNUMBER(SEARCH("pend",AD195)),"Pending",IF(ISNUMBER(SEARCH("yes",AD195)),"Pending","None")))),"None")</f>
        <v>None</v>
      </c>
      <c r="BN195" s="47"/>
      <c r="BO195" s="47"/>
      <c r="BP195" s="47"/>
      <c r="BQ195" s="47"/>
      <c r="BR195" s="47"/>
      <c r="BS195" s="47"/>
      <c r="BT195" s="47"/>
      <c r="BU195" s="48" t="n">
        <f aca="false">IFERROR(COUNTA(AE195:BT195)/42,0)</f>
        <v>0.30952380952381</v>
      </c>
      <c r="BV195" s="49"/>
      <c r="BW195" s="50" t="b">
        <f aca="false">IF(Configuration!$C$10="No","",IFERROR(IF(AG195&lt;&gt;"",TRUE(),FALSE()),FALSE()))</f>
        <v>0</v>
      </c>
      <c r="BX195" s="50" t="b">
        <f aca="false">IF(Configuration!$C$11="No","",IFERROR(IF(AND(N(AL195)&gt;=Configuration!$C$44,AM195&lt;&gt;""),TRUE(),FALSE()),FALSE()))</f>
        <v>0</v>
      </c>
      <c r="BY195" s="50" t="b">
        <f aca="false">IF(Configuration!$C$12="No","",IFERROR(IF(AJ195&lt;&gt;"",TRUE(),FALSE()),FALSE()))</f>
        <v>0</v>
      </c>
      <c r="BZ195" s="50" t="b">
        <f aca="false">IF(Configuration!$C$13="No","",IFERROR(IF(AI195&lt;&gt;"",TRUE(),FALSE()),FALSE()))</f>
        <v>0</v>
      </c>
      <c r="CA195" s="50" t="b">
        <f aca="false">IF(Configuration!$C$14="No","",IFERROR(IF(AK195&lt;&gt;"",TRUE(),FALSE()),FALSE()))</f>
        <v>0</v>
      </c>
      <c r="CB195" s="50" t="b">
        <f aca="false">IF(Configuration!$C$15="No","",IFERROR(IF(AND(OR(ISNUMBER(SEARCH("process",AG195)),ISNUMBER(SEARCH("fab",AG195)),ISNUMBER(SEARCH("manufac",AG195))),AO195="Method"),TRUE(),FALSE()),FALSE()))</f>
        <v>0</v>
      </c>
      <c r="CC195" s="50" t="b">
        <f aca="false">IF(Configuration!$C$16="No","",IFERROR(IF(AND(OR(ISNUMBER(SEARCH("material",AG195)),ISNUMBER(SEARCH("chem",AG195)),ISNUMBER(SEARCH("battery",AG195)),ISNUMBER(SEARCH("electrolyte",AG195)),ISNUMBER(SEARCH("polymer",AG195))),OR(AO195="Apparatus",AO195="Method")),TRUE(),FALSE()),FALSE()))</f>
        <v>0</v>
      </c>
      <c r="CD195" s="50" t="b">
        <f aca="false">IF(Configuration!$C$17="No","",IFERROR(IF(AND(OR(AI195="App",AI195="Middleware",AI195="Cloud"),OR(AO195="Method",AO195="CRM")),TRUE(),FALSE()),FALSE()))</f>
        <v>0</v>
      </c>
      <c r="CE195" s="50" t="b">
        <f aca="false">IF(Configuration!$C$18="No","",IFERROR(IF(N(AN195)&gt;=Configuration!$C$45,TRUE(),FALSE()),FALSE()))</f>
        <v>0</v>
      </c>
      <c r="CF195" s="50" t="b">
        <f aca="false">IF(Configuration!$C$19="No","",IFERROR(IF(BE195&lt;&gt;"",TRUE(),FALSE()),FALSE()))</f>
        <v>0</v>
      </c>
      <c r="CG195" s="50" t="b">
        <f aca="false">IF(Configuration!$C$20="No","",IFERROR(IF(AO195&lt;&gt;"",TRUE(),FALSE()),FALSE()))</f>
        <v>0</v>
      </c>
      <c r="CH195" s="50" t="b">
        <f aca="false">IF(Configuration!$C$21="No","",IFERROR(IF(OR(N(AS195)&gt;=Configuration!$C$46,N(AT195)&gt;=Configuration!$C$47),TRUE(),FALSE()),FALSE()))</f>
        <v>0</v>
      </c>
      <c r="CI195" s="50" t="b">
        <f aca="false">IF(Configuration!$C$22="No","",IFERROR(IF(BB195="Yes",TRUE(),FALSE()),FALSE()))</f>
        <v>0</v>
      </c>
      <c r="CJ195" s="50" t="b">
        <f aca="false">IF(Configuration!$C$23="No","",IFERROR(IF(N(AV195)&gt;=Configuration!$C$48,TRUE(),FALSE()),FALSE()))</f>
        <v>0</v>
      </c>
      <c r="CK195" s="50" t="b">
        <f aca="false">IF(Configuration!$C$24="No","",IFERROR(IF(N(AY195)&gt;0,TRUE(),FALSE()),FALSE()))</f>
        <v>0</v>
      </c>
      <c r="CL195" s="50" t="b">
        <f aca="false">IF(Configuration!$C$25="No","",IFERROR(IF(OR(N(AP195)=3,N(AP195)&lt;=1),TRUE(),FALSE()),FALSE()))</f>
        <v>1</v>
      </c>
      <c r="CM195" s="50" t="b">
        <f aca="false">IF(Configuration!$C$26="No","",IFERROR(IF(N(BF195)&gt;=Configuration!$C$49,TRUE(),FALSE()),FALSE()))</f>
        <v>0</v>
      </c>
      <c r="CN195" s="50" t="b">
        <f aca="false">IF(Configuration!$C$27="No","",IFERROR(IF(BD195&lt;&gt;"",TRUE(),FALSE()),FALSE()))</f>
        <v>0</v>
      </c>
      <c r="CO195" s="50" t="b">
        <f aca="false">IF(Configuration!$C$28="No","",IFERROR(IF(N(AU195)&gt;=Configuration!$C$50,TRUE(),FALSE()),FALSE()))</f>
        <v>0</v>
      </c>
      <c r="CP195" s="50" t="b">
        <f aca="false">IF(Configuration!$C$29="No","",IFERROR(IF(AND(N(AR195)&gt;=Configuration!$C$51,AG195&lt;&gt;""),TRUE(),FALSE()),FALSE()))</f>
        <v>0</v>
      </c>
      <c r="CQ195" s="50" t="b">
        <f aca="false">IF(Configuration!$C$30="No","",IFERROR(IF(OR(AW195="Pending",AX195="Yes"),TRUE(),FALSE()),FALSE()))</f>
        <v>0</v>
      </c>
      <c r="CR195" s="50" t="b">
        <f aca="false">IF(Configuration!$C$31="No","",IFERROR(IF(AND(N(BG195)&gt;=Configuration!$C$52,N(AP195)&gt;=1),TRUE(),FALSE()),FALSE()))</f>
        <v>0</v>
      </c>
      <c r="CS195" s="50" t="b">
        <f aca="false">IF(Configuration!$C$32="No","",IFERROR(IF(AND(N(AR195)&gt;=1,OR(AG195&lt;&gt;"",AM195&lt;&gt;"")),TRUE(),FALSE()),FALSE()))</f>
        <v>0</v>
      </c>
      <c r="CT195" s="50" t="b">
        <f aca="false">IF(Configuration!$C$33="No","",IFERROR(IF(AG195&lt;&gt;"",TRUE(),FALSE()),FALSE()))</f>
        <v>0</v>
      </c>
      <c r="CU195" s="50" t="b">
        <f aca="false">IF(Configuration!$C$34="No","",IFERROR(IF(AX195="Yes",TRUE(),FALSE()),FALSE()))</f>
        <v>0</v>
      </c>
      <c r="CV195" s="50" t="b">
        <f aca="false">IF(Configuration!$C$35="No","",IFERROR(IF(OR(BO195="Partial",BO195="Full"),TRUE(),FALSE()),FALSE()))</f>
        <v>0</v>
      </c>
      <c r="CW195" s="50" t="b">
        <f aca="false">IF(Configuration!$C$36="No","",IFERROR(IF(BM195="Survived",TRUE(),FALSE()),FALSE()))</f>
        <v>0</v>
      </c>
      <c r="CX195" s="50" t="b">
        <f aca="false">IF(Configuration!$C$37="No","",IFERROR(IF(AND(BN195="Clean",BP195="None"),TRUE(),FALSE()),FALSE()))</f>
        <v>0</v>
      </c>
      <c r="CY195" s="50" t="b">
        <f aca="false">IF(Configuration!$C$38="No","",IFERROR(IF(N(BK195)&gt;=Configuration!$C$53,TRUE(),FALSE()),FALSE()))</f>
        <v>0</v>
      </c>
      <c r="CZ195" s="50" t="b">
        <f aca="false">IF(Configuration!$C$39="No","",IFERROR(IF(AND(N(BS195)&gt;=2,N(BF195)&gt;=2),TRUE(),FALSE()),FALSE()))</f>
        <v>0</v>
      </c>
      <c r="DA195" s="50" t="b">
        <f aca="false">IF(Configuration!$C$40="No","",IFERROR(IF(OR(N(BG195)&lt;=Configuration!$C$56,N(AY195)&lt;Configuration!$C$57,N(BH195)&lt;=Configuration!$C$58),TRUE(),FALSE()),FALSE()))</f>
        <v>1</v>
      </c>
      <c r="DB195" s="50" t="b">
        <f aca="false">IF(Configuration!$C$41="No","",IFERROR(IF(AND(N(AY195)&gt;=Configuration!$C$54,N(AY195)&lt;=Configuration!$C$55),TRUE(),FALSE()),FALSE()))</f>
        <v>0</v>
      </c>
      <c r="DC195" s="50" t="b">
        <f aca="false">IF(Configuration!$C$42="No","",IFERROR(IF(AND(AG195&lt;&gt;"",AJ195&lt;&gt;""),TRUE(),FALSE()),FALSE()))</f>
        <v>0</v>
      </c>
      <c r="DD195" s="51" t="n">
        <f aca="false">COUNTIF(BW195:DC195,TRUE())</f>
        <v>2</v>
      </c>
    </row>
    <row r="196" customFormat="false" ht="15" hidden="false" customHeight="true" outlineLevel="0" collapsed="false">
      <c r="A196" s="18" t="n">
        <v>157</v>
      </c>
      <c r="B196" s="44"/>
      <c r="C196" s="44"/>
      <c r="D196" s="44"/>
      <c r="E196" s="44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6" t="str">
        <f aca="false">IFERROR(IF(F196&lt;&gt;"",F196,""),"")</f>
        <v/>
      </c>
      <c r="AF196" s="46" t="str">
        <f aca="false">IFERROR(IF(G196&lt;&gt;"",G196,""),"")</f>
        <v/>
      </c>
      <c r="AG196" s="46" t="str">
        <f aca="false">IFERROR(IF(AA196&lt;&gt;"",AA196,IF(R196&lt;&gt;"",R196,"")),"")</f>
        <v/>
      </c>
      <c r="AH196" s="46" t="str">
        <f aca="false">IFERROR(IF(AB196&lt;&gt;"",AB196,IF(S196&lt;&gt;"",S196,"")),"")</f>
        <v/>
      </c>
      <c r="AI196" s="47"/>
      <c r="AJ196" s="47"/>
      <c r="AK196" s="47"/>
      <c r="AL196" s="47"/>
      <c r="AM196" s="47"/>
      <c r="AN196" s="47"/>
      <c r="AO196" s="47"/>
      <c r="AP196" s="47"/>
      <c r="AQ196" s="46" t="str">
        <f aca="false">IFERROR(IF(Y196&lt;&gt;"",VALUE(Y196),""),"")</f>
        <v/>
      </c>
      <c r="AR196" s="47"/>
      <c r="AS196" s="47"/>
      <c r="AT196" s="47"/>
      <c r="AU196" s="47"/>
      <c r="AV196" s="46" t="str">
        <f aca="false">IFERROR(IF(T196&lt;&gt;"",VALUE(T196),""),"")</f>
        <v/>
      </c>
      <c r="AW196" s="46" t="str">
        <f aca="false">IFERROR(IF(N196="","",IF(OR(ISNUMBER(SEARCH("grant",N196)),ISNUMBER(SEARCH("B",AC196))),"Granted",IF(OR(ISNUMBER(SEARCH("pend",N196)),ISNUMBER(SEARCH("A",AC196))),"Pending",IF(ISNUMBER(SEARCH("expir",N196)),"Expired",N196)))),"")</f>
        <v/>
      </c>
      <c r="AX196" s="47"/>
      <c r="AY196" s="46" t="str">
        <f aca="true">IFERROR(IF(M196&lt;&gt;"",ROUND(VALUE(M196),1),IF(L196&lt;&gt;"",ROUND(MAX(0,(DATEVALUE(TEXT(L196,"YYYY-MM-DD"))-TODAY())/365.25),1),"")),"")</f>
        <v/>
      </c>
      <c r="AZ196" s="46" t="str">
        <f aca="false">IFERROR(IF(O196&lt;&gt;"",O196,""),"")</f>
        <v/>
      </c>
      <c r="BA196" s="46" t="str">
        <f aca="false">IFERROR(IF(U196&lt;&gt;"",SUBSTITUTE(SUBSTITUTE(U196,"; ",", "),";",","),""),"")</f>
        <v/>
      </c>
      <c r="BB196" s="47"/>
      <c r="BC196" s="47"/>
      <c r="BD196" s="47"/>
      <c r="BE196" s="47"/>
      <c r="BF196" s="47"/>
      <c r="BG196" s="47"/>
      <c r="BH196" s="47"/>
      <c r="BI196" s="47"/>
      <c r="BJ196" s="47"/>
      <c r="BK196" s="46" t="str">
        <f aca="false">IFERROR(IF(W196&lt;&gt;"",VALUE(W196),""),"")</f>
        <v/>
      </c>
      <c r="BL196" s="46" t="str">
        <f aca="false">IFERROR(IF(X196&lt;&gt;"",VALUE(X196),""),"")</f>
        <v/>
      </c>
      <c r="BM196" s="46" t="str">
        <f aca="false">IFERROR(IF(AD196="","None",IF(ISNUMBER(SEARCH("surv",AD196)),"Survived",IF(ISNUMBER(SEARCH("pend",AD196)),"Pending",IF(ISNUMBER(SEARCH("yes",AD196)),"Pending","None")))),"None")</f>
        <v>None</v>
      </c>
      <c r="BN196" s="47"/>
      <c r="BO196" s="47"/>
      <c r="BP196" s="47"/>
      <c r="BQ196" s="47"/>
      <c r="BR196" s="47"/>
      <c r="BS196" s="47"/>
      <c r="BT196" s="47"/>
      <c r="BU196" s="48" t="n">
        <f aca="false">IFERROR(COUNTA(AE196:BT196)/42,0)</f>
        <v>0.30952380952381</v>
      </c>
      <c r="BV196" s="49"/>
      <c r="BW196" s="50" t="b">
        <f aca="false">IF(Configuration!$C$10="No","",IFERROR(IF(AG196&lt;&gt;"",TRUE(),FALSE()),FALSE()))</f>
        <v>0</v>
      </c>
      <c r="BX196" s="50" t="b">
        <f aca="false">IF(Configuration!$C$11="No","",IFERROR(IF(AND(N(AL196)&gt;=Configuration!$C$44,AM196&lt;&gt;""),TRUE(),FALSE()),FALSE()))</f>
        <v>0</v>
      </c>
      <c r="BY196" s="50" t="b">
        <f aca="false">IF(Configuration!$C$12="No","",IFERROR(IF(AJ196&lt;&gt;"",TRUE(),FALSE()),FALSE()))</f>
        <v>0</v>
      </c>
      <c r="BZ196" s="50" t="b">
        <f aca="false">IF(Configuration!$C$13="No","",IFERROR(IF(AI196&lt;&gt;"",TRUE(),FALSE()),FALSE()))</f>
        <v>0</v>
      </c>
      <c r="CA196" s="50" t="b">
        <f aca="false">IF(Configuration!$C$14="No","",IFERROR(IF(AK196&lt;&gt;"",TRUE(),FALSE()),FALSE()))</f>
        <v>0</v>
      </c>
      <c r="CB196" s="50" t="b">
        <f aca="false">IF(Configuration!$C$15="No","",IFERROR(IF(AND(OR(ISNUMBER(SEARCH("process",AG196)),ISNUMBER(SEARCH("fab",AG196)),ISNUMBER(SEARCH("manufac",AG196))),AO196="Method"),TRUE(),FALSE()),FALSE()))</f>
        <v>0</v>
      </c>
      <c r="CC196" s="50" t="b">
        <f aca="false">IF(Configuration!$C$16="No","",IFERROR(IF(AND(OR(ISNUMBER(SEARCH("material",AG196)),ISNUMBER(SEARCH("chem",AG196)),ISNUMBER(SEARCH("battery",AG196)),ISNUMBER(SEARCH("electrolyte",AG196)),ISNUMBER(SEARCH("polymer",AG196))),OR(AO196="Apparatus",AO196="Method")),TRUE(),FALSE()),FALSE()))</f>
        <v>0</v>
      </c>
      <c r="CD196" s="50" t="b">
        <f aca="false">IF(Configuration!$C$17="No","",IFERROR(IF(AND(OR(AI196="App",AI196="Middleware",AI196="Cloud"),OR(AO196="Method",AO196="CRM")),TRUE(),FALSE()),FALSE()))</f>
        <v>0</v>
      </c>
      <c r="CE196" s="50" t="b">
        <f aca="false">IF(Configuration!$C$18="No","",IFERROR(IF(N(AN196)&gt;=Configuration!$C$45,TRUE(),FALSE()),FALSE()))</f>
        <v>0</v>
      </c>
      <c r="CF196" s="50" t="b">
        <f aca="false">IF(Configuration!$C$19="No","",IFERROR(IF(BE196&lt;&gt;"",TRUE(),FALSE()),FALSE()))</f>
        <v>0</v>
      </c>
      <c r="CG196" s="50" t="b">
        <f aca="false">IF(Configuration!$C$20="No","",IFERROR(IF(AO196&lt;&gt;"",TRUE(),FALSE()),FALSE()))</f>
        <v>0</v>
      </c>
      <c r="CH196" s="50" t="b">
        <f aca="false">IF(Configuration!$C$21="No","",IFERROR(IF(OR(N(AS196)&gt;=Configuration!$C$46,N(AT196)&gt;=Configuration!$C$47),TRUE(),FALSE()),FALSE()))</f>
        <v>0</v>
      </c>
      <c r="CI196" s="50" t="b">
        <f aca="false">IF(Configuration!$C$22="No","",IFERROR(IF(BB196="Yes",TRUE(),FALSE()),FALSE()))</f>
        <v>0</v>
      </c>
      <c r="CJ196" s="50" t="b">
        <f aca="false">IF(Configuration!$C$23="No","",IFERROR(IF(N(AV196)&gt;=Configuration!$C$48,TRUE(),FALSE()),FALSE()))</f>
        <v>0</v>
      </c>
      <c r="CK196" s="50" t="b">
        <f aca="false">IF(Configuration!$C$24="No","",IFERROR(IF(N(AY196)&gt;0,TRUE(),FALSE()),FALSE()))</f>
        <v>0</v>
      </c>
      <c r="CL196" s="50" t="b">
        <f aca="false">IF(Configuration!$C$25="No","",IFERROR(IF(OR(N(AP196)=3,N(AP196)&lt;=1),TRUE(),FALSE()),FALSE()))</f>
        <v>1</v>
      </c>
      <c r="CM196" s="50" t="b">
        <f aca="false">IF(Configuration!$C$26="No","",IFERROR(IF(N(BF196)&gt;=Configuration!$C$49,TRUE(),FALSE()),FALSE()))</f>
        <v>0</v>
      </c>
      <c r="CN196" s="50" t="b">
        <f aca="false">IF(Configuration!$C$27="No","",IFERROR(IF(BD196&lt;&gt;"",TRUE(),FALSE()),FALSE()))</f>
        <v>0</v>
      </c>
      <c r="CO196" s="50" t="b">
        <f aca="false">IF(Configuration!$C$28="No","",IFERROR(IF(N(AU196)&gt;=Configuration!$C$50,TRUE(),FALSE()),FALSE()))</f>
        <v>0</v>
      </c>
      <c r="CP196" s="50" t="b">
        <f aca="false">IF(Configuration!$C$29="No","",IFERROR(IF(AND(N(AR196)&gt;=Configuration!$C$51,AG196&lt;&gt;""),TRUE(),FALSE()),FALSE()))</f>
        <v>0</v>
      </c>
      <c r="CQ196" s="50" t="b">
        <f aca="false">IF(Configuration!$C$30="No","",IFERROR(IF(OR(AW196="Pending",AX196="Yes"),TRUE(),FALSE()),FALSE()))</f>
        <v>0</v>
      </c>
      <c r="CR196" s="50" t="b">
        <f aca="false">IF(Configuration!$C$31="No","",IFERROR(IF(AND(N(BG196)&gt;=Configuration!$C$52,N(AP196)&gt;=1),TRUE(),FALSE()),FALSE()))</f>
        <v>0</v>
      </c>
      <c r="CS196" s="50" t="b">
        <f aca="false">IF(Configuration!$C$32="No","",IFERROR(IF(AND(N(AR196)&gt;=1,OR(AG196&lt;&gt;"",AM196&lt;&gt;"")),TRUE(),FALSE()),FALSE()))</f>
        <v>0</v>
      </c>
      <c r="CT196" s="50" t="b">
        <f aca="false">IF(Configuration!$C$33="No","",IFERROR(IF(AG196&lt;&gt;"",TRUE(),FALSE()),FALSE()))</f>
        <v>0</v>
      </c>
      <c r="CU196" s="50" t="b">
        <f aca="false">IF(Configuration!$C$34="No","",IFERROR(IF(AX196="Yes",TRUE(),FALSE()),FALSE()))</f>
        <v>0</v>
      </c>
      <c r="CV196" s="50" t="b">
        <f aca="false">IF(Configuration!$C$35="No","",IFERROR(IF(OR(BO196="Partial",BO196="Full"),TRUE(),FALSE()),FALSE()))</f>
        <v>0</v>
      </c>
      <c r="CW196" s="50" t="b">
        <f aca="false">IF(Configuration!$C$36="No","",IFERROR(IF(BM196="Survived",TRUE(),FALSE()),FALSE()))</f>
        <v>0</v>
      </c>
      <c r="CX196" s="50" t="b">
        <f aca="false">IF(Configuration!$C$37="No","",IFERROR(IF(AND(BN196="Clean",BP196="None"),TRUE(),FALSE()),FALSE()))</f>
        <v>0</v>
      </c>
      <c r="CY196" s="50" t="b">
        <f aca="false">IF(Configuration!$C$38="No","",IFERROR(IF(N(BK196)&gt;=Configuration!$C$53,TRUE(),FALSE()),FALSE()))</f>
        <v>0</v>
      </c>
      <c r="CZ196" s="50" t="b">
        <f aca="false">IF(Configuration!$C$39="No","",IFERROR(IF(AND(N(BS196)&gt;=2,N(BF196)&gt;=2),TRUE(),FALSE()),FALSE()))</f>
        <v>0</v>
      </c>
      <c r="DA196" s="50" t="b">
        <f aca="false">IF(Configuration!$C$40="No","",IFERROR(IF(OR(N(BG196)&lt;=Configuration!$C$56,N(AY196)&lt;Configuration!$C$57,N(BH196)&lt;=Configuration!$C$58),TRUE(),FALSE()),FALSE()))</f>
        <v>1</v>
      </c>
      <c r="DB196" s="50" t="b">
        <f aca="false">IF(Configuration!$C$41="No","",IFERROR(IF(AND(N(AY196)&gt;=Configuration!$C$54,N(AY196)&lt;=Configuration!$C$55),TRUE(),FALSE()),FALSE()))</f>
        <v>0</v>
      </c>
      <c r="DC196" s="50" t="b">
        <f aca="false">IF(Configuration!$C$42="No","",IFERROR(IF(AND(AG196&lt;&gt;"",AJ196&lt;&gt;""),TRUE(),FALSE()),FALSE()))</f>
        <v>0</v>
      </c>
      <c r="DD196" s="51" t="n">
        <f aca="false">COUNTIF(BW196:DC196,TRUE())</f>
        <v>2</v>
      </c>
    </row>
    <row r="197" customFormat="false" ht="15" hidden="false" customHeight="true" outlineLevel="0" collapsed="false">
      <c r="A197" s="18" t="n">
        <v>158</v>
      </c>
      <c r="B197" s="44"/>
      <c r="C197" s="44"/>
      <c r="D197" s="44"/>
      <c r="E197" s="44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6" t="str">
        <f aca="false">IFERROR(IF(F197&lt;&gt;"",F197,""),"")</f>
        <v/>
      </c>
      <c r="AF197" s="46" t="str">
        <f aca="false">IFERROR(IF(G197&lt;&gt;"",G197,""),"")</f>
        <v/>
      </c>
      <c r="AG197" s="46" t="str">
        <f aca="false">IFERROR(IF(AA197&lt;&gt;"",AA197,IF(R197&lt;&gt;"",R197,"")),"")</f>
        <v/>
      </c>
      <c r="AH197" s="46" t="str">
        <f aca="false">IFERROR(IF(AB197&lt;&gt;"",AB197,IF(S197&lt;&gt;"",S197,"")),"")</f>
        <v/>
      </c>
      <c r="AI197" s="47"/>
      <c r="AJ197" s="47"/>
      <c r="AK197" s="47"/>
      <c r="AL197" s="47"/>
      <c r="AM197" s="47"/>
      <c r="AN197" s="47"/>
      <c r="AO197" s="47"/>
      <c r="AP197" s="47"/>
      <c r="AQ197" s="46" t="str">
        <f aca="false">IFERROR(IF(Y197&lt;&gt;"",VALUE(Y197),""),"")</f>
        <v/>
      </c>
      <c r="AR197" s="47"/>
      <c r="AS197" s="47"/>
      <c r="AT197" s="47"/>
      <c r="AU197" s="47"/>
      <c r="AV197" s="46" t="str">
        <f aca="false">IFERROR(IF(T197&lt;&gt;"",VALUE(T197),""),"")</f>
        <v/>
      </c>
      <c r="AW197" s="46" t="str">
        <f aca="false">IFERROR(IF(N197="","",IF(OR(ISNUMBER(SEARCH("grant",N197)),ISNUMBER(SEARCH("B",AC197))),"Granted",IF(OR(ISNUMBER(SEARCH("pend",N197)),ISNUMBER(SEARCH("A",AC197))),"Pending",IF(ISNUMBER(SEARCH("expir",N197)),"Expired",N197)))),"")</f>
        <v/>
      </c>
      <c r="AX197" s="47"/>
      <c r="AY197" s="46" t="str">
        <f aca="true">IFERROR(IF(M197&lt;&gt;"",ROUND(VALUE(M197),1),IF(L197&lt;&gt;"",ROUND(MAX(0,(DATEVALUE(TEXT(L197,"YYYY-MM-DD"))-TODAY())/365.25),1),"")),"")</f>
        <v/>
      </c>
      <c r="AZ197" s="46" t="str">
        <f aca="false">IFERROR(IF(O197&lt;&gt;"",O197,""),"")</f>
        <v/>
      </c>
      <c r="BA197" s="46" t="str">
        <f aca="false">IFERROR(IF(U197&lt;&gt;"",SUBSTITUTE(SUBSTITUTE(U197,"; ",", "),";",","),""),"")</f>
        <v/>
      </c>
      <c r="BB197" s="47"/>
      <c r="BC197" s="47"/>
      <c r="BD197" s="47"/>
      <c r="BE197" s="47"/>
      <c r="BF197" s="47"/>
      <c r="BG197" s="47"/>
      <c r="BH197" s="47"/>
      <c r="BI197" s="47"/>
      <c r="BJ197" s="47"/>
      <c r="BK197" s="46" t="str">
        <f aca="false">IFERROR(IF(W197&lt;&gt;"",VALUE(W197),""),"")</f>
        <v/>
      </c>
      <c r="BL197" s="46" t="str">
        <f aca="false">IFERROR(IF(X197&lt;&gt;"",VALUE(X197),""),"")</f>
        <v/>
      </c>
      <c r="BM197" s="46" t="str">
        <f aca="false">IFERROR(IF(AD197="","None",IF(ISNUMBER(SEARCH("surv",AD197)),"Survived",IF(ISNUMBER(SEARCH("pend",AD197)),"Pending",IF(ISNUMBER(SEARCH("yes",AD197)),"Pending","None")))),"None")</f>
        <v>None</v>
      </c>
      <c r="BN197" s="47"/>
      <c r="BO197" s="47"/>
      <c r="BP197" s="47"/>
      <c r="BQ197" s="47"/>
      <c r="BR197" s="47"/>
      <c r="BS197" s="47"/>
      <c r="BT197" s="47"/>
      <c r="BU197" s="48" t="n">
        <f aca="false">IFERROR(COUNTA(AE197:BT197)/42,0)</f>
        <v>0.30952380952381</v>
      </c>
      <c r="BV197" s="49"/>
      <c r="BW197" s="50" t="b">
        <f aca="false">IF(Configuration!$C$10="No","",IFERROR(IF(AG197&lt;&gt;"",TRUE(),FALSE()),FALSE()))</f>
        <v>0</v>
      </c>
      <c r="BX197" s="50" t="b">
        <f aca="false">IF(Configuration!$C$11="No","",IFERROR(IF(AND(N(AL197)&gt;=Configuration!$C$44,AM197&lt;&gt;""),TRUE(),FALSE()),FALSE()))</f>
        <v>0</v>
      </c>
      <c r="BY197" s="50" t="b">
        <f aca="false">IF(Configuration!$C$12="No","",IFERROR(IF(AJ197&lt;&gt;"",TRUE(),FALSE()),FALSE()))</f>
        <v>0</v>
      </c>
      <c r="BZ197" s="50" t="b">
        <f aca="false">IF(Configuration!$C$13="No","",IFERROR(IF(AI197&lt;&gt;"",TRUE(),FALSE()),FALSE()))</f>
        <v>0</v>
      </c>
      <c r="CA197" s="50" t="b">
        <f aca="false">IF(Configuration!$C$14="No","",IFERROR(IF(AK197&lt;&gt;"",TRUE(),FALSE()),FALSE()))</f>
        <v>0</v>
      </c>
      <c r="CB197" s="50" t="b">
        <f aca="false">IF(Configuration!$C$15="No","",IFERROR(IF(AND(OR(ISNUMBER(SEARCH("process",AG197)),ISNUMBER(SEARCH("fab",AG197)),ISNUMBER(SEARCH("manufac",AG197))),AO197="Method"),TRUE(),FALSE()),FALSE()))</f>
        <v>0</v>
      </c>
      <c r="CC197" s="50" t="b">
        <f aca="false">IF(Configuration!$C$16="No","",IFERROR(IF(AND(OR(ISNUMBER(SEARCH("material",AG197)),ISNUMBER(SEARCH("chem",AG197)),ISNUMBER(SEARCH("battery",AG197)),ISNUMBER(SEARCH("electrolyte",AG197)),ISNUMBER(SEARCH("polymer",AG197))),OR(AO197="Apparatus",AO197="Method")),TRUE(),FALSE()),FALSE()))</f>
        <v>0</v>
      </c>
      <c r="CD197" s="50" t="b">
        <f aca="false">IF(Configuration!$C$17="No","",IFERROR(IF(AND(OR(AI197="App",AI197="Middleware",AI197="Cloud"),OR(AO197="Method",AO197="CRM")),TRUE(),FALSE()),FALSE()))</f>
        <v>0</v>
      </c>
      <c r="CE197" s="50" t="b">
        <f aca="false">IF(Configuration!$C$18="No","",IFERROR(IF(N(AN197)&gt;=Configuration!$C$45,TRUE(),FALSE()),FALSE()))</f>
        <v>0</v>
      </c>
      <c r="CF197" s="50" t="b">
        <f aca="false">IF(Configuration!$C$19="No","",IFERROR(IF(BE197&lt;&gt;"",TRUE(),FALSE()),FALSE()))</f>
        <v>0</v>
      </c>
      <c r="CG197" s="50" t="b">
        <f aca="false">IF(Configuration!$C$20="No","",IFERROR(IF(AO197&lt;&gt;"",TRUE(),FALSE()),FALSE()))</f>
        <v>0</v>
      </c>
      <c r="CH197" s="50" t="b">
        <f aca="false">IF(Configuration!$C$21="No","",IFERROR(IF(OR(N(AS197)&gt;=Configuration!$C$46,N(AT197)&gt;=Configuration!$C$47),TRUE(),FALSE()),FALSE()))</f>
        <v>0</v>
      </c>
      <c r="CI197" s="50" t="b">
        <f aca="false">IF(Configuration!$C$22="No","",IFERROR(IF(BB197="Yes",TRUE(),FALSE()),FALSE()))</f>
        <v>0</v>
      </c>
      <c r="CJ197" s="50" t="b">
        <f aca="false">IF(Configuration!$C$23="No","",IFERROR(IF(N(AV197)&gt;=Configuration!$C$48,TRUE(),FALSE()),FALSE()))</f>
        <v>0</v>
      </c>
      <c r="CK197" s="50" t="b">
        <f aca="false">IF(Configuration!$C$24="No","",IFERROR(IF(N(AY197)&gt;0,TRUE(),FALSE()),FALSE()))</f>
        <v>0</v>
      </c>
      <c r="CL197" s="50" t="b">
        <f aca="false">IF(Configuration!$C$25="No","",IFERROR(IF(OR(N(AP197)=3,N(AP197)&lt;=1),TRUE(),FALSE()),FALSE()))</f>
        <v>1</v>
      </c>
      <c r="CM197" s="50" t="b">
        <f aca="false">IF(Configuration!$C$26="No","",IFERROR(IF(N(BF197)&gt;=Configuration!$C$49,TRUE(),FALSE()),FALSE()))</f>
        <v>0</v>
      </c>
      <c r="CN197" s="50" t="b">
        <f aca="false">IF(Configuration!$C$27="No","",IFERROR(IF(BD197&lt;&gt;"",TRUE(),FALSE()),FALSE()))</f>
        <v>0</v>
      </c>
      <c r="CO197" s="50" t="b">
        <f aca="false">IF(Configuration!$C$28="No","",IFERROR(IF(N(AU197)&gt;=Configuration!$C$50,TRUE(),FALSE()),FALSE()))</f>
        <v>0</v>
      </c>
      <c r="CP197" s="50" t="b">
        <f aca="false">IF(Configuration!$C$29="No","",IFERROR(IF(AND(N(AR197)&gt;=Configuration!$C$51,AG197&lt;&gt;""),TRUE(),FALSE()),FALSE()))</f>
        <v>0</v>
      </c>
      <c r="CQ197" s="50" t="b">
        <f aca="false">IF(Configuration!$C$30="No","",IFERROR(IF(OR(AW197="Pending",AX197="Yes"),TRUE(),FALSE()),FALSE()))</f>
        <v>0</v>
      </c>
      <c r="CR197" s="50" t="b">
        <f aca="false">IF(Configuration!$C$31="No","",IFERROR(IF(AND(N(BG197)&gt;=Configuration!$C$52,N(AP197)&gt;=1),TRUE(),FALSE()),FALSE()))</f>
        <v>0</v>
      </c>
      <c r="CS197" s="50" t="b">
        <f aca="false">IF(Configuration!$C$32="No","",IFERROR(IF(AND(N(AR197)&gt;=1,OR(AG197&lt;&gt;"",AM197&lt;&gt;"")),TRUE(),FALSE()),FALSE()))</f>
        <v>0</v>
      </c>
      <c r="CT197" s="50" t="b">
        <f aca="false">IF(Configuration!$C$33="No","",IFERROR(IF(AG197&lt;&gt;"",TRUE(),FALSE()),FALSE()))</f>
        <v>0</v>
      </c>
      <c r="CU197" s="50" t="b">
        <f aca="false">IF(Configuration!$C$34="No","",IFERROR(IF(AX197="Yes",TRUE(),FALSE()),FALSE()))</f>
        <v>0</v>
      </c>
      <c r="CV197" s="50" t="b">
        <f aca="false">IF(Configuration!$C$35="No","",IFERROR(IF(OR(BO197="Partial",BO197="Full"),TRUE(),FALSE()),FALSE()))</f>
        <v>0</v>
      </c>
      <c r="CW197" s="50" t="b">
        <f aca="false">IF(Configuration!$C$36="No","",IFERROR(IF(BM197="Survived",TRUE(),FALSE()),FALSE()))</f>
        <v>0</v>
      </c>
      <c r="CX197" s="50" t="b">
        <f aca="false">IF(Configuration!$C$37="No","",IFERROR(IF(AND(BN197="Clean",BP197="None"),TRUE(),FALSE()),FALSE()))</f>
        <v>0</v>
      </c>
      <c r="CY197" s="50" t="b">
        <f aca="false">IF(Configuration!$C$38="No","",IFERROR(IF(N(BK197)&gt;=Configuration!$C$53,TRUE(),FALSE()),FALSE()))</f>
        <v>0</v>
      </c>
      <c r="CZ197" s="50" t="b">
        <f aca="false">IF(Configuration!$C$39="No","",IFERROR(IF(AND(N(BS197)&gt;=2,N(BF197)&gt;=2),TRUE(),FALSE()),FALSE()))</f>
        <v>0</v>
      </c>
      <c r="DA197" s="50" t="b">
        <f aca="false">IF(Configuration!$C$40="No","",IFERROR(IF(OR(N(BG197)&lt;=Configuration!$C$56,N(AY197)&lt;Configuration!$C$57,N(BH197)&lt;=Configuration!$C$58),TRUE(),FALSE()),FALSE()))</f>
        <v>1</v>
      </c>
      <c r="DB197" s="50" t="b">
        <f aca="false">IF(Configuration!$C$41="No","",IFERROR(IF(AND(N(AY197)&gt;=Configuration!$C$54,N(AY197)&lt;=Configuration!$C$55),TRUE(),FALSE()),FALSE()))</f>
        <v>0</v>
      </c>
      <c r="DC197" s="50" t="b">
        <f aca="false">IF(Configuration!$C$42="No","",IFERROR(IF(AND(AG197&lt;&gt;"",AJ197&lt;&gt;""),TRUE(),FALSE()),FALSE()))</f>
        <v>0</v>
      </c>
      <c r="DD197" s="51" t="n">
        <f aca="false">COUNTIF(BW197:DC197,TRUE())</f>
        <v>2</v>
      </c>
    </row>
    <row r="198" customFormat="false" ht="15" hidden="false" customHeight="true" outlineLevel="0" collapsed="false">
      <c r="A198" s="18" t="n">
        <v>159</v>
      </c>
      <c r="B198" s="44"/>
      <c r="C198" s="44"/>
      <c r="D198" s="44"/>
      <c r="E198" s="44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6" t="str">
        <f aca="false">IFERROR(IF(F198&lt;&gt;"",F198,""),"")</f>
        <v/>
      </c>
      <c r="AF198" s="46" t="str">
        <f aca="false">IFERROR(IF(G198&lt;&gt;"",G198,""),"")</f>
        <v/>
      </c>
      <c r="AG198" s="46" t="str">
        <f aca="false">IFERROR(IF(AA198&lt;&gt;"",AA198,IF(R198&lt;&gt;"",R198,"")),"")</f>
        <v/>
      </c>
      <c r="AH198" s="46" t="str">
        <f aca="false">IFERROR(IF(AB198&lt;&gt;"",AB198,IF(S198&lt;&gt;"",S198,"")),"")</f>
        <v/>
      </c>
      <c r="AI198" s="47"/>
      <c r="AJ198" s="47"/>
      <c r="AK198" s="47"/>
      <c r="AL198" s="47"/>
      <c r="AM198" s="47"/>
      <c r="AN198" s="47"/>
      <c r="AO198" s="47"/>
      <c r="AP198" s="47"/>
      <c r="AQ198" s="46" t="str">
        <f aca="false">IFERROR(IF(Y198&lt;&gt;"",VALUE(Y198),""),"")</f>
        <v/>
      </c>
      <c r="AR198" s="47"/>
      <c r="AS198" s="47"/>
      <c r="AT198" s="47"/>
      <c r="AU198" s="47"/>
      <c r="AV198" s="46" t="str">
        <f aca="false">IFERROR(IF(T198&lt;&gt;"",VALUE(T198),""),"")</f>
        <v/>
      </c>
      <c r="AW198" s="46" t="str">
        <f aca="false">IFERROR(IF(N198="","",IF(OR(ISNUMBER(SEARCH("grant",N198)),ISNUMBER(SEARCH("B",AC198))),"Granted",IF(OR(ISNUMBER(SEARCH("pend",N198)),ISNUMBER(SEARCH("A",AC198))),"Pending",IF(ISNUMBER(SEARCH("expir",N198)),"Expired",N198)))),"")</f>
        <v/>
      </c>
      <c r="AX198" s="47"/>
      <c r="AY198" s="46" t="str">
        <f aca="true">IFERROR(IF(M198&lt;&gt;"",ROUND(VALUE(M198),1),IF(L198&lt;&gt;"",ROUND(MAX(0,(DATEVALUE(TEXT(L198,"YYYY-MM-DD"))-TODAY())/365.25),1),"")),"")</f>
        <v/>
      </c>
      <c r="AZ198" s="46" t="str">
        <f aca="false">IFERROR(IF(O198&lt;&gt;"",O198,""),"")</f>
        <v/>
      </c>
      <c r="BA198" s="46" t="str">
        <f aca="false">IFERROR(IF(U198&lt;&gt;"",SUBSTITUTE(SUBSTITUTE(U198,"; ",", "),";",","),""),"")</f>
        <v/>
      </c>
      <c r="BB198" s="47"/>
      <c r="BC198" s="47"/>
      <c r="BD198" s="47"/>
      <c r="BE198" s="47"/>
      <c r="BF198" s="47"/>
      <c r="BG198" s="47"/>
      <c r="BH198" s="47"/>
      <c r="BI198" s="47"/>
      <c r="BJ198" s="47"/>
      <c r="BK198" s="46" t="str">
        <f aca="false">IFERROR(IF(W198&lt;&gt;"",VALUE(W198),""),"")</f>
        <v/>
      </c>
      <c r="BL198" s="46" t="str">
        <f aca="false">IFERROR(IF(X198&lt;&gt;"",VALUE(X198),""),"")</f>
        <v/>
      </c>
      <c r="BM198" s="46" t="str">
        <f aca="false">IFERROR(IF(AD198="","None",IF(ISNUMBER(SEARCH("surv",AD198)),"Survived",IF(ISNUMBER(SEARCH("pend",AD198)),"Pending",IF(ISNUMBER(SEARCH("yes",AD198)),"Pending","None")))),"None")</f>
        <v>None</v>
      </c>
      <c r="BN198" s="47"/>
      <c r="BO198" s="47"/>
      <c r="BP198" s="47"/>
      <c r="BQ198" s="47"/>
      <c r="BR198" s="47"/>
      <c r="BS198" s="47"/>
      <c r="BT198" s="47"/>
      <c r="BU198" s="48" t="n">
        <f aca="false">IFERROR(COUNTA(AE198:BT198)/42,0)</f>
        <v>0.30952380952381</v>
      </c>
      <c r="BV198" s="49"/>
      <c r="BW198" s="50" t="b">
        <f aca="false">IF(Configuration!$C$10="No","",IFERROR(IF(AG198&lt;&gt;"",TRUE(),FALSE()),FALSE()))</f>
        <v>0</v>
      </c>
      <c r="BX198" s="50" t="b">
        <f aca="false">IF(Configuration!$C$11="No","",IFERROR(IF(AND(N(AL198)&gt;=Configuration!$C$44,AM198&lt;&gt;""),TRUE(),FALSE()),FALSE()))</f>
        <v>0</v>
      </c>
      <c r="BY198" s="50" t="b">
        <f aca="false">IF(Configuration!$C$12="No","",IFERROR(IF(AJ198&lt;&gt;"",TRUE(),FALSE()),FALSE()))</f>
        <v>0</v>
      </c>
      <c r="BZ198" s="50" t="b">
        <f aca="false">IF(Configuration!$C$13="No","",IFERROR(IF(AI198&lt;&gt;"",TRUE(),FALSE()),FALSE()))</f>
        <v>0</v>
      </c>
      <c r="CA198" s="50" t="b">
        <f aca="false">IF(Configuration!$C$14="No","",IFERROR(IF(AK198&lt;&gt;"",TRUE(),FALSE()),FALSE()))</f>
        <v>0</v>
      </c>
      <c r="CB198" s="50" t="b">
        <f aca="false">IF(Configuration!$C$15="No","",IFERROR(IF(AND(OR(ISNUMBER(SEARCH("process",AG198)),ISNUMBER(SEARCH("fab",AG198)),ISNUMBER(SEARCH("manufac",AG198))),AO198="Method"),TRUE(),FALSE()),FALSE()))</f>
        <v>0</v>
      </c>
      <c r="CC198" s="50" t="b">
        <f aca="false">IF(Configuration!$C$16="No","",IFERROR(IF(AND(OR(ISNUMBER(SEARCH("material",AG198)),ISNUMBER(SEARCH("chem",AG198)),ISNUMBER(SEARCH("battery",AG198)),ISNUMBER(SEARCH("electrolyte",AG198)),ISNUMBER(SEARCH("polymer",AG198))),OR(AO198="Apparatus",AO198="Method")),TRUE(),FALSE()),FALSE()))</f>
        <v>0</v>
      </c>
      <c r="CD198" s="50" t="b">
        <f aca="false">IF(Configuration!$C$17="No","",IFERROR(IF(AND(OR(AI198="App",AI198="Middleware",AI198="Cloud"),OR(AO198="Method",AO198="CRM")),TRUE(),FALSE()),FALSE()))</f>
        <v>0</v>
      </c>
      <c r="CE198" s="50" t="b">
        <f aca="false">IF(Configuration!$C$18="No","",IFERROR(IF(N(AN198)&gt;=Configuration!$C$45,TRUE(),FALSE()),FALSE()))</f>
        <v>0</v>
      </c>
      <c r="CF198" s="50" t="b">
        <f aca="false">IF(Configuration!$C$19="No","",IFERROR(IF(BE198&lt;&gt;"",TRUE(),FALSE()),FALSE()))</f>
        <v>0</v>
      </c>
      <c r="CG198" s="50" t="b">
        <f aca="false">IF(Configuration!$C$20="No","",IFERROR(IF(AO198&lt;&gt;"",TRUE(),FALSE()),FALSE()))</f>
        <v>0</v>
      </c>
      <c r="CH198" s="50" t="b">
        <f aca="false">IF(Configuration!$C$21="No","",IFERROR(IF(OR(N(AS198)&gt;=Configuration!$C$46,N(AT198)&gt;=Configuration!$C$47),TRUE(),FALSE()),FALSE()))</f>
        <v>0</v>
      </c>
      <c r="CI198" s="50" t="b">
        <f aca="false">IF(Configuration!$C$22="No","",IFERROR(IF(BB198="Yes",TRUE(),FALSE()),FALSE()))</f>
        <v>0</v>
      </c>
      <c r="CJ198" s="50" t="b">
        <f aca="false">IF(Configuration!$C$23="No","",IFERROR(IF(N(AV198)&gt;=Configuration!$C$48,TRUE(),FALSE()),FALSE()))</f>
        <v>0</v>
      </c>
      <c r="CK198" s="50" t="b">
        <f aca="false">IF(Configuration!$C$24="No","",IFERROR(IF(N(AY198)&gt;0,TRUE(),FALSE()),FALSE()))</f>
        <v>0</v>
      </c>
      <c r="CL198" s="50" t="b">
        <f aca="false">IF(Configuration!$C$25="No","",IFERROR(IF(OR(N(AP198)=3,N(AP198)&lt;=1),TRUE(),FALSE()),FALSE()))</f>
        <v>1</v>
      </c>
      <c r="CM198" s="50" t="b">
        <f aca="false">IF(Configuration!$C$26="No","",IFERROR(IF(N(BF198)&gt;=Configuration!$C$49,TRUE(),FALSE()),FALSE()))</f>
        <v>0</v>
      </c>
      <c r="CN198" s="50" t="b">
        <f aca="false">IF(Configuration!$C$27="No","",IFERROR(IF(BD198&lt;&gt;"",TRUE(),FALSE()),FALSE()))</f>
        <v>0</v>
      </c>
      <c r="CO198" s="50" t="b">
        <f aca="false">IF(Configuration!$C$28="No","",IFERROR(IF(N(AU198)&gt;=Configuration!$C$50,TRUE(),FALSE()),FALSE()))</f>
        <v>0</v>
      </c>
      <c r="CP198" s="50" t="b">
        <f aca="false">IF(Configuration!$C$29="No","",IFERROR(IF(AND(N(AR198)&gt;=Configuration!$C$51,AG198&lt;&gt;""),TRUE(),FALSE()),FALSE()))</f>
        <v>0</v>
      </c>
      <c r="CQ198" s="50" t="b">
        <f aca="false">IF(Configuration!$C$30="No","",IFERROR(IF(OR(AW198="Pending",AX198="Yes"),TRUE(),FALSE()),FALSE()))</f>
        <v>0</v>
      </c>
      <c r="CR198" s="50" t="b">
        <f aca="false">IF(Configuration!$C$31="No","",IFERROR(IF(AND(N(BG198)&gt;=Configuration!$C$52,N(AP198)&gt;=1),TRUE(),FALSE()),FALSE()))</f>
        <v>0</v>
      </c>
      <c r="CS198" s="50" t="b">
        <f aca="false">IF(Configuration!$C$32="No","",IFERROR(IF(AND(N(AR198)&gt;=1,OR(AG198&lt;&gt;"",AM198&lt;&gt;"")),TRUE(),FALSE()),FALSE()))</f>
        <v>0</v>
      </c>
      <c r="CT198" s="50" t="b">
        <f aca="false">IF(Configuration!$C$33="No","",IFERROR(IF(AG198&lt;&gt;"",TRUE(),FALSE()),FALSE()))</f>
        <v>0</v>
      </c>
      <c r="CU198" s="50" t="b">
        <f aca="false">IF(Configuration!$C$34="No","",IFERROR(IF(AX198="Yes",TRUE(),FALSE()),FALSE()))</f>
        <v>0</v>
      </c>
      <c r="CV198" s="50" t="b">
        <f aca="false">IF(Configuration!$C$35="No","",IFERROR(IF(OR(BO198="Partial",BO198="Full"),TRUE(),FALSE()),FALSE()))</f>
        <v>0</v>
      </c>
      <c r="CW198" s="50" t="b">
        <f aca="false">IF(Configuration!$C$36="No","",IFERROR(IF(BM198="Survived",TRUE(),FALSE()),FALSE()))</f>
        <v>0</v>
      </c>
      <c r="CX198" s="50" t="b">
        <f aca="false">IF(Configuration!$C$37="No","",IFERROR(IF(AND(BN198="Clean",BP198="None"),TRUE(),FALSE()),FALSE()))</f>
        <v>0</v>
      </c>
      <c r="CY198" s="50" t="b">
        <f aca="false">IF(Configuration!$C$38="No","",IFERROR(IF(N(BK198)&gt;=Configuration!$C$53,TRUE(),FALSE()),FALSE()))</f>
        <v>0</v>
      </c>
      <c r="CZ198" s="50" t="b">
        <f aca="false">IF(Configuration!$C$39="No","",IFERROR(IF(AND(N(BS198)&gt;=2,N(BF198)&gt;=2),TRUE(),FALSE()),FALSE()))</f>
        <v>0</v>
      </c>
      <c r="DA198" s="50" t="b">
        <f aca="false">IF(Configuration!$C$40="No","",IFERROR(IF(OR(N(BG198)&lt;=Configuration!$C$56,N(AY198)&lt;Configuration!$C$57,N(BH198)&lt;=Configuration!$C$58),TRUE(),FALSE()),FALSE()))</f>
        <v>1</v>
      </c>
      <c r="DB198" s="50" t="b">
        <f aca="false">IF(Configuration!$C$41="No","",IFERROR(IF(AND(N(AY198)&gt;=Configuration!$C$54,N(AY198)&lt;=Configuration!$C$55),TRUE(),FALSE()),FALSE()))</f>
        <v>0</v>
      </c>
      <c r="DC198" s="50" t="b">
        <f aca="false">IF(Configuration!$C$42="No","",IFERROR(IF(AND(AG198&lt;&gt;"",AJ198&lt;&gt;""),TRUE(),FALSE()),FALSE()))</f>
        <v>0</v>
      </c>
      <c r="DD198" s="51" t="n">
        <f aca="false">COUNTIF(BW198:DC198,TRUE())</f>
        <v>2</v>
      </c>
    </row>
    <row r="199" customFormat="false" ht="15" hidden="false" customHeight="true" outlineLevel="0" collapsed="false">
      <c r="A199" s="18" t="n">
        <v>160</v>
      </c>
      <c r="B199" s="44"/>
      <c r="C199" s="44"/>
      <c r="D199" s="44"/>
      <c r="E199" s="44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6" t="str">
        <f aca="false">IFERROR(IF(F199&lt;&gt;"",F199,""),"")</f>
        <v/>
      </c>
      <c r="AF199" s="46" t="str">
        <f aca="false">IFERROR(IF(G199&lt;&gt;"",G199,""),"")</f>
        <v/>
      </c>
      <c r="AG199" s="46" t="str">
        <f aca="false">IFERROR(IF(AA199&lt;&gt;"",AA199,IF(R199&lt;&gt;"",R199,"")),"")</f>
        <v/>
      </c>
      <c r="AH199" s="46" t="str">
        <f aca="false">IFERROR(IF(AB199&lt;&gt;"",AB199,IF(S199&lt;&gt;"",S199,"")),"")</f>
        <v/>
      </c>
      <c r="AI199" s="47"/>
      <c r="AJ199" s="47"/>
      <c r="AK199" s="47"/>
      <c r="AL199" s="47"/>
      <c r="AM199" s="47"/>
      <c r="AN199" s="47"/>
      <c r="AO199" s="47"/>
      <c r="AP199" s="47"/>
      <c r="AQ199" s="46" t="str">
        <f aca="false">IFERROR(IF(Y199&lt;&gt;"",VALUE(Y199),""),"")</f>
        <v/>
      </c>
      <c r="AR199" s="47"/>
      <c r="AS199" s="47"/>
      <c r="AT199" s="47"/>
      <c r="AU199" s="47"/>
      <c r="AV199" s="46" t="str">
        <f aca="false">IFERROR(IF(T199&lt;&gt;"",VALUE(T199),""),"")</f>
        <v/>
      </c>
      <c r="AW199" s="46" t="str">
        <f aca="false">IFERROR(IF(N199="","",IF(OR(ISNUMBER(SEARCH("grant",N199)),ISNUMBER(SEARCH("B",AC199))),"Granted",IF(OR(ISNUMBER(SEARCH("pend",N199)),ISNUMBER(SEARCH("A",AC199))),"Pending",IF(ISNUMBER(SEARCH("expir",N199)),"Expired",N199)))),"")</f>
        <v/>
      </c>
      <c r="AX199" s="47"/>
      <c r="AY199" s="46" t="str">
        <f aca="true">IFERROR(IF(M199&lt;&gt;"",ROUND(VALUE(M199),1),IF(L199&lt;&gt;"",ROUND(MAX(0,(DATEVALUE(TEXT(L199,"YYYY-MM-DD"))-TODAY())/365.25),1),"")),"")</f>
        <v/>
      </c>
      <c r="AZ199" s="46" t="str">
        <f aca="false">IFERROR(IF(O199&lt;&gt;"",O199,""),"")</f>
        <v/>
      </c>
      <c r="BA199" s="46" t="str">
        <f aca="false">IFERROR(IF(U199&lt;&gt;"",SUBSTITUTE(SUBSTITUTE(U199,"; ",", "),";",","),""),"")</f>
        <v/>
      </c>
      <c r="BB199" s="47"/>
      <c r="BC199" s="47"/>
      <c r="BD199" s="47"/>
      <c r="BE199" s="47"/>
      <c r="BF199" s="47"/>
      <c r="BG199" s="47"/>
      <c r="BH199" s="47"/>
      <c r="BI199" s="47"/>
      <c r="BJ199" s="47"/>
      <c r="BK199" s="46" t="str">
        <f aca="false">IFERROR(IF(W199&lt;&gt;"",VALUE(W199),""),"")</f>
        <v/>
      </c>
      <c r="BL199" s="46" t="str">
        <f aca="false">IFERROR(IF(X199&lt;&gt;"",VALUE(X199),""),"")</f>
        <v/>
      </c>
      <c r="BM199" s="46" t="str">
        <f aca="false">IFERROR(IF(AD199="","None",IF(ISNUMBER(SEARCH("surv",AD199)),"Survived",IF(ISNUMBER(SEARCH("pend",AD199)),"Pending",IF(ISNUMBER(SEARCH("yes",AD199)),"Pending","None")))),"None")</f>
        <v>None</v>
      </c>
      <c r="BN199" s="47"/>
      <c r="BO199" s="47"/>
      <c r="BP199" s="47"/>
      <c r="BQ199" s="47"/>
      <c r="BR199" s="47"/>
      <c r="BS199" s="47"/>
      <c r="BT199" s="47"/>
      <c r="BU199" s="48" t="n">
        <f aca="false">IFERROR(COUNTA(AE199:BT199)/42,0)</f>
        <v>0.30952380952381</v>
      </c>
      <c r="BV199" s="49"/>
      <c r="BW199" s="50" t="b">
        <f aca="false">IF(Configuration!$C$10="No","",IFERROR(IF(AG199&lt;&gt;"",TRUE(),FALSE()),FALSE()))</f>
        <v>0</v>
      </c>
      <c r="BX199" s="50" t="b">
        <f aca="false">IF(Configuration!$C$11="No","",IFERROR(IF(AND(N(AL199)&gt;=Configuration!$C$44,AM199&lt;&gt;""),TRUE(),FALSE()),FALSE()))</f>
        <v>0</v>
      </c>
      <c r="BY199" s="50" t="b">
        <f aca="false">IF(Configuration!$C$12="No","",IFERROR(IF(AJ199&lt;&gt;"",TRUE(),FALSE()),FALSE()))</f>
        <v>0</v>
      </c>
      <c r="BZ199" s="50" t="b">
        <f aca="false">IF(Configuration!$C$13="No","",IFERROR(IF(AI199&lt;&gt;"",TRUE(),FALSE()),FALSE()))</f>
        <v>0</v>
      </c>
      <c r="CA199" s="50" t="b">
        <f aca="false">IF(Configuration!$C$14="No","",IFERROR(IF(AK199&lt;&gt;"",TRUE(),FALSE()),FALSE()))</f>
        <v>0</v>
      </c>
      <c r="CB199" s="50" t="b">
        <f aca="false">IF(Configuration!$C$15="No","",IFERROR(IF(AND(OR(ISNUMBER(SEARCH("process",AG199)),ISNUMBER(SEARCH("fab",AG199)),ISNUMBER(SEARCH("manufac",AG199))),AO199="Method"),TRUE(),FALSE()),FALSE()))</f>
        <v>0</v>
      </c>
      <c r="CC199" s="50" t="b">
        <f aca="false">IF(Configuration!$C$16="No","",IFERROR(IF(AND(OR(ISNUMBER(SEARCH("material",AG199)),ISNUMBER(SEARCH("chem",AG199)),ISNUMBER(SEARCH("battery",AG199)),ISNUMBER(SEARCH("electrolyte",AG199)),ISNUMBER(SEARCH("polymer",AG199))),OR(AO199="Apparatus",AO199="Method")),TRUE(),FALSE()),FALSE()))</f>
        <v>0</v>
      </c>
      <c r="CD199" s="50" t="b">
        <f aca="false">IF(Configuration!$C$17="No","",IFERROR(IF(AND(OR(AI199="App",AI199="Middleware",AI199="Cloud"),OR(AO199="Method",AO199="CRM")),TRUE(),FALSE()),FALSE()))</f>
        <v>0</v>
      </c>
      <c r="CE199" s="50" t="b">
        <f aca="false">IF(Configuration!$C$18="No","",IFERROR(IF(N(AN199)&gt;=Configuration!$C$45,TRUE(),FALSE()),FALSE()))</f>
        <v>0</v>
      </c>
      <c r="CF199" s="50" t="b">
        <f aca="false">IF(Configuration!$C$19="No","",IFERROR(IF(BE199&lt;&gt;"",TRUE(),FALSE()),FALSE()))</f>
        <v>0</v>
      </c>
      <c r="CG199" s="50" t="b">
        <f aca="false">IF(Configuration!$C$20="No","",IFERROR(IF(AO199&lt;&gt;"",TRUE(),FALSE()),FALSE()))</f>
        <v>0</v>
      </c>
      <c r="CH199" s="50" t="b">
        <f aca="false">IF(Configuration!$C$21="No","",IFERROR(IF(OR(N(AS199)&gt;=Configuration!$C$46,N(AT199)&gt;=Configuration!$C$47),TRUE(),FALSE()),FALSE()))</f>
        <v>0</v>
      </c>
      <c r="CI199" s="50" t="b">
        <f aca="false">IF(Configuration!$C$22="No","",IFERROR(IF(BB199="Yes",TRUE(),FALSE()),FALSE()))</f>
        <v>0</v>
      </c>
      <c r="CJ199" s="50" t="b">
        <f aca="false">IF(Configuration!$C$23="No","",IFERROR(IF(N(AV199)&gt;=Configuration!$C$48,TRUE(),FALSE()),FALSE()))</f>
        <v>0</v>
      </c>
      <c r="CK199" s="50" t="b">
        <f aca="false">IF(Configuration!$C$24="No","",IFERROR(IF(N(AY199)&gt;0,TRUE(),FALSE()),FALSE()))</f>
        <v>0</v>
      </c>
      <c r="CL199" s="50" t="b">
        <f aca="false">IF(Configuration!$C$25="No","",IFERROR(IF(OR(N(AP199)=3,N(AP199)&lt;=1),TRUE(),FALSE()),FALSE()))</f>
        <v>1</v>
      </c>
      <c r="CM199" s="50" t="b">
        <f aca="false">IF(Configuration!$C$26="No","",IFERROR(IF(N(BF199)&gt;=Configuration!$C$49,TRUE(),FALSE()),FALSE()))</f>
        <v>0</v>
      </c>
      <c r="CN199" s="50" t="b">
        <f aca="false">IF(Configuration!$C$27="No","",IFERROR(IF(BD199&lt;&gt;"",TRUE(),FALSE()),FALSE()))</f>
        <v>0</v>
      </c>
      <c r="CO199" s="50" t="b">
        <f aca="false">IF(Configuration!$C$28="No","",IFERROR(IF(N(AU199)&gt;=Configuration!$C$50,TRUE(),FALSE()),FALSE()))</f>
        <v>0</v>
      </c>
      <c r="CP199" s="50" t="b">
        <f aca="false">IF(Configuration!$C$29="No","",IFERROR(IF(AND(N(AR199)&gt;=Configuration!$C$51,AG199&lt;&gt;""),TRUE(),FALSE()),FALSE()))</f>
        <v>0</v>
      </c>
      <c r="CQ199" s="50" t="b">
        <f aca="false">IF(Configuration!$C$30="No","",IFERROR(IF(OR(AW199="Pending",AX199="Yes"),TRUE(),FALSE()),FALSE()))</f>
        <v>0</v>
      </c>
      <c r="CR199" s="50" t="b">
        <f aca="false">IF(Configuration!$C$31="No","",IFERROR(IF(AND(N(BG199)&gt;=Configuration!$C$52,N(AP199)&gt;=1),TRUE(),FALSE()),FALSE()))</f>
        <v>0</v>
      </c>
      <c r="CS199" s="50" t="b">
        <f aca="false">IF(Configuration!$C$32="No","",IFERROR(IF(AND(N(AR199)&gt;=1,OR(AG199&lt;&gt;"",AM199&lt;&gt;"")),TRUE(),FALSE()),FALSE()))</f>
        <v>0</v>
      </c>
      <c r="CT199" s="50" t="b">
        <f aca="false">IF(Configuration!$C$33="No","",IFERROR(IF(AG199&lt;&gt;"",TRUE(),FALSE()),FALSE()))</f>
        <v>0</v>
      </c>
      <c r="CU199" s="50" t="b">
        <f aca="false">IF(Configuration!$C$34="No","",IFERROR(IF(AX199="Yes",TRUE(),FALSE()),FALSE()))</f>
        <v>0</v>
      </c>
      <c r="CV199" s="50" t="b">
        <f aca="false">IF(Configuration!$C$35="No","",IFERROR(IF(OR(BO199="Partial",BO199="Full"),TRUE(),FALSE()),FALSE()))</f>
        <v>0</v>
      </c>
      <c r="CW199" s="50" t="b">
        <f aca="false">IF(Configuration!$C$36="No","",IFERROR(IF(BM199="Survived",TRUE(),FALSE()),FALSE()))</f>
        <v>0</v>
      </c>
      <c r="CX199" s="50" t="b">
        <f aca="false">IF(Configuration!$C$37="No","",IFERROR(IF(AND(BN199="Clean",BP199="None"),TRUE(),FALSE()),FALSE()))</f>
        <v>0</v>
      </c>
      <c r="CY199" s="50" t="b">
        <f aca="false">IF(Configuration!$C$38="No","",IFERROR(IF(N(BK199)&gt;=Configuration!$C$53,TRUE(),FALSE()),FALSE()))</f>
        <v>0</v>
      </c>
      <c r="CZ199" s="50" t="b">
        <f aca="false">IF(Configuration!$C$39="No","",IFERROR(IF(AND(N(BS199)&gt;=2,N(BF199)&gt;=2),TRUE(),FALSE()),FALSE()))</f>
        <v>0</v>
      </c>
      <c r="DA199" s="50" t="b">
        <f aca="false">IF(Configuration!$C$40="No","",IFERROR(IF(OR(N(BG199)&lt;=Configuration!$C$56,N(AY199)&lt;Configuration!$C$57,N(BH199)&lt;=Configuration!$C$58),TRUE(),FALSE()),FALSE()))</f>
        <v>1</v>
      </c>
      <c r="DB199" s="50" t="b">
        <f aca="false">IF(Configuration!$C$41="No","",IFERROR(IF(AND(N(AY199)&gt;=Configuration!$C$54,N(AY199)&lt;=Configuration!$C$55),TRUE(),FALSE()),FALSE()))</f>
        <v>0</v>
      </c>
      <c r="DC199" s="50" t="b">
        <f aca="false">IF(Configuration!$C$42="No","",IFERROR(IF(AND(AG199&lt;&gt;"",AJ199&lt;&gt;""),TRUE(),FALSE()),FALSE()))</f>
        <v>0</v>
      </c>
      <c r="DD199" s="51" t="n">
        <f aca="false">COUNTIF(BW199:DC199,TRUE())</f>
        <v>2</v>
      </c>
    </row>
    <row r="200" customFormat="false" ht="15" hidden="false" customHeight="true" outlineLevel="0" collapsed="false">
      <c r="A200" s="18" t="n">
        <v>161</v>
      </c>
      <c r="B200" s="44"/>
      <c r="C200" s="44"/>
      <c r="D200" s="44"/>
      <c r="E200" s="44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6" t="str">
        <f aca="false">IFERROR(IF(F200&lt;&gt;"",F200,""),"")</f>
        <v/>
      </c>
      <c r="AF200" s="46" t="str">
        <f aca="false">IFERROR(IF(G200&lt;&gt;"",G200,""),"")</f>
        <v/>
      </c>
      <c r="AG200" s="46" t="str">
        <f aca="false">IFERROR(IF(AA200&lt;&gt;"",AA200,IF(R200&lt;&gt;"",R200,"")),"")</f>
        <v/>
      </c>
      <c r="AH200" s="46" t="str">
        <f aca="false">IFERROR(IF(AB200&lt;&gt;"",AB200,IF(S200&lt;&gt;"",S200,"")),"")</f>
        <v/>
      </c>
      <c r="AI200" s="47"/>
      <c r="AJ200" s="47"/>
      <c r="AK200" s="47"/>
      <c r="AL200" s="47"/>
      <c r="AM200" s="47"/>
      <c r="AN200" s="47"/>
      <c r="AO200" s="47"/>
      <c r="AP200" s="47"/>
      <c r="AQ200" s="46" t="str">
        <f aca="false">IFERROR(IF(Y200&lt;&gt;"",VALUE(Y200),""),"")</f>
        <v/>
      </c>
      <c r="AR200" s="47"/>
      <c r="AS200" s="47"/>
      <c r="AT200" s="47"/>
      <c r="AU200" s="47"/>
      <c r="AV200" s="46" t="str">
        <f aca="false">IFERROR(IF(T200&lt;&gt;"",VALUE(T200),""),"")</f>
        <v/>
      </c>
      <c r="AW200" s="46" t="str">
        <f aca="false">IFERROR(IF(N200="","",IF(OR(ISNUMBER(SEARCH("grant",N200)),ISNUMBER(SEARCH("B",AC200))),"Granted",IF(OR(ISNUMBER(SEARCH("pend",N200)),ISNUMBER(SEARCH("A",AC200))),"Pending",IF(ISNUMBER(SEARCH("expir",N200)),"Expired",N200)))),"")</f>
        <v/>
      </c>
      <c r="AX200" s="47"/>
      <c r="AY200" s="46" t="str">
        <f aca="true">IFERROR(IF(M200&lt;&gt;"",ROUND(VALUE(M200),1),IF(L200&lt;&gt;"",ROUND(MAX(0,(DATEVALUE(TEXT(L200,"YYYY-MM-DD"))-TODAY())/365.25),1),"")),"")</f>
        <v/>
      </c>
      <c r="AZ200" s="46" t="str">
        <f aca="false">IFERROR(IF(O200&lt;&gt;"",O200,""),"")</f>
        <v/>
      </c>
      <c r="BA200" s="46" t="str">
        <f aca="false">IFERROR(IF(U200&lt;&gt;"",SUBSTITUTE(SUBSTITUTE(U200,"; ",", "),";",","),""),"")</f>
        <v/>
      </c>
      <c r="BB200" s="47"/>
      <c r="BC200" s="47"/>
      <c r="BD200" s="47"/>
      <c r="BE200" s="47"/>
      <c r="BF200" s="47"/>
      <c r="BG200" s="47"/>
      <c r="BH200" s="47"/>
      <c r="BI200" s="47"/>
      <c r="BJ200" s="47"/>
      <c r="BK200" s="46" t="str">
        <f aca="false">IFERROR(IF(W200&lt;&gt;"",VALUE(W200),""),"")</f>
        <v/>
      </c>
      <c r="BL200" s="46" t="str">
        <f aca="false">IFERROR(IF(X200&lt;&gt;"",VALUE(X200),""),"")</f>
        <v/>
      </c>
      <c r="BM200" s="46" t="str">
        <f aca="false">IFERROR(IF(AD200="","None",IF(ISNUMBER(SEARCH("surv",AD200)),"Survived",IF(ISNUMBER(SEARCH("pend",AD200)),"Pending",IF(ISNUMBER(SEARCH("yes",AD200)),"Pending","None")))),"None")</f>
        <v>None</v>
      </c>
      <c r="BN200" s="47"/>
      <c r="BO200" s="47"/>
      <c r="BP200" s="47"/>
      <c r="BQ200" s="47"/>
      <c r="BR200" s="47"/>
      <c r="BS200" s="47"/>
      <c r="BT200" s="47"/>
      <c r="BU200" s="48" t="n">
        <f aca="false">IFERROR(COUNTA(AE200:BT200)/42,0)</f>
        <v>0.30952380952381</v>
      </c>
      <c r="BV200" s="49"/>
      <c r="BW200" s="50" t="b">
        <f aca="false">IF(Configuration!$C$10="No","",IFERROR(IF(AG200&lt;&gt;"",TRUE(),FALSE()),FALSE()))</f>
        <v>0</v>
      </c>
      <c r="BX200" s="50" t="b">
        <f aca="false">IF(Configuration!$C$11="No","",IFERROR(IF(AND(N(AL200)&gt;=Configuration!$C$44,AM200&lt;&gt;""),TRUE(),FALSE()),FALSE()))</f>
        <v>0</v>
      </c>
      <c r="BY200" s="50" t="b">
        <f aca="false">IF(Configuration!$C$12="No","",IFERROR(IF(AJ200&lt;&gt;"",TRUE(),FALSE()),FALSE()))</f>
        <v>0</v>
      </c>
      <c r="BZ200" s="50" t="b">
        <f aca="false">IF(Configuration!$C$13="No","",IFERROR(IF(AI200&lt;&gt;"",TRUE(),FALSE()),FALSE()))</f>
        <v>0</v>
      </c>
      <c r="CA200" s="50" t="b">
        <f aca="false">IF(Configuration!$C$14="No","",IFERROR(IF(AK200&lt;&gt;"",TRUE(),FALSE()),FALSE()))</f>
        <v>0</v>
      </c>
      <c r="CB200" s="50" t="b">
        <f aca="false">IF(Configuration!$C$15="No","",IFERROR(IF(AND(OR(ISNUMBER(SEARCH("process",AG200)),ISNUMBER(SEARCH("fab",AG200)),ISNUMBER(SEARCH("manufac",AG200))),AO200="Method"),TRUE(),FALSE()),FALSE()))</f>
        <v>0</v>
      </c>
      <c r="CC200" s="50" t="b">
        <f aca="false">IF(Configuration!$C$16="No","",IFERROR(IF(AND(OR(ISNUMBER(SEARCH("material",AG200)),ISNUMBER(SEARCH("chem",AG200)),ISNUMBER(SEARCH("battery",AG200)),ISNUMBER(SEARCH("electrolyte",AG200)),ISNUMBER(SEARCH("polymer",AG200))),OR(AO200="Apparatus",AO200="Method")),TRUE(),FALSE()),FALSE()))</f>
        <v>0</v>
      </c>
      <c r="CD200" s="50" t="b">
        <f aca="false">IF(Configuration!$C$17="No","",IFERROR(IF(AND(OR(AI200="App",AI200="Middleware",AI200="Cloud"),OR(AO200="Method",AO200="CRM")),TRUE(),FALSE()),FALSE()))</f>
        <v>0</v>
      </c>
      <c r="CE200" s="50" t="b">
        <f aca="false">IF(Configuration!$C$18="No","",IFERROR(IF(N(AN200)&gt;=Configuration!$C$45,TRUE(),FALSE()),FALSE()))</f>
        <v>0</v>
      </c>
      <c r="CF200" s="50" t="b">
        <f aca="false">IF(Configuration!$C$19="No","",IFERROR(IF(BE200&lt;&gt;"",TRUE(),FALSE()),FALSE()))</f>
        <v>0</v>
      </c>
      <c r="CG200" s="50" t="b">
        <f aca="false">IF(Configuration!$C$20="No","",IFERROR(IF(AO200&lt;&gt;"",TRUE(),FALSE()),FALSE()))</f>
        <v>0</v>
      </c>
      <c r="CH200" s="50" t="b">
        <f aca="false">IF(Configuration!$C$21="No","",IFERROR(IF(OR(N(AS200)&gt;=Configuration!$C$46,N(AT200)&gt;=Configuration!$C$47),TRUE(),FALSE()),FALSE()))</f>
        <v>0</v>
      </c>
      <c r="CI200" s="50" t="b">
        <f aca="false">IF(Configuration!$C$22="No","",IFERROR(IF(BB200="Yes",TRUE(),FALSE()),FALSE()))</f>
        <v>0</v>
      </c>
      <c r="CJ200" s="50" t="b">
        <f aca="false">IF(Configuration!$C$23="No","",IFERROR(IF(N(AV200)&gt;=Configuration!$C$48,TRUE(),FALSE()),FALSE()))</f>
        <v>0</v>
      </c>
      <c r="CK200" s="50" t="b">
        <f aca="false">IF(Configuration!$C$24="No","",IFERROR(IF(N(AY200)&gt;0,TRUE(),FALSE()),FALSE()))</f>
        <v>0</v>
      </c>
      <c r="CL200" s="50" t="b">
        <f aca="false">IF(Configuration!$C$25="No","",IFERROR(IF(OR(N(AP200)=3,N(AP200)&lt;=1),TRUE(),FALSE()),FALSE()))</f>
        <v>1</v>
      </c>
      <c r="CM200" s="50" t="b">
        <f aca="false">IF(Configuration!$C$26="No","",IFERROR(IF(N(BF200)&gt;=Configuration!$C$49,TRUE(),FALSE()),FALSE()))</f>
        <v>0</v>
      </c>
      <c r="CN200" s="50" t="b">
        <f aca="false">IF(Configuration!$C$27="No","",IFERROR(IF(BD200&lt;&gt;"",TRUE(),FALSE()),FALSE()))</f>
        <v>0</v>
      </c>
      <c r="CO200" s="50" t="b">
        <f aca="false">IF(Configuration!$C$28="No","",IFERROR(IF(N(AU200)&gt;=Configuration!$C$50,TRUE(),FALSE()),FALSE()))</f>
        <v>0</v>
      </c>
      <c r="CP200" s="50" t="b">
        <f aca="false">IF(Configuration!$C$29="No","",IFERROR(IF(AND(N(AR200)&gt;=Configuration!$C$51,AG200&lt;&gt;""),TRUE(),FALSE()),FALSE()))</f>
        <v>0</v>
      </c>
      <c r="CQ200" s="50" t="b">
        <f aca="false">IF(Configuration!$C$30="No","",IFERROR(IF(OR(AW200="Pending",AX200="Yes"),TRUE(),FALSE()),FALSE()))</f>
        <v>0</v>
      </c>
      <c r="CR200" s="50" t="b">
        <f aca="false">IF(Configuration!$C$31="No","",IFERROR(IF(AND(N(BG200)&gt;=Configuration!$C$52,N(AP200)&gt;=1),TRUE(),FALSE()),FALSE()))</f>
        <v>0</v>
      </c>
      <c r="CS200" s="50" t="b">
        <f aca="false">IF(Configuration!$C$32="No","",IFERROR(IF(AND(N(AR200)&gt;=1,OR(AG200&lt;&gt;"",AM200&lt;&gt;"")),TRUE(),FALSE()),FALSE()))</f>
        <v>0</v>
      </c>
      <c r="CT200" s="50" t="b">
        <f aca="false">IF(Configuration!$C$33="No","",IFERROR(IF(AG200&lt;&gt;"",TRUE(),FALSE()),FALSE()))</f>
        <v>0</v>
      </c>
      <c r="CU200" s="50" t="b">
        <f aca="false">IF(Configuration!$C$34="No","",IFERROR(IF(AX200="Yes",TRUE(),FALSE()),FALSE()))</f>
        <v>0</v>
      </c>
      <c r="CV200" s="50" t="b">
        <f aca="false">IF(Configuration!$C$35="No","",IFERROR(IF(OR(BO200="Partial",BO200="Full"),TRUE(),FALSE()),FALSE()))</f>
        <v>0</v>
      </c>
      <c r="CW200" s="50" t="b">
        <f aca="false">IF(Configuration!$C$36="No","",IFERROR(IF(BM200="Survived",TRUE(),FALSE()),FALSE()))</f>
        <v>0</v>
      </c>
      <c r="CX200" s="50" t="b">
        <f aca="false">IF(Configuration!$C$37="No","",IFERROR(IF(AND(BN200="Clean",BP200="None"),TRUE(),FALSE()),FALSE()))</f>
        <v>0</v>
      </c>
      <c r="CY200" s="50" t="b">
        <f aca="false">IF(Configuration!$C$38="No","",IFERROR(IF(N(BK200)&gt;=Configuration!$C$53,TRUE(),FALSE()),FALSE()))</f>
        <v>0</v>
      </c>
      <c r="CZ200" s="50" t="b">
        <f aca="false">IF(Configuration!$C$39="No","",IFERROR(IF(AND(N(BS200)&gt;=2,N(BF200)&gt;=2),TRUE(),FALSE()),FALSE()))</f>
        <v>0</v>
      </c>
      <c r="DA200" s="50" t="b">
        <f aca="false">IF(Configuration!$C$40="No","",IFERROR(IF(OR(N(BG200)&lt;=Configuration!$C$56,N(AY200)&lt;Configuration!$C$57,N(BH200)&lt;=Configuration!$C$58),TRUE(),FALSE()),FALSE()))</f>
        <v>1</v>
      </c>
      <c r="DB200" s="50" t="b">
        <f aca="false">IF(Configuration!$C$41="No","",IFERROR(IF(AND(N(AY200)&gt;=Configuration!$C$54,N(AY200)&lt;=Configuration!$C$55),TRUE(),FALSE()),FALSE()))</f>
        <v>0</v>
      </c>
      <c r="DC200" s="50" t="b">
        <f aca="false">IF(Configuration!$C$42="No","",IFERROR(IF(AND(AG200&lt;&gt;"",AJ200&lt;&gt;""),TRUE(),FALSE()),FALSE()))</f>
        <v>0</v>
      </c>
      <c r="DD200" s="51" t="n">
        <f aca="false">COUNTIF(BW200:DC200,TRUE())</f>
        <v>2</v>
      </c>
    </row>
    <row r="201" customFormat="false" ht="15" hidden="false" customHeight="true" outlineLevel="0" collapsed="false">
      <c r="A201" s="18" t="n">
        <v>162</v>
      </c>
      <c r="B201" s="44"/>
      <c r="C201" s="44"/>
      <c r="D201" s="44"/>
      <c r="E201" s="44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6" t="str">
        <f aca="false">IFERROR(IF(F201&lt;&gt;"",F201,""),"")</f>
        <v/>
      </c>
      <c r="AF201" s="46" t="str">
        <f aca="false">IFERROR(IF(G201&lt;&gt;"",G201,""),"")</f>
        <v/>
      </c>
      <c r="AG201" s="46" t="str">
        <f aca="false">IFERROR(IF(AA201&lt;&gt;"",AA201,IF(R201&lt;&gt;"",R201,"")),"")</f>
        <v/>
      </c>
      <c r="AH201" s="46" t="str">
        <f aca="false">IFERROR(IF(AB201&lt;&gt;"",AB201,IF(S201&lt;&gt;"",S201,"")),"")</f>
        <v/>
      </c>
      <c r="AI201" s="47"/>
      <c r="AJ201" s="47"/>
      <c r="AK201" s="47"/>
      <c r="AL201" s="47"/>
      <c r="AM201" s="47"/>
      <c r="AN201" s="47"/>
      <c r="AO201" s="47"/>
      <c r="AP201" s="47"/>
      <c r="AQ201" s="46" t="str">
        <f aca="false">IFERROR(IF(Y201&lt;&gt;"",VALUE(Y201),""),"")</f>
        <v/>
      </c>
      <c r="AR201" s="47"/>
      <c r="AS201" s="47"/>
      <c r="AT201" s="47"/>
      <c r="AU201" s="47"/>
      <c r="AV201" s="46" t="str">
        <f aca="false">IFERROR(IF(T201&lt;&gt;"",VALUE(T201),""),"")</f>
        <v/>
      </c>
      <c r="AW201" s="46" t="str">
        <f aca="false">IFERROR(IF(N201="","",IF(OR(ISNUMBER(SEARCH("grant",N201)),ISNUMBER(SEARCH("B",AC201))),"Granted",IF(OR(ISNUMBER(SEARCH("pend",N201)),ISNUMBER(SEARCH("A",AC201))),"Pending",IF(ISNUMBER(SEARCH("expir",N201)),"Expired",N201)))),"")</f>
        <v/>
      </c>
      <c r="AX201" s="47"/>
      <c r="AY201" s="46" t="str">
        <f aca="true">IFERROR(IF(M201&lt;&gt;"",ROUND(VALUE(M201),1),IF(L201&lt;&gt;"",ROUND(MAX(0,(DATEVALUE(TEXT(L201,"YYYY-MM-DD"))-TODAY())/365.25),1),"")),"")</f>
        <v/>
      </c>
      <c r="AZ201" s="46" t="str">
        <f aca="false">IFERROR(IF(O201&lt;&gt;"",O201,""),"")</f>
        <v/>
      </c>
      <c r="BA201" s="46" t="str">
        <f aca="false">IFERROR(IF(U201&lt;&gt;"",SUBSTITUTE(SUBSTITUTE(U201,"; ",", "),";",","),""),"")</f>
        <v/>
      </c>
      <c r="BB201" s="47"/>
      <c r="BC201" s="47"/>
      <c r="BD201" s="47"/>
      <c r="BE201" s="47"/>
      <c r="BF201" s="47"/>
      <c r="BG201" s="47"/>
      <c r="BH201" s="47"/>
      <c r="BI201" s="47"/>
      <c r="BJ201" s="47"/>
      <c r="BK201" s="46" t="str">
        <f aca="false">IFERROR(IF(W201&lt;&gt;"",VALUE(W201),""),"")</f>
        <v/>
      </c>
      <c r="BL201" s="46" t="str">
        <f aca="false">IFERROR(IF(X201&lt;&gt;"",VALUE(X201),""),"")</f>
        <v/>
      </c>
      <c r="BM201" s="46" t="str">
        <f aca="false">IFERROR(IF(AD201="","None",IF(ISNUMBER(SEARCH("surv",AD201)),"Survived",IF(ISNUMBER(SEARCH("pend",AD201)),"Pending",IF(ISNUMBER(SEARCH("yes",AD201)),"Pending","None")))),"None")</f>
        <v>None</v>
      </c>
      <c r="BN201" s="47"/>
      <c r="BO201" s="47"/>
      <c r="BP201" s="47"/>
      <c r="BQ201" s="47"/>
      <c r="BR201" s="47"/>
      <c r="BS201" s="47"/>
      <c r="BT201" s="47"/>
      <c r="BU201" s="48" t="n">
        <f aca="false">IFERROR(COUNTA(AE201:BT201)/42,0)</f>
        <v>0.30952380952381</v>
      </c>
      <c r="BV201" s="49"/>
      <c r="BW201" s="50" t="b">
        <f aca="false">IF(Configuration!$C$10="No","",IFERROR(IF(AG201&lt;&gt;"",TRUE(),FALSE()),FALSE()))</f>
        <v>0</v>
      </c>
      <c r="BX201" s="50" t="b">
        <f aca="false">IF(Configuration!$C$11="No","",IFERROR(IF(AND(N(AL201)&gt;=Configuration!$C$44,AM201&lt;&gt;""),TRUE(),FALSE()),FALSE()))</f>
        <v>0</v>
      </c>
      <c r="BY201" s="50" t="b">
        <f aca="false">IF(Configuration!$C$12="No","",IFERROR(IF(AJ201&lt;&gt;"",TRUE(),FALSE()),FALSE()))</f>
        <v>0</v>
      </c>
      <c r="BZ201" s="50" t="b">
        <f aca="false">IF(Configuration!$C$13="No","",IFERROR(IF(AI201&lt;&gt;"",TRUE(),FALSE()),FALSE()))</f>
        <v>0</v>
      </c>
      <c r="CA201" s="50" t="b">
        <f aca="false">IF(Configuration!$C$14="No","",IFERROR(IF(AK201&lt;&gt;"",TRUE(),FALSE()),FALSE()))</f>
        <v>0</v>
      </c>
      <c r="CB201" s="50" t="b">
        <f aca="false">IF(Configuration!$C$15="No","",IFERROR(IF(AND(OR(ISNUMBER(SEARCH("process",AG201)),ISNUMBER(SEARCH("fab",AG201)),ISNUMBER(SEARCH("manufac",AG201))),AO201="Method"),TRUE(),FALSE()),FALSE()))</f>
        <v>0</v>
      </c>
      <c r="CC201" s="50" t="b">
        <f aca="false">IF(Configuration!$C$16="No","",IFERROR(IF(AND(OR(ISNUMBER(SEARCH("material",AG201)),ISNUMBER(SEARCH("chem",AG201)),ISNUMBER(SEARCH("battery",AG201)),ISNUMBER(SEARCH("electrolyte",AG201)),ISNUMBER(SEARCH("polymer",AG201))),OR(AO201="Apparatus",AO201="Method")),TRUE(),FALSE()),FALSE()))</f>
        <v>0</v>
      </c>
      <c r="CD201" s="50" t="b">
        <f aca="false">IF(Configuration!$C$17="No","",IFERROR(IF(AND(OR(AI201="App",AI201="Middleware",AI201="Cloud"),OR(AO201="Method",AO201="CRM")),TRUE(),FALSE()),FALSE()))</f>
        <v>0</v>
      </c>
      <c r="CE201" s="50" t="b">
        <f aca="false">IF(Configuration!$C$18="No","",IFERROR(IF(N(AN201)&gt;=Configuration!$C$45,TRUE(),FALSE()),FALSE()))</f>
        <v>0</v>
      </c>
      <c r="CF201" s="50" t="b">
        <f aca="false">IF(Configuration!$C$19="No","",IFERROR(IF(BE201&lt;&gt;"",TRUE(),FALSE()),FALSE()))</f>
        <v>0</v>
      </c>
      <c r="CG201" s="50" t="b">
        <f aca="false">IF(Configuration!$C$20="No","",IFERROR(IF(AO201&lt;&gt;"",TRUE(),FALSE()),FALSE()))</f>
        <v>0</v>
      </c>
      <c r="CH201" s="50" t="b">
        <f aca="false">IF(Configuration!$C$21="No","",IFERROR(IF(OR(N(AS201)&gt;=Configuration!$C$46,N(AT201)&gt;=Configuration!$C$47),TRUE(),FALSE()),FALSE()))</f>
        <v>0</v>
      </c>
      <c r="CI201" s="50" t="b">
        <f aca="false">IF(Configuration!$C$22="No","",IFERROR(IF(BB201="Yes",TRUE(),FALSE()),FALSE()))</f>
        <v>0</v>
      </c>
      <c r="CJ201" s="50" t="b">
        <f aca="false">IF(Configuration!$C$23="No","",IFERROR(IF(N(AV201)&gt;=Configuration!$C$48,TRUE(),FALSE()),FALSE()))</f>
        <v>0</v>
      </c>
      <c r="CK201" s="50" t="b">
        <f aca="false">IF(Configuration!$C$24="No","",IFERROR(IF(N(AY201)&gt;0,TRUE(),FALSE()),FALSE()))</f>
        <v>0</v>
      </c>
      <c r="CL201" s="50" t="b">
        <f aca="false">IF(Configuration!$C$25="No","",IFERROR(IF(OR(N(AP201)=3,N(AP201)&lt;=1),TRUE(),FALSE()),FALSE()))</f>
        <v>1</v>
      </c>
      <c r="CM201" s="50" t="b">
        <f aca="false">IF(Configuration!$C$26="No","",IFERROR(IF(N(BF201)&gt;=Configuration!$C$49,TRUE(),FALSE()),FALSE()))</f>
        <v>0</v>
      </c>
      <c r="CN201" s="50" t="b">
        <f aca="false">IF(Configuration!$C$27="No","",IFERROR(IF(BD201&lt;&gt;"",TRUE(),FALSE()),FALSE()))</f>
        <v>0</v>
      </c>
      <c r="CO201" s="50" t="b">
        <f aca="false">IF(Configuration!$C$28="No","",IFERROR(IF(N(AU201)&gt;=Configuration!$C$50,TRUE(),FALSE()),FALSE()))</f>
        <v>0</v>
      </c>
      <c r="CP201" s="50" t="b">
        <f aca="false">IF(Configuration!$C$29="No","",IFERROR(IF(AND(N(AR201)&gt;=Configuration!$C$51,AG201&lt;&gt;""),TRUE(),FALSE()),FALSE()))</f>
        <v>0</v>
      </c>
      <c r="CQ201" s="50" t="b">
        <f aca="false">IF(Configuration!$C$30="No","",IFERROR(IF(OR(AW201="Pending",AX201="Yes"),TRUE(),FALSE()),FALSE()))</f>
        <v>0</v>
      </c>
      <c r="CR201" s="50" t="b">
        <f aca="false">IF(Configuration!$C$31="No","",IFERROR(IF(AND(N(BG201)&gt;=Configuration!$C$52,N(AP201)&gt;=1),TRUE(),FALSE()),FALSE()))</f>
        <v>0</v>
      </c>
      <c r="CS201" s="50" t="b">
        <f aca="false">IF(Configuration!$C$32="No","",IFERROR(IF(AND(N(AR201)&gt;=1,OR(AG201&lt;&gt;"",AM201&lt;&gt;"")),TRUE(),FALSE()),FALSE()))</f>
        <v>0</v>
      </c>
      <c r="CT201" s="50" t="b">
        <f aca="false">IF(Configuration!$C$33="No","",IFERROR(IF(AG201&lt;&gt;"",TRUE(),FALSE()),FALSE()))</f>
        <v>0</v>
      </c>
      <c r="CU201" s="50" t="b">
        <f aca="false">IF(Configuration!$C$34="No","",IFERROR(IF(AX201="Yes",TRUE(),FALSE()),FALSE()))</f>
        <v>0</v>
      </c>
      <c r="CV201" s="50" t="b">
        <f aca="false">IF(Configuration!$C$35="No","",IFERROR(IF(OR(BO201="Partial",BO201="Full"),TRUE(),FALSE()),FALSE()))</f>
        <v>0</v>
      </c>
      <c r="CW201" s="50" t="b">
        <f aca="false">IF(Configuration!$C$36="No","",IFERROR(IF(BM201="Survived",TRUE(),FALSE()),FALSE()))</f>
        <v>0</v>
      </c>
      <c r="CX201" s="50" t="b">
        <f aca="false">IF(Configuration!$C$37="No","",IFERROR(IF(AND(BN201="Clean",BP201="None"),TRUE(),FALSE()),FALSE()))</f>
        <v>0</v>
      </c>
      <c r="CY201" s="50" t="b">
        <f aca="false">IF(Configuration!$C$38="No","",IFERROR(IF(N(BK201)&gt;=Configuration!$C$53,TRUE(),FALSE()),FALSE()))</f>
        <v>0</v>
      </c>
      <c r="CZ201" s="50" t="b">
        <f aca="false">IF(Configuration!$C$39="No","",IFERROR(IF(AND(N(BS201)&gt;=2,N(BF201)&gt;=2),TRUE(),FALSE()),FALSE()))</f>
        <v>0</v>
      </c>
      <c r="DA201" s="50" t="b">
        <f aca="false">IF(Configuration!$C$40="No","",IFERROR(IF(OR(N(BG201)&lt;=Configuration!$C$56,N(AY201)&lt;Configuration!$C$57,N(BH201)&lt;=Configuration!$C$58),TRUE(),FALSE()),FALSE()))</f>
        <v>1</v>
      </c>
      <c r="DB201" s="50" t="b">
        <f aca="false">IF(Configuration!$C$41="No","",IFERROR(IF(AND(N(AY201)&gt;=Configuration!$C$54,N(AY201)&lt;=Configuration!$C$55),TRUE(),FALSE()),FALSE()))</f>
        <v>0</v>
      </c>
      <c r="DC201" s="50" t="b">
        <f aca="false">IF(Configuration!$C$42="No","",IFERROR(IF(AND(AG201&lt;&gt;"",AJ201&lt;&gt;""),TRUE(),FALSE()),FALSE()))</f>
        <v>0</v>
      </c>
      <c r="DD201" s="51" t="n">
        <f aca="false">COUNTIF(BW201:DC201,TRUE())</f>
        <v>2</v>
      </c>
    </row>
    <row r="202" customFormat="false" ht="15" hidden="false" customHeight="true" outlineLevel="0" collapsed="false">
      <c r="A202" s="18" t="n">
        <v>163</v>
      </c>
      <c r="B202" s="44"/>
      <c r="C202" s="44"/>
      <c r="D202" s="44"/>
      <c r="E202" s="44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6" t="str">
        <f aca="false">IFERROR(IF(F202&lt;&gt;"",F202,""),"")</f>
        <v/>
      </c>
      <c r="AF202" s="46" t="str">
        <f aca="false">IFERROR(IF(G202&lt;&gt;"",G202,""),"")</f>
        <v/>
      </c>
      <c r="AG202" s="46" t="str">
        <f aca="false">IFERROR(IF(AA202&lt;&gt;"",AA202,IF(R202&lt;&gt;"",R202,"")),"")</f>
        <v/>
      </c>
      <c r="AH202" s="46" t="str">
        <f aca="false">IFERROR(IF(AB202&lt;&gt;"",AB202,IF(S202&lt;&gt;"",S202,"")),"")</f>
        <v/>
      </c>
      <c r="AI202" s="47"/>
      <c r="AJ202" s="47"/>
      <c r="AK202" s="47"/>
      <c r="AL202" s="47"/>
      <c r="AM202" s="47"/>
      <c r="AN202" s="47"/>
      <c r="AO202" s="47"/>
      <c r="AP202" s="47"/>
      <c r="AQ202" s="46" t="str">
        <f aca="false">IFERROR(IF(Y202&lt;&gt;"",VALUE(Y202),""),"")</f>
        <v/>
      </c>
      <c r="AR202" s="47"/>
      <c r="AS202" s="47"/>
      <c r="AT202" s="47"/>
      <c r="AU202" s="47"/>
      <c r="AV202" s="46" t="str">
        <f aca="false">IFERROR(IF(T202&lt;&gt;"",VALUE(T202),""),"")</f>
        <v/>
      </c>
      <c r="AW202" s="46" t="str">
        <f aca="false">IFERROR(IF(N202="","",IF(OR(ISNUMBER(SEARCH("grant",N202)),ISNUMBER(SEARCH("B",AC202))),"Granted",IF(OR(ISNUMBER(SEARCH("pend",N202)),ISNUMBER(SEARCH("A",AC202))),"Pending",IF(ISNUMBER(SEARCH("expir",N202)),"Expired",N202)))),"")</f>
        <v/>
      </c>
      <c r="AX202" s="47"/>
      <c r="AY202" s="46" t="str">
        <f aca="true">IFERROR(IF(M202&lt;&gt;"",ROUND(VALUE(M202),1),IF(L202&lt;&gt;"",ROUND(MAX(0,(DATEVALUE(TEXT(L202,"YYYY-MM-DD"))-TODAY())/365.25),1),"")),"")</f>
        <v/>
      </c>
      <c r="AZ202" s="46" t="str">
        <f aca="false">IFERROR(IF(O202&lt;&gt;"",O202,""),"")</f>
        <v/>
      </c>
      <c r="BA202" s="46" t="str">
        <f aca="false">IFERROR(IF(U202&lt;&gt;"",SUBSTITUTE(SUBSTITUTE(U202,"; ",", "),";",","),""),"")</f>
        <v/>
      </c>
      <c r="BB202" s="47"/>
      <c r="BC202" s="47"/>
      <c r="BD202" s="47"/>
      <c r="BE202" s="47"/>
      <c r="BF202" s="47"/>
      <c r="BG202" s="47"/>
      <c r="BH202" s="47"/>
      <c r="BI202" s="47"/>
      <c r="BJ202" s="47"/>
      <c r="BK202" s="46" t="str">
        <f aca="false">IFERROR(IF(W202&lt;&gt;"",VALUE(W202),""),"")</f>
        <v/>
      </c>
      <c r="BL202" s="46" t="str">
        <f aca="false">IFERROR(IF(X202&lt;&gt;"",VALUE(X202),""),"")</f>
        <v/>
      </c>
      <c r="BM202" s="46" t="str">
        <f aca="false">IFERROR(IF(AD202="","None",IF(ISNUMBER(SEARCH("surv",AD202)),"Survived",IF(ISNUMBER(SEARCH("pend",AD202)),"Pending",IF(ISNUMBER(SEARCH("yes",AD202)),"Pending","None")))),"None")</f>
        <v>None</v>
      </c>
      <c r="BN202" s="47"/>
      <c r="BO202" s="47"/>
      <c r="BP202" s="47"/>
      <c r="BQ202" s="47"/>
      <c r="BR202" s="47"/>
      <c r="BS202" s="47"/>
      <c r="BT202" s="47"/>
      <c r="BU202" s="48" t="n">
        <f aca="false">IFERROR(COUNTA(AE202:BT202)/42,0)</f>
        <v>0.30952380952381</v>
      </c>
      <c r="BV202" s="49"/>
      <c r="BW202" s="50" t="b">
        <f aca="false">IF(Configuration!$C$10="No","",IFERROR(IF(AG202&lt;&gt;"",TRUE(),FALSE()),FALSE()))</f>
        <v>0</v>
      </c>
      <c r="BX202" s="50" t="b">
        <f aca="false">IF(Configuration!$C$11="No","",IFERROR(IF(AND(N(AL202)&gt;=Configuration!$C$44,AM202&lt;&gt;""),TRUE(),FALSE()),FALSE()))</f>
        <v>0</v>
      </c>
      <c r="BY202" s="50" t="b">
        <f aca="false">IF(Configuration!$C$12="No","",IFERROR(IF(AJ202&lt;&gt;"",TRUE(),FALSE()),FALSE()))</f>
        <v>0</v>
      </c>
      <c r="BZ202" s="50" t="b">
        <f aca="false">IF(Configuration!$C$13="No","",IFERROR(IF(AI202&lt;&gt;"",TRUE(),FALSE()),FALSE()))</f>
        <v>0</v>
      </c>
      <c r="CA202" s="50" t="b">
        <f aca="false">IF(Configuration!$C$14="No","",IFERROR(IF(AK202&lt;&gt;"",TRUE(),FALSE()),FALSE()))</f>
        <v>0</v>
      </c>
      <c r="CB202" s="50" t="b">
        <f aca="false">IF(Configuration!$C$15="No","",IFERROR(IF(AND(OR(ISNUMBER(SEARCH("process",AG202)),ISNUMBER(SEARCH("fab",AG202)),ISNUMBER(SEARCH("manufac",AG202))),AO202="Method"),TRUE(),FALSE()),FALSE()))</f>
        <v>0</v>
      </c>
      <c r="CC202" s="50" t="b">
        <f aca="false">IF(Configuration!$C$16="No","",IFERROR(IF(AND(OR(ISNUMBER(SEARCH("material",AG202)),ISNUMBER(SEARCH("chem",AG202)),ISNUMBER(SEARCH("battery",AG202)),ISNUMBER(SEARCH("electrolyte",AG202)),ISNUMBER(SEARCH("polymer",AG202))),OR(AO202="Apparatus",AO202="Method")),TRUE(),FALSE()),FALSE()))</f>
        <v>0</v>
      </c>
      <c r="CD202" s="50" t="b">
        <f aca="false">IF(Configuration!$C$17="No","",IFERROR(IF(AND(OR(AI202="App",AI202="Middleware",AI202="Cloud"),OR(AO202="Method",AO202="CRM")),TRUE(),FALSE()),FALSE()))</f>
        <v>0</v>
      </c>
      <c r="CE202" s="50" t="b">
        <f aca="false">IF(Configuration!$C$18="No","",IFERROR(IF(N(AN202)&gt;=Configuration!$C$45,TRUE(),FALSE()),FALSE()))</f>
        <v>0</v>
      </c>
      <c r="CF202" s="50" t="b">
        <f aca="false">IF(Configuration!$C$19="No","",IFERROR(IF(BE202&lt;&gt;"",TRUE(),FALSE()),FALSE()))</f>
        <v>0</v>
      </c>
      <c r="CG202" s="50" t="b">
        <f aca="false">IF(Configuration!$C$20="No","",IFERROR(IF(AO202&lt;&gt;"",TRUE(),FALSE()),FALSE()))</f>
        <v>0</v>
      </c>
      <c r="CH202" s="50" t="b">
        <f aca="false">IF(Configuration!$C$21="No","",IFERROR(IF(OR(N(AS202)&gt;=Configuration!$C$46,N(AT202)&gt;=Configuration!$C$47),TRUE(),FALSE()),FALSE()))</f>
        <v>0</v>
      </c>
      <c r="CI202" s="50" t="b">
        <f aca="false">IF(Configuration!$C$22="No","",IFERROR(IF(BB202="Yes",TRUE(),FALSE()),FALSE()))</f>
        <v>0</v>
      </c>
      <c r="CJ202" s="50" t="b">
        <f aca="false">IF(Configuration!$C$23="No","",IFERROR(IF(N(AV202)&gt;=Configuration!$C$48,TRUE(),FALSE()),FALSE()))</f>
        <v>0</v>
      </c>
      <c r="CK202" s="50" t="b">
        <f aca="false">IF(Configuration!$C$24="No","",IFERROR(IF(N(AY202)&gt;0,TRUE(),FALSE()),FALSE()))</f>
        <v>0</v>
      </c>
      <c r="CL202" s="50" t="b">
        <f aca="false">IF(Configuration!$C$25="No","",IFERROR(IF(OR(N(AP202)=3,N(AP202)&lt;=1),TRUE(),FALSE()),FALSE()))</f>
        <v>1</v>
      </c>
      <c r="CM202" s="50" t="b">
        <f aca="false">IF(Configuration!$C$26="No","",IFERROR(IF(N(BF202)&gt;=Configuration!$C$49,TRUE(),FALSE()),FALSE()))</f>
        <v>0</v>
      </c>
      <c r="CN202" s="50" t="b">
        <f aca="false">IF(Configuration!$C$27="No","",IFERROR(IF(BD202&lt;&gt;"",TRUE(),FALSE()),FALSE()))</f>
        <v>0</v>
      </c>
      <c r="CO202" s="50" t="b">
        <f aca="false">IF(Configuration!$C$28="No","",IFERROR(IF(N(AU202)&gt;=Configuration!$C$50,TRUE(),FALSE()),FALSE()))</f>
        <v>0</v>
      </c>
      <c r="CP202" s="50" t="b">
        <f aca="false">IF(Configuration!$C$29="No","",IFERROR(IF(AND(N(AR202)&gt;=Configuration!$C$51,AG202&lt;&gt;""),TRUE(),FALSE()),FALSE()))</f>
        <v>0</v>
      </c>
      <c r="CQ202" s="50" t="b">
        <f aca="false">IF(Configuration!$C$30="No","",IFERROR(IF(OR(AW202="Pending",AX202="Yes"),TRUE(),FALSE()),FALSE()))</f>
        <v>0</v>
      </c>
      <c r="CR202" s="50" t="b">
        <f aca="false">IF(Configuration!$C$31="No","",IFERROR(IF(AND(N(BG202)&gt;=Configuration!$C$52,N(AP202)&gt;=1),TRUE(),FALSE()),FALSE()))</f>
        <v>0</v>
      </c>
      <c r="CS202" s="50" t="b">
        <f aca="false">IF(Configuration!$C$32="No","",IFERROR(IF(AND(N(AR202)&gt;=1,OR(AG202&lt;&gt;"",AM202&lt;&gt;"")),TRUE(),FALSE()),FALSE()))</f>
        <v>0</v>
      </c>
      <c r="CT202" s="50" t="b">
        <f aca="false">IF(Configuration!$C$33="No","",IFERROR(IF(AG202&lt;&gt;"",TRUE(),FALSE()),FALSE()))</f>
        <v>0</v>
      </c>
      <c r="CU202" s="50" t="b">
        <f aca="false">IF(Configuration!$C$34="No","",IFERROR(IF(AX202="Yes",TRUE(),FALSE()),FALSE()))</f>
        <v>0</v>
      </c>
      <c r="CV202" s="50" t="b">
        <f aca="false">IF(Configuration!$C$35="No","",IFERROR(IF(OR(BO202="Partial",BO202="Full"),TRUE(),FALSE()),FALSE()))</f>
        <v>0</v>
      </c>
      <c r="CW202" s="50" t="b">
        <f aca="false">IF(Configuration!$C$36="No","",IFERROR(IF(BM202="Survived",TRUE(),FALSE()),FALSE()))</f>
        <v>0</v>
      </c>
      <c r="CX202" s="50" t="b">
        <f aca="false">IF(Configuration!$C$37="No","",IFERROR(IF(AND(BN202="Clean",BP202="None"),TRUE(),FALSE()),FALSE()))</f>
        <v>0</v>
      </c>
      <c r="CY202" s="50" t="b">
        <f aca="false">IF(Configuration!$C$38="No","",IFERROR(IF(N(BK202)&gt;=Configuration!$C$53,TRUE(),FALSE()),FALSE()))</f>
        <v>0</v>
      </c>
      <c r="CZ202" s="50" t="b">
        <f aca="false">IF(Configuration!$C$39="No","",IFERROR(IF(AND(N(BS202)&gt;=2,N(BF202)&gt;=2),TRUE(),FALSE()),FALSE()))</f>
        <v>0</v>
      </c>
      <c r="DA202" s="50" t="b">
        <f aca="false">IF(Configuration!$C$40="No","",IFERROR(IF(OR(N(BG202)&lt;=Configuration!$C$56,N(AY202)&lt;Configuration!$C$57,N(BH202)&lt;=Configuration!$C$58),TRUE(),FALSE()),FALSE()))</f>
        <v>1</v>
      </c>
      <c r="DB202" s="50" t="b">
        <f aca="false">IF(Configuration!$C$41="No","",IFERROR(IF(AND(N(AY202)&gt;=Configuration!$C$54,N(AY202)&lt;=Configuration!$C$55),TRUE(),FALSE()),FALSE()))</f>
        <v>0</v>
      </c>
      <c r="DC202" s="50" t="b">
        <f aca="false">IF(Configuration!$C$42="No","",IFERROR(IF(AND(AG202&lt;&gt;"",AJ202&lt;&gt;""),TRUE(),FALSE()),FALSE()))</f>
        <v>0</v>
      </c>
      <c r="DD202" s="51" t="n">
        <f aca="false">COUNTIF(BW202:DC202,TRUE())</f>
        <v>2</v>
      </c>
    </row>
    <row r="203" customFormat="false" ht="15" hidden="false" customHeight="true" outlineLevel="0" collapsed="false">
      <c r="A203" s="18" t="n">
        <v>164</v>
      </c>
      <c r="B203" s="44"/>
      <c r="C203" s="44"/>
      <c r="D203" s="44"/>
      <c r="E203" s="44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6" t="str">
        <f aca="false">IFERROR(IF(F203&lt;&gt;"",F203,""),"")</f>
        <v/>
      </c>
      <c r="AF203" s="46" t="str">
        <f aca="false">IFERROR(IF(G203&lt;&gt;"",G203,""),"")</f>
        <v/>
      </c>
      <c r="AG203" s="46" t="str">
        <f aca="false">IFERROR(IF(AA203&lt;&gt;"",AA203,IF(R203&lt;&gt;"",R203,"")),"")</f>
        <v/>
      </c>
      <c r="AH203" s="46" t="str">
        <f aca="false">IFERROR(IF(AB203&lt;&gt;"",AB203,IF(S203&lt;&gt;"",S203,"")),"")</f>
        <v/>
      </c>
      <c r="AI203" s="47"/>
      <c r="AJ203" s="47"/>
      <c r="AK203" s="47"/>
      <c r="AL203" s="47"/>
      <c r="AM203" s="47"/>
      <c r="AN203" s="47"/>
      <c r="AO203" s="47"/>
      <c r="AP203" s="47"/>
      <c r="AQ203" s="46" t="str">
        <f aca="false">IFERROR(IF(Y203&lt;&gt;"",VALUE(Y203),""),"")</f>
        <v/>
      </c>
      <c r="AR203" s="47"/>
      <c r="AS203" s="47"/>
      <c r="AT203" s="47"/>
      <c r="AU203" s="47"/>
      <c r="AV203" s="46" t="str">
        <f aca="false">IFERROR(IF(T203&lt;&gt;"",VALUE(T203),""),"")</f>
        <v/>
      </c>
      <c r="AW203" s="46" t="str">
        <f aca="false">IFERROR(IF(N203="","",IF(OR(ISNUMBER(SEARCH("grant",N203)),ISNUMBER(SEARCH("B",AC203))),"Granted",IF(OR(ISNUMBER(SEARCH("pend",N203)),ISNUMBER(SEARCH("A",AC203))),"Pending",IF(ISNUMBER(SEARCH("expir",N203)),"Expired",N203)))),"")</f>
        <v/>
      </c>
      <c r="AX203" s="47"/>
      <c r="AY203" s="46" t="str">
        <f aca="true">IFERROR(IF(M203&lt;&gt;"",ROUND(VALUE(M203),1),IF(L203&lt;&gt;"",ROUND(MAX(0,(DATEVALUE(TEXT(L203,"YYYY-MM-DD"))-TODAY())/365.25),1),"")),"")</f>
        <v/>
      </c>
      <c r="AZ203" s="46" t="str">
        <f aca="false">IFERROR(IF(O203&lt;&gt;"",O203,""),"")</f>
        <v/>
      </c>
      <c r="BA203" s="46" t="str">
        <f aca="false">IFERROR(IF(U203&lt;&gt;"",SUBSTITUTE(SUBSTITUTE(U203,"; ",", "),";",","),""),"")</f>
        <v/>
      </c>
      <c r="BB203" s="47"/>
      <c r="BC203" s="47"/>
      <c r="BD203" s="47"/>
      <c r="BE203" s="47"/>
      <c r="BF203" s="47"/>
      <c r="BG203" s="47"/>
      <c r="BH203" s="47"/>
      <c r="BI203" s="47"/>
      <c r="BJ203" s="47"/>
      <c r="BK203" s="46" t="str">
        <f aca="false">IFERROR(IF(W203&lt;&gt;"",VALUE(W203),""),"")</f>
        <v/>
      </c>
      <c r="BL203" s="46" t="str">
        <f aca="false">IFERROR(IF(X203&lt;&gt;"",VALUE(X203),""),"")</f>
        <v/>
      </c>
      <c r="BM203" s="46" t="str">
        <f aca="false">IFERROR(IF(AD203="","None",IF(ISNUMBER(SEARCH("surv",AD203)),"Survived",IF(ISNUMBER(SEARCH("pend",AD203)),"Pending",IF(ISNUMBER(SEARCH("yes",AD203)),"Pending","None")))),"None")</f>
        <v>None</v>
      </c>
      <c r="BN203" s="47"/>
      <c r="BO203" s="47"/>
      <c r="BP203" s="47"/>
      <c r="BQ203" s="47"/>
      <c r="BR203" s="47"/>
      <c r="BS203" s="47"/>
      <c r="BT203" s="47"/>
      <c r="BU203" s="48" t="n">
        <f aca="false">IFERROR(COUNTA(AE203:BT203)/42,0)</f>
        <v>0.30952380952381</v>
      </c>
      <c r="BV203" s="49"/>
      <c r="BW203" s="50" t="b">
        <f aca="false">IF(Configuration!$C$10="No","",IFERROR(IF(AG203&lt;&gt;"",TRUE(),FALSE()),FALSE()))</f>
        <v>0</v>
      </c>
      <c r="BX203" s="50" t="b">
        <f aca="false">IF(Configuration!$C$11="No","",IFERROR(IF(AND(N(AL203)&gt;=Configuration!$C$44,AM203&lt;&gt;""),TRUE(),FALSE()),FALSE()))</f>
        <v>0</v>
      </c>
      <c r="BY203" s="50" t="b">
        <f aca="false">IF(Configuration!$C$12="No","",IFERROR(IF(AJ203&lt;&gt;"",TRUE(),FALSE()),FALSE()))</f>
        <v>0</v>
      </c>
      <c r="BZ203" s="50" t="b">
        <f aca="false">IF(Configuration!$C$13="No","",IFERROR(IF(AI203&lt;&gt;"",TRUE(),FALSE()),FALSE()))</f>
        <v>0</v>
      </c>
      <c r="CA203" s="50" t="b">
        <f aca="false">IF(Configuration!$C$14="No","",IFERROR(IF(AK203&lt;&gt;"",TRUE(),FALSE()),FALSE()))</f>
        <v>0</v>
      </c>
      <c r="CB203" s="50" t="b">
        <f aca="false">IF(Configuration!$C$15="No","",IFERROR(IF(AND(OR(ISNUMBER(SEARCH("process",AG203)),ISNUMBER(SEARCH("fab",AG203)),ISNUMBER(SEARCH("manufac",AG203))),AO203="Method"),TRUE(),FALSE()),FALSE()))</f>
        <v>0</v>
      </c>
      <c r="CC203" s="50" t="b">
        <f aca="false">IF(Configuration!$C$16="No","",IFERROR(IF(AND(OR(ISNUMBER(SEARCH("material",AG203)),ISNUMBER(SEARCH("chem",AG203)),ISNUMBER(SEARCH("battery",AG203)),ISNUMBER(SEARCH("electrolyte",AG203)),ISNUMBER(SEARCH("polymer",AG203))),OR(AO203="Apparatus",AO203="Method")),TRUE(),FALSE()),FALSE()))</f>
        <v>0</v>
      </c>
      <c r="CD203" s="50" t="b">
        <f aca="false">IF(Configuration!$C$17="No","",IFERROR(IF(AND(OR(AI203="App",AI203="Middleware",AI203="Cloud"),OR(AO203="Method",AO203="CRM")),TRUE(),FALSE()),FALSE()))</f>
        <v>0</v>
      </c>
      <c r="CE203" s="50" t="b">
        <f aca="false">IF(Configuration!$C$18="No","",IFERROR(IF(N(AN203)&gt;=Configuration!$C$45,TRUE(),FALSE()),FALSE()))</f>
        <v>0</v>
      </c>
      <c r="CF203" s="50" t="b">
        <f aca="false">IF(Configuration!$C$19="No","",IFERROR(IF(BE203&lt;&gt;"",TRUE(),FALSE()),FALSE()))</f>
        <v>0</v>
      </c>
      <c r="CG203" s="50" t="b">
        <f aca="false">IF(Configuration!$C$20="No","",IFERROR(IF(AO203&lt;&gt;"",TRUE(),FALSE()),FALSE()))</f>
        <v>0</v>
      </c>
      <c r="CH203" s="50" t="b">
        <f aca="false">IF(Configuration!$C$21="No","",IFERROR(IF(OR(N(AS203)&gt;=Configuration!$C$46,N(AT203)&gt;=Configuration!$C$47),TRUE(),FALSE()),FALSE()))</f>
        <v>0</v>
      </c>
      <c r="CI203" s="50" t="b">
        <f aca="false">IF(Configuration!$C$22="No","",IFERROR(IF(BB203="Yes",TRUE(),FALSE()),FALSE()))</f>
        <v>0</v>
      </c>
      <c r="CJ203" s="50" t="b">
        <f aca="false">IF(Configuration!$C$23="No","",IFERROR(IF(N(AV203)&gt;=Configuration!$C$48,TRUE(),FALSE()),FALSE()))</f>
        <v>0</v>
      </c>
      <c r="CK203" s="50" t="b">
        <f aca="false">IF(Configuration!$C$24="No","",IFERROR(IF(N(AY203)&gt;0,TRUE(),FALSE()),FALSE()))</f>
        <v>0</v>
      </c>
      <c r="CL203" s="50" t="b">
        <f aca="false">IF(Configuration!$C$25="No","",IFERROR(IF(OR(N(AP203)=3,N(AP203)&lt;=1),TRUE(),FALSE()),FALSE()))</f>
        <v>1</v>
      </c>
      <c r="CM203" s="50" t="b">
        <f aca="false">IF(Configuration!$C$26="No","",IFERROR(IF(N(BF203)&gt;=Configuration!$C$49,TRUE(),FALSE()),FALSE()))</f>
        <v>0</v>
      </c>
      <c r="CN203" s="50" t="b">
        <f aca="false">IF(Configuration!$C$27="No","",IFERROR(IF(BD203&lt;&gt;"",TRUE(),FALSE()),FALSE()))</f>
        <v>0</v>
      </c>
      <c r="CO203" s="50" t="b">
        <f aca="false">IF(Configuration!$C$28="No","",IFERROR(IF(N(AU203)&gt;=Configuration!$C$50,TRUE(),FALSE()),FALSE()))</f>
        <v>0</v>
      </c>
      <c r="CP203" s="50" t="b">
        <f aca="false">IF(Configuration!$C$29="No","",IFERROR(IF(AND(N(AR203)&gt;=Configuration!$C$51,AG203&lt;&gt;""),TRUE(),FALSE()),FALSE()))</f>
        <v>0</v>
      </c>
      <c r="CQ203" s="50" t="b">
        <f aca="false">IF(Configuration!$C$30="No","",IFERROR(IF(OR(AW203="Pending",AX203="Yes"),TRUE(),FALSE()),FALSE()))</f>
        <v>0</v>
      </c>
      <c r="CR203" s="50" t="b">
        <f aca="false">IF(Configuration!$C$31="No","",IFERROR(IF(AND(N(BG203)&gt;=Configuration!$C$52,N(AP203)&gt;=1),TRUE(),FALSE()),FALSE()))</f>
        <v>0</v>
      </c>
      <c r="CS203" s="50" t="b">
        <f aca="false">IF(Configuration!$C$32="No","",IFERROR(IF(AND(N(AR203)&gt;=1,OR(AG203&lt;&gt;"",AM203&lt;&gt;"")),TRUE(),FALSE()),FALSE()))</f>
        <v>0</v>
      </c>
      <c r="CT203" s="50" t="b">
        <f aca="false">IF(Configuration!$C$33="No","",IFERROR(IF(AG203&lt;&gt;"",TRUE(),FALSE()),FALSE()))</f>
        <v>0</v>
      </c>
      <c r="CU203" s="50" t="b">
        <f aca="false">IF(Configuration!$C$34="No","",IFERROR(IF(AX203="Yes",TRUE(),FALSE()),FALSE()))</f>
        <v>0</v>
      </c>
      <c r="CV203" s="50" t="b">
        <f aca="false">IF(Configuration!$C$35="No","",IFERROR(IF(OR(BO203="Partial",BO203="Full"),TRUE(),FALSE()),FALSE()))</f>
        <v>0</v>
      </c>
      <c r="CW203" s="50" t="b">
        <f aca="false">IF(Configuration!$C$36="No","",IFERROR(IF(BM203="Survived",TRUE(),FALSE()),FALSE()))</f>
        <v>0</v>
      </c>
      <c r="CX203" s="50" t="b">
        <f aca="false">IF(Configuration!$C$37="No","",IFERROR(IF(AND(BN203="Clean",BP203="None"),TRUE(),FALSE()),FALSE()))</f>
        <v>0</v>
      </c>
      <c r="CY203" s="50" t="b">
        <f aca="false">IF(Configuration!$C$38="No","",IFERROR(IF(N(BK203)&gt;=Configuration!$C$53,TRUE(),FALSE()),FALSE()))</f>
        <v>0</v>
      </c>
      <c r="CZ203" s="50" t="b">
        <f aca="false">IF(Configuration!$C$39="No","",IFERROR(IF(AND(N(BS203)&gt;=2,N(BF203)&gt;=2),TRUE(),FALSE()),FALSE()))</f>
        <v>0</v>
      </c>
      <c r="DA203" s="50" t="b">
        <f aca="false">IF(Configuration!$C$40="No","",IFERROR(IF(OR(N(BG203)&lt;=Configuration!$C$56,N(AY203)&lt;Configuration!$C$57,N(BH203)&lt;=Configuration!$C$58),TRUE(),FALSE()),FALSE()))</f>
        <v>1</v>
      </c>
      <c r="DB203" s="50" t="b">
        <f aca="false">IF(Configuration!$C$41="No","",IFERROR(IF(AND(N(AY203)&gt;=Configuration!$C$54,N(AY203)&lt;=Configuration!$C$55),TRUE(),FALSE()),FALSE()))</f>
        <v>0</v>
      </c>
      <c r="DC203" s="50" t="b">
        <f aca="false">IF(Configuration!$C$42="No","",IFERROR(IF(AND(AG203&lt;&gt;"",AJ203&lt;&gt;""),TRUE(),FALSE()),FALSE()))</f>
        <v>0</v>
      </c>
      <c r="DD203" s="51" t="n">
        <f aca="false">COUNTIF(BW203:DC203,TRUE())</f>
        <v>2</v>
      </c>
    </row>
    <row r="204" customFormat="false" ht="15" hidden="false" customHeight="true" outlineLevel="0" collapsed="false">
      <c r="A204" s="18" t="n">
        <v>165</v>
      </c>
      <c r="B204" s="44"/>
      <c r="C204" s="44"/>
      <c r="D204" s="44"/>
      <c r="E204" s="44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6" t="str">
        <f aca="false">IFERROR(IF(F204&lt;&gt;"",F204,""),"")</f>
        <v/>
      </c>
      <c r="AF204" s="46" t="str">
        <f aca="false">IFERROR(IF(G204&lt;&gt;"",G204,""),"")</f>
        <v/>
      </c>
      <c r="AG204" s="46" t="str">
        <f aca="false">IFERROR(IF(AA204&lt;&gt;"",AA204,IF(R204&lt;&gt;"",R204,"")),"")</f>
        <v/>
      </c>
      <c r="AH204" s="46" t="str">
        <f aca="false">IFERROR(IF(AB204&lt;&gt;"",AB204,IF(S204&lt;&gt;"",S204,"")),"")</f>
        <v/>
      </c>
      <c r="AI204" s="47"/>
      <c r="AJ204" s="47"/>
      <c r="AK204" s="47"/>
      <c r="AL204" s="47"/>
      <c r="AM204" s="47"/>
      <c r="AN204" s="47"/>
      <c r="AO204" s="47"/>
      <c r="AP204" s="47"/>
      <c r="AQ204" s="46" t="str">
        <f aca="false">IFERROR(IF(Y204&lt;&gt;"",VALUE(Y204),""),"")</f>
        <v/>
      </c>
      <c r="AR204" s="47"/>
      <c r="AS204" s="47"/>
      <c r="AT204" s="47"/>
      <c r="AU204" s="47"/>
      <c r="AV204" s="46" t="str">
        <f aca="false">IFERROR(IF(T204&lt;&gt;"",VALUE(T204),""),"")</f>
        <v/>
      </c>
      <c r="AW204" s="46" t="str">
        <f aca="false">IFERROR(IF(N204="","",IF(OR(ISNUMBER(SEARCH("grant",N204)),ISNUMBER(SEARCH("B",AC204))),"Granted",IF(OR(ISNUMBER(SEARCH("pend",N204)),ISNUMBER(SEARCH("A",AC204))),"Pending",IF(ISNUMBER(SEARCH("expir",N204)),"Expired",N204)))),"")</f>
        <v/>
      </c>
      <c r="AX204" s="47"/>
      <c r="AY204" s="46" t="str">
        <f aca="true">IFERROR(IF(M204&lt;&gt;"",ROUND(VALUE(M204),1),IF(L204&lt;&gt;"",ROUND(MAX(0,(DATEVALUE(TEXT(L204,"YYYY-MM-DD"))-TODAY())/365.25),1),"")),"")</f>
        <v/>
      </c>
      <c r="AZ204" s="46" t="str">
        <f aca="false">IFERROR(IF(O204&lt;&gt;"",O204,""),"")</f>
        <v/>
      </c>
      <c r="BA204" s="46" t="str">
        <f aca="false">IFERROR(IF(U204&lt;&gt;"",SUBSTITUTE(SUBSTITUTE(U204,"; ",", "),";",","),""),"")</f>
        <v/>
      </c>
      <c r="BB204" s="47"/>
      <c r="BC204" s="47"/>
      <c r="BD204" s="47"/>
      <c r="BE204" s="47"/>
      <c r="BF204" s="47"/>
      <c r="BG204" s="47"/>
      <c r="BH204" s="47"/>
      <c r="BI204" s="47"/>
      <c r="BJ204" s="47"/>
      <c r="BK204" s="46" t="str">
        <f aca="false">IFERROR(IF(W204&lt;&gt;"",VALUE(W204),""),"")</f>
        <v/>
      </c>
      <c r="BL204" s="46" t="str">
        <f aca="false">IFERROR(IF(X204&lt;&gt;"",VALUE(X204),""),"")</f>
        <v/>
      </c>
      <c r="BM204" s="46" t="str">
        <f aca="false">IFERROR(IF(AD204="","None",IF(ISNUMBER(SEARCH("surv",AD204)),"Survived",IF(ISNUMBER(SEARCH("pend",AD204)),"Pending",IF(ISNUMBER(SEARCH("yes",AD204)),"Pending","None")))),"None")</f>
        <v>None</v>
      </c>
      <c r="BN204" s="47"/>
      <c r="BO204" s="47"/>
      <c r="BP204" s="47"/>
      <c r="BQ204" s="47"/>
      <c r="BR204" s="47"/>
      <c r="BS204" s="47"/>
      <c r="BT204" s="47"/>
      <c r="BU204" s="48" t="n">
        <f aca="false">IFERROR(COUNTA(AE204:BT204)/42,0)</f>
        <v>0.30952380952381</v>
      </c>
      <c r="BV204" s="49"/>
      <c r="BW204" s="50" t="b">
        <f aca="false">IF(Configuration!$C$10="No","",IFERROR(IF(AG204&lt;&gt;"",TRUE(),FALSE()),FALSE()))</f>
        <v>0</v>
      </c>
      <c r="BX204" s="50" t="b">
        <f aca="false">IF(Configuration!$C$11="No","",IFERROR(IF(AND(N(AL204)&gt;=Configuration!$C$44,AM204&lt;&gt;""),TRUE(),FALSE()),FALSE()))</f>
        <v>0</v>
      </c>
      <c r="BY204" s="50" t="b">
        <f aca="false">IF(Configuration!$C$12="No","",IFERROR(IF(AJ204&lt;&gt;"",TRUE(),FALSE()),FALSE()))</f>
        <v>0</v>
      </c>
      <c r="BZ204" s="50" t="b">
        <f aca="false">IF(Configuration!$C$13="No","",IFERROR(IF(AI204&lt;&gt;"",TRUE(),FALSE()),FALSE()))</f>
        <v>0</v>
      </c>
      <c r="CA204" s="50" t="b">
        <f aca="false">IF(Configuration!$C$14="No","",IFERROR(IF(AK204&lt;&gt;"",TRUE(),FALSE()),FALSE()))</f>
        <v>0</v>
      </c>
      <c r="CB204" s="50" t="b">
        <f aca="false">IF(Configuration!$C$15="No","",IFERROR(IF(AND(OR(ISNUMBER(SEARCH("process",AG204)),ISNUMBER(SEARCH("fab",AG204)),ISNUMBER(SEARCH("manufac",AG204))),AO204="Method"),TRUE(),FALSE()),FALSE()))</f>
        <v>0</v>
      </c>
      <c r="CC204" s="50" t="b">
        <f aca="false">IF(Configuration!$C$16="No","",IFERROR(IF(AND(OR(ISNUMBER(SEARCH("material",AG204)),ISNUMBER(SEARCH("chem",AG204)),ISNUMBER(SEARCH("battery",AG204)),ISNUMBER(SEARCH("electrolyte",AG204)),ISNUMBER(SEARCH("polymer",AG204))),OR(AO204="Apparatus",AO204="Method")),TRUE(),FALSE()),FALSE()))</f>
        <v>0</v>
      </c>
      <c r="CD204" s="50" t="b">
        <f aca="false">IF(Configuration!$C$17="No","",IFERROR(IF(AND(OR(AI204="App",AI204="Middleware",AI204="Cloud"),OR(AO204="Method",AO204="CRM")),TRUE(),FALSE()),FALSE()))</f>
        <v>0</v>
      </c>
      <c r="CE204" s="50" t="b">
        <f aca="false">IF(Configuration!$C$18="No","",IFERROR(IF(N(AN204)&gt;=Configuration!$C$45,TRUE(),FALSE()),FALSE()))</f>
        <v>0</v>
      </c>
      <c r="CF204" s="50" t="b">
        <f aca="false">IF(Configuration!$C$19="No","",IFERROR(IF(BE204&lt;&gt;"",TRUE(),FALSE()),FALSE()))</f>
        <v>0</v>
      </c>
      <c r="CG204" s="50" t="b">
        <f aca="false">IF(Configuration!$C$20="No","",IFERROR(IF(AO204&lt;&gt;"",TRUE(),FALSE()),FALSE()))</f>
        <v>0</v>
      </c>
      <c r="CH204" s="50" t="b">
        <f aca="false">IF(Configuration!$C$21="No","",IFERROR(IF(OR(N(AS204)&gt;=Configuration!$C$46,N(AT204)&gt;=Configuration!$C$47),TRUE(),FALSE()),FALSE()))</f>
        <v>0</v>
      </c>
      <c r="CI204" s="50" t="b">
        <f aca="false">IF(Configuration!$C$22="No","",IFERROR(IF(BB204="Yes",TRUE(),FALSE()),FALSE()))</f>
        <v>0</v>
      </c>
      <c r="CJ204" s="50" t="b">
        <f aca="false">IF(Configuration!$C$23="No","",IFERROR(IF(N(AV204)&gt;=Configuration!$C$48,TRUE(),FALSE()),FALSE()))</f>
        <v>0</v>
      </c>
      <c r="CK204" s="50" t="b">
        <f aca="false">IF(Configuration!$C$24="No","",IFERROR(IF(N(AY204)&gt;0,TRUE(),FALSE()),FALSE()))</f>
        <v>0</v>
      </c>
      <c r="CL204" s="50" t="b">
        <f aca="false">IF(Configuration!$C$25="No","",IFERROR(IF(OR(N(AP204)=3,N(AP204)&lt;=1),TRUE(),FALSE()),FALSE()))</f>
        <v>1</v>
      </c>
      <c r="CM204" s="50" t="b">
        <f aca="false">IF(Configuration!$C$26="No","",IFERROR(IF(N(BF204)&gt;=Configuration!$C$49,TRUE(),FALSE()),FALSE()))</f>
        <v>0</v>
      </c>
      <c r="CN204" s="50" t="b">
        <f aca="false">IF(Configuration!$C$27="No","",IFERROR(IF(BD204&lt;&gt;"",TRUE(),FALSE()),FALSE()))</f>
        <v>0</v>
      </c>
      <c r="CO204" s="50" t="b">
        <f aca="false">IF(Configuration!$C$28="No","",IFERROR(IF(N(AU204)&gt;=Configuration!$C$50,TRUE(),FALSE()),FALSE()))</f>
        <v>0</v>
      </c>
      <c r="CP204" s="50" t="b">
        <f aca="false">IF(Configuration!$C$29="No","",IFERROR(IF(AND(N(AR204)&gt;=Configuration!$C$51,AG204&lt;&gt;""),TRUE(),FALSE()),FALSE()))</f>
        <v>0</v>
      </c>
      <c r="CQ204" s="50" t="b">
        <f aca="false">IF(Configuration!$C$30="No","",IFERROR(IF(OR(AW204="Pending",AX204="Yes"),TRUE(),FALSE()),FALSE()))</f>
        <v>0</v>
      </c>
      <c r="CR204" s="50" t="b">
        <f aca="false">IF(Configuration!$C$31="No","",IFERROR(IF(AND(N(BG204)&gt;=Configuration!$C$52,N(AP204)&gt;=1),TRUE(),FALSE()),FALSE()))</f>
        <v>0</v>
      </c>
      <c r="CS204" s="50" t="b">
        <f aca="false">IF(Configuration!$C$32="No","",IFERROR(IF(AND(N(AR204)&gt;=1,OR(AG204&lt;&gt;"",AM204&lt;&gt;"")),TRUE(),FALSE()),FALSE()))</f>
        <v>0</v>
      </c>
      <c r="CT204" s="50" t="b">
        <f aca="false">IF(Configuration!$C$33="No","",IFERROR(IF(AG204&lt;&gt;"",TRUE(),FALSE()),FALSE()))</f>
        <v>0</v>
      </c>
      <c r="CU204" s="50" t="b">
        <f aca="false">IF(Configuration!$C$34="No","",IFERROR(IF(AX204="Yes",TRUE(),FALSE()),FALSE()))</f>
        <v>0</v>
      </c>
      <c r="CV204" s="50" t="b">
        <f aca="false">IF(Configuration!$C$35="No","",IFERROR(IF(OR(BO204="Partial",BO204="Full"),TRUE(),FALSE()),FALSE()))</f>
        <v>0</v>
      </c>
      <c r="CW204" s="50" t="b">
        <f aca="false">IF(Configuration!$C$36="No","",IFERROR(IF(BM204="Survived",TRUE(),FALSE()),FALSE()))</f>
        <v>0</v>
      </c>
      <c r="CX204" s="50" t="b">
        <f aca="false">IF(Configuration!$C$37="No","",IFERROR(IF(AND(BN204="Clean",BP204="None"),TRUE(),FALSE()),FALSE()))</f>
        <v>0</v>
      </c>
      <c r="CY204" s="50" t="b">
        <f aca="false">IF(Configuration!$C$38="No","",IFERROR(IF(N(BK204)&gt;=Configuration!$C$53,TRUE(),FALSE()),FALSE()))</f>
        <v>0</v>
      </c>
      <c r="CZ204" s="50" t="b">
        <f aca="false">IF(Configuration!$C$39="No","",IFERROR(IF(AND(N(BS204)&gt;=2,N(BF204)&gt;=2),TRUE(),FALSE()),FALSE()))</f>
        <v>0</v>
      </c>
      <c r="DA204" s="50" t="b">
        <f aca="false">IF(Configuration!$C$40="No","",IFERROR(IF(OR(N(BG204)&lt;=Configuration!$C$56,N(AY204)&lt;Configuration!$C$57,N(BH204)&lt;=Configuration!$C$58),TRUE(),FALSE()),FALSE()))</f>
        <v>1</v>
      </c>
      <c r="DB204" s="50" t="b">
        <f aca="false">IF(Configuration!$C$41="No","",IFERROR(IF(AND(N(AY204)&gt;=Configuration!$C$54,N(AY204)&lt;=Configuration!$C$55),TRUE(),FALSE()),FALSE()))</f>
        <v>0</v>
      </c>
      <c r="DC204" s="50" t="b">
        <f aca="false">IF(Configuration!$C$42="No","",IFERROR(IF(AND(AG204&lt;&gt;"",AJ204&lt;&gt;""),TRUE(),FALSE()),FALSE()))</f>
        <v>0</v>
      </c>
      <c r="DD204" s="51" t="n">
        <f aca="false">COUNTIF(BW204:DC204,TRUE())</f>
        <v>2</v>
      </c>
    </row>
    <row r="205" customFormat="false" ht="15" hidden="false" customHeight="true" outlineLevel="0" collapsed="false">
      <c r="A205" s="18" t="n">
        <v>166</v>
      </c>
      <c r="B205" s="44"/>
      <c r="C205" s="44"/>
      <c r="D205" s="44"/>
      <c r="E205" s="44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6" t="str">
        <f aca="false">IFERROR(IF(F205&lt;&gt;"",F205,""),"")</f>
        <v/>
      </c>
      <c r="AF205" s="46" t="str">
        <f aca="false">IFERROR(IF(G205&lt;&gt;"",G205,""),"")</f>
        <v/>
      </c>
      <c r="AG205" s="46" t="str">
        <f aca="false">IFERROR(IF(AA205&lt;&gt;"",AA205,IF(R205&lt;&gt;"",R205,"")),"")</f>
        <v/>
      </c>
      <c r="AH205" s="46" t="str">
        <f aca="false">IFERROR(IF(AB205&lt;&gt;"",AB205,IF(S205&lt;&gt;"",S205,"")),"")</f>
        <v/>
      </c>
      <c r="AI205" s="47"/>
      <c r="AJ205" s="47"/>
      <c r="AK205" s="47"/>
      <c r="AL205" s="47"/>
      <c r="AM205" s="47"/>
      <c r="AN205" s="47"/>
      <c r="AO205" s="47"/>
      <c r="AP205" s="47"/>
      <c r="AQ205" s="46" t="str">
        <f aca="false">IFERROR(IF(Y205&lt;&gt;"",VALUE(Y205),""),"")</f>
        <v/>
      </c>
      <c r="AR205" s="47"/>
      <c r="AS205" s="47"/>
      <c r="AT205" s="47"/>
      <c r="AU205" s="47"/>
      <c r="AV205" s="46" t="str">
        <f aca="false">IFERROR(IF(T205&lt;&gt;"",VALUE(T205),""),"")</f>
        <v/>
      </c>
      <c r="AW205" s="46" t="str">
        <f aca="false">IFERROR(IF(N205="","",IF(OR(ISNUMBER(SEARCH("grant",N205)),ISNUMBER(SEARCH("B",AC205))),"Granted",IF(OR(ISNUMBER(SEARCH("pend",N205)),ISNUMBER(SEARCH("A",AC205))),"Pending",IF(ISNUMBER(SEARCH("expir",N205)),"Expired",N205)))),"")</f>
        <v/>
      </c>
      <c r="AX205" s="47"/>
      <c r="AY205" s="46" t="str">
        <f aca="true">IFERROR(IF(M205&lt;&gt;"",ROUND(VALUE(M205),1),IF(L205&lt;&gt;"",ROUND(MAX(0,(DATEVALUE(TEXT(L205,"YYYY-MM-DD"))-TODAY())/365.25),1),"")),"")</f>
        <v/>
      </c>
      <c r="AZ205" s="46" t="str">
        <f aca="false">IFERROR(IF(O205&lt;&gt;"",O205,""),"")</f>
        <v/>
      </c>
      <c r="BA205" s="46" t="str">
        <f aca="false">IFERROR(IF(U205&lt;&gt;"",SUBSTITUTE(SUBSTITUTE(U205,"; ",", "),";",","),""),"")</f>
        <v/>
      </c>
      <c r="BB205" s="47"/>
      <c r="BC205" s="47"/>
      <c r="BD205" s="47"/>
      <c r="BE205" s="47"/>
      <c r="BF205" s="47"/>
      <c r="BG205" s="47"/>
      <c r="BH205" s="47"/>
      <c r="BI205" s="47"/>
      <c r="BJ205" s="47"/>
      <c r="BK205" s="46" t="str">
        <f aca="false">IFERROR(IF(W205&lt;&gt;"",VALUE(W205),""),"")</f>
        <v/>
      </c>
      <c r="BL205" s="46" t="str">
        <f aca="false">IFERROR(IF(X205&lt;&gt;"",VALUE(X205),""),"")</f>
        <v/>
      </c>
      <c r="BM205" s="46" t="str">
        <f aca="false">IFERROR(IF(AD205="","None",IF(ISNUMBER(SEARCH("surv",AD205)),"Survived",IF(ISNUMBER(SEARCH("pend",AD205)),"Pending",IF(ISNUMBER(SEARCH("yes",AD205)),"Pending","None")))),"None")</f>
        <v>None</v>
      </c>
      <c r="BN205" s="47"/>
      <c r="BO205" s="47"/>
      <c r="BP205" s="47"/>
      <c r="BQ205" s="47"/>
      <c r="BR205" s="47"/>
      <c r="BS205" s="47"/>
      <c r="BT205" s="47"/>
      <c r="BU205" s="48" t="n">
        <f aca="false">IFERROR(COUNTA(AE205:BT205)/42,0)</f>
        <v>0.30952380952381</v>
      </c>
      <c r="BV205" s="49"/>
      <c r="BW205" s="50" t="b">
        <f aca="false">IF(Configuration!$C$10="No","",IFERROR(IF(AG205&lt;&gt;"",TRUE(),FALSE()),FALSE()))</f>
        <v>0</v>
      </c>
      <c r="BX205" s="50" t="b">
        <f aca="false">IF(Configuration!$C$11="No","",IFERROR(IF(AND(N(AL205)&gt;=Configuration!$C$44,AM205&lt;&gt;""),TRUE(),FALSE()),FALSE()))</f>
        <v>0</v>
      </c>
      <c r="BY205" s="50" t="b">
        <f aca="false">IF(Configuration!$C$12="No","",IFERROR(IF(AJ205&lt;&gt;"",TRUE(),FALSE()),FALSE()))</f>
        <v>0</v>
      </c>
      <c r="BZ205" s="50" t="b">
        <f aca="false">IF(Configuration!$C$13="No","",IFERROR(IF(AI205&lt;&gt;"",TRUE(),FALSE()),FALSE()))</f>
        <v>0</v>
      </c>
      <c r="CA205" s="50" t="b">
        <f aca="false">IF(Configuration!$C$14="No","",IFERROR(IF(AK205&lt;&gt;"",TRUE(),FALSE()),FALSE()))</f>
        <v>0</v>
      </c>
      <c r="CB205" s="50" t="b">
        <f aca="false">IF(Configuration!$C$15="No","",IFERROR(IF(AND(OR(ISNUMBER(SEARCH("process",AG205)),ISNUMBER(SEARCH("fab",AG205)),ISNUMBER(SEARCH("manufac",AG205))),AO205="Method"),TRUE(),FALSE()),FALSE()))</f>
        <v>0</v>
      </c>
      <c r="CC205" s="50" t="b">
        <f aca="false">IF(Configuration!$C$16="No","",IFERROR(IF(AND(OR(ISNUMBER(SEARCH("material",AG205)),ISNUMBER(SEARCH("chem",AG205)),ISNUMBER(SEARCH("battery",AG205)),ISNUMBER(SEARCH("electrolyte",AG205)),ISNUMBER(SEARCH("polymer",AG205))),OR(AO205="Apparatus",AO205="Method")),TRUE(),FALSE()),FALSE()))</f>
        <v>0</v>
      </c>
      <c r="CD205" s="50" t="b">
        <f aca="false">IF(Configuration!$C$17="No","",IFERROR(IF(AND(OR(AI205="App",AI205="Middleware",AI205="Cloud"),OR(AO205="Method",AO205="CRM")),TRUE(),FALSE()),FALSE()))</f>
        <v>0</v>
      </c>
      <c r="CE205" s="50" t="b">
        <f aca="false">IF(Configuration!$C$18="No","",IFERROR(IF(N(AN205)&gt;=Configuration!$C$45,TRUE(),FALSE()),FALSE()))</f>
        <v>0</v>
      </c>
      <c r="CF205" s="50" t="b">
        <f aca="false">IF(Configuration!$C$19="No","",IFERROR(IF(BE205&lt;&gt;"",TRUE(),FALSE()),FALSE()))</f>
        <v>0</v>
      </c>
      <c r="CG205" s="50" t="b">
        <f aca="false">IF(Configuration!$C$20="No","",IFERROR(IF(AO205&lt;&gt;"",TRUE(),FALSE()),FALSE()))</f>
        <v>0</v>
      </c>
      <c r="CH205" s="50" t="b">
        <f aca="false">IF(Configuration!$C$21="No","",IFERROR(IF(OR(N(AS205)&gt;=Configuration!$C$46,N(AT205)&gt;=Configuration!$C$47),TRUE(),FALSE()),FALSE()))</f>
        <v>0</v>
      </c>
      <c r="CI205" s="50" t="b">
        <f aca="false">IF(Configuration!$C$22="No","",IFERROR(IF(BB205="Yes",TRUE(),FALSE()),FALSE()))</f>
        <v>0</v>
      </c>
      <c r="CJ205" s="50" t="b">
        <f aca="false">IF(Configuration!$C$23="No","",IFERROR(IF(N(AV205)&gt;=Configuration!$C$48,TRUE(),FALSE()),FALSE()))</f>
        <v>0</v>
      </c>
      <c r="CK205" s="50" t="b">
        <f aca="false">IF(Configuration!$C$24="No","",IFERROR(IF(N(AY205)&gt;0,TRUE(),FALSE()),FALSE()))</f>
        <v>0</v>
      </c>
      <c r="CL205" s="50" t="b">
        <f aca="false">IF(Configuration!$C$25="No","",IFERROR(IF(OR(N(AP205)=3,N(AP205)&lt;=1),TRUE(),FALSE()),FALSE()))</f>
        <v>1</v>
      </c>
      <c r="CM205" s="50" t="b">
        <f aca="false">IF(Configuration!$C$26="No","",IFERROR(IF(N(BF205)&gt;=Configuration!$C$49,TRUE(),FALSE()),FALSE()))</f>
        <v>0</v>
      </c>
      <c r="CN205" s="50" t="b">
        <f aca="false">IF(Configuration!$C$27="No","",IFERROR(IF(BD205&lt;&gt;"",TRUE(),FALSE()),FALSE()))</f>
        <v>0</v>
      </c>
      <c r="CO205" s="50" t="b">
        <f aca="false">IF(Configuration!$C$28="No","",IFERROR(IF(N(AU205)&gt;=Configuration!$C$50,TRUE(),FALSE()),FALSE()))</f>
        <v>0</v>
      </c>
      <c r="CP205" s="50" t="b">
        <f aca="false">IF(Configuration!$C$29="No","",IFERROR(IF(AND(N(AR205)&gt;=Configuration!$C$51,AG205&lt;&gt;""),TRUE(),FALSE()),FALSE()))</f>
        <v>0</v>
      </c>
      <c r="CQ205" s="50" t="b">
        <f aca="false">IF(Configuration!$C$30="No","",IFERROR(IF(OR(AW205="Pending",AX205="Yes"),TRUE(),FALSE()),FALSE()))</f>
        <v>0</v>
      </c>
      <c r="CR205" s="50" t="b">
        <f aca="false">IF(Configuration!$C$31="No","",IFERROR(IF(AND(N(BG205)&gt;=Configuration!$C$52,N(AP205)&gt;=1),TRUE(),FALSE()),FALSE()))</f>
        <v>0</v>
      </c>
      <c r="CS205" s="50" t="b">
        <f aca="false">IF(Configuration!$C$32="No","",IFERROR(IF(AND(N(AR205)&gt;=1,OR(AG205&lt;&gt;"",AM205&lt;&gt;"")),TRUE(),FALSE()),FALSE()))</f>
        <v>0</v>
      </c>
      <c r="CT205" s="50" t="b">
        <f aca="false">IF(Configuration!$C$33="No","",IFERROR(IF(AG205&lt;&gt;"",TRUE(),FALSE()),FALSE()))</f>
        <v>0</v>
      </c>
      <c r="CU205" s="50" t="b">
        <f aca="false">IF(Configuration!$C$34="No","",IFERROR(IF(AX205="Yes",TRUE(),FALSE()),FALSE()))</f>
        <v>0</v>
      </c>
      <c r="CV205" s="50" t="b">
        <f aca="false">IF(Configuration!$C$35="No","",IFERROR(IF(OR(BO205="Partial",BO205="Full"),TRUE(),FALSE()),FALSE()))</f>
        <v>0</v>
      </c>
      <c r="CW205" s="50" t="b">
        <f aca="false">IF(Configuration!$C$36="No","",IFERROR(IF(BM205="Survived",TRUE(),FALSE()),FALSE()))</f>
        <v>0</v>
      </c>
      <c r="CX205" s="50" t="b">
        <f aca="false">IF(Configuration!$C$37="No","",IFERROR(IF(AND(BN205="Clean",BP205="None"),TRUE(),FALSE()),FALSE()))</f>
        <v>0</v>
      </c>
      <c r="CY205" s="50" t="b">
        <f aca="false">IF(Configuration!$C$38="No","",IFERROR(IF(N(BK205)&gt;=Configuration!$C$53,TRUE(),FALSE()),FALSE()))</f>
        <v>0</v>
      </c>
      <c r="CZ205" s="50" t="b">
        <f aca="false">IF(Configuration!$C$39="No","",IFERROR(IF(AND(N(BS205)&gt;=2,N(BF205)&gt;=2),TRUE(),FALSE()),FALSE()))</f>
        <v>0</v>
      </c>
      <c r="DA205" s="50" t="b">
        <f aca="false">IF(Configuration!$C$40="No","",IFERROR(IF(OR(N(BG205)&lt;=Configuration!$C$56,N(AY205)&lt;Configuration!$C$57,N(BH205)&lt;=Configuration!$C$58),TRUE(),FALSE()),FALSE()))</f>
        <v>1</v>
      </c>
      <c r="DB205" s="50" t="b">
        <f aca="false">IF(Configuration!$C$41="No","",IFERROR(IF(AND(N(AY205)&gt;=Configuration!$C$54,N(AY205)&lt;=Configuration!$C$55),TRUE(),FALSE()),FALSE()))</f>
        <v>0</v>
      </c>
      <c r="DC205" s="50" t="b">
        <f aca="false">IF(Configuration!$C$42="No","",IFERROR(IF(AND(AG205&lt;&gt;"",AJ205&lt;&gt;""),TRUE(),FALSE()),FALSE()))</f>
        <v>0</v>
      </c>
      <c r="DD205" s="51" t="n">
        <f aca="false">COUNTIF(BW205:DC205,TRUE())</f>
        <v>2</v>
      </c>
    </row>
    <row r="206" customFormat="false" ht="15" hidden="false" customHeight="true" outlineLevel="0" collapsed="false">
      <c r="A206" s="18" t="n">
        <v>167</v>
      </c>
      <c r="B206" s="44"/>
      <c r="C206" s="44"/>
      <c r="D206" s="44"/>
      <c r="E206" s="44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6" t="str">
        <f aca="false">IFERROR(IF(F206&lt;&gt;"",F206,""),"")</f>
        <v/>
      </c>
      <c r="AF206" s="46" t="str">
        <f aca="false">IFERROR(IF(G206&lt;&gt;"",G206,""),"")</f>
        <v/>
      </c>
      <c r="AG206" s="46" t="str">
        <f aca="false">IFERROR(IF(AA206&lt;&gt;"",AA206,IF(R206&lt;&gt;"",R206,"")),"")</f>
        <v/>
      </c>
      <c r="AH206" s="46" t="str">
        <f aca="false">IFERROR(IF(AB206&lt;&gt;"",AB206,IF(S206&lt;&gt;"",S206,"")),"")</f>
        <v/>
      </c>
      <c r="AI206" s="47"/>
      <c r="AJ206" s="47"/>
      <c r="AK206" s="47"/>
      <c r="AL206" s="47"/>
      <c r="AM206" s="47"/>
      <c r="AN206" s="47"/>
      <c r="AO206" s="47"/>
      <c r="AP206" s="47"/>
      <c r="AQ206" s="46" t="str">
        <f aca="false">IFERROR(IF(Y206&lt;&gt;"",VALUE(Y206),""),"")</f>
        <v/>
      </c>
      <c r="AR206" s="47"/>
      <c r="AS206" s="47"/>
      <c r="AT206" s="47"/>
      <c r="AU206" s="47"/>
      <c r="AV206" s="46" t="str">
        <f aca="false">IFERROR(IF(T206&lt;&gt;"",VALUE(T206),""),"")</f>
        <v/>
      </c>
      <c r="AW206" s="46" t="str">
        <f aca="false">IFERROR(IF(N206="","",IF(OR(ISNUMBER(SEARCH("grant",N206)),ISNUMBER(SEARCH("B",AC206))),"Granted",IF(OR(ISNUMBER(SEARCH("pend",N206)),ISNUMBER(SEARCH("A",AC206))),"Pending",IF(ISNUMBER(SEARCH("expir",N206)),"Expired",N206)))),"")</f>
        <v/>
      </c>
      <c r="AX206" s="47"/>
      <c r="AY206" s="46" t="str">
        <f aca="true">IFERROR(IF(M206&lt;&gt;"",ROUND(VALUE(M206),1),IF(L206&lt;&gt;"",ROUND(MAX(0,(DATEVALUE(TEXT(L206,"YYYY-MM-DD"))-TODAY())/365.25),1),"")),"")</f>
        <v/>
      </c>
      <c r="AZ206" s="46" t="str">
        <f aca="false">IFERROR(IF(O206&lt;&gt;"",O206,""),"")</f>
        <v/>
      </c>
      <c r="BA206" s="46" t="str">
        <f aca="false">IFERROR(IF(U206&lt;&gt;"",SUBSTITUTE(SUBSTITUTE(U206,"; ",", "),";",","),""),"")</f>
        <v/>
      </c>
      <c r="BB206" s="47"/>
      <c r="BC206" s="47"/>
      <c r="BD206" s="47"/>
      <c r="BE206" s="47"/>
      <c r="BF206" s="47"/>
      <c r="BG206" s="47"/>
      <c r="BH206" s="47"/>
      <c r="BI206" s="47"/>
      <c r="BJ206" s="47"/>
      <c r="BK206" s="46" t="str">
        <f aca="false">IFERROR(IF(W206&lt;&gt;"",VALUE(W206),""),"")</f>
        <v/>
      </c>
      <c r="BL206" s="46" t="str">
        <f aca="false">IFERROR(IF(X206&lt;&gt;"",VALUE(X206),""),"")</f>
        <v/>
      </c>
      <c r="BM206" s="46" t="str">
        <f aca="false">IFERROR(IF(AD206="","None",IF(ISNUMBER(SEARCH("surv",AD206)),"Survived",IF(ISNUMBER(SEARCH("pend",AD206)),"Pending",IF(ISNUMBER(SEARCH("yes",AD206)),"Pending","None")))),"None")</f>
        <v>None</v>
      </c>
      <c r="BN206" s="47"/>
      <c r="BO206" s="47"/>
      <c r="BP206" s="47"/>
      <c r="BQ206" s="47"/>
      <c r="BR206" s="47"/>
      <c r="BS206" s="47"/>
      <c r="BT206" s="47"/>
      <c r="BU206" s="48" t="n">
        <f aca="false">IFERROR(COUNTA(AE206:BT206)/42,0)</f>
        <v>0.30952380952381</v>
      </c>
      <c r="BV206" s="49"/>
      <c r="BW206" s="50" t="b">
        <f aca="false">IF(Configuration!$C$10="No","",IFERROR(IF(AG206&lt;&gt;"",TRUE(),FALSE()),FALSE()))</f>
        <v>0</v>
      </c>
      <c r="BX206" s="50" t="b">
        <f aca="false">IF(Configuration!$C$11="No","",IFERROR(IF(AND(N(AL206)&gt;=Configuration!$C$44,AM206&lt;&gt;""),TRUE(),FALSE()),FALSE()))</f>
        <v>0</v>
      </c>
      <c r="BY206" s="50" t="b">
        <f aca="false">IF(Configuration!$C$12="No","",IFERROR(IF(AJ206&lt;&gt;"",TRUE(),FALSE()),FALSE()))</f>
        <v>0</v>
      </c>
      <c r="BZ206" s="50" t="b">
        <f aca="false">IF(Configuration!$C$13="No","",IFERROR(IF(AI206&lt;&gt;"",TRUE(),FALSE()),FALSE()))</f>
        <v>0</v>
      </c>
      <c r="CA206" s="50" t="b">
        <f aca="false">IF(Configuration!$C$14="No","",IFERROR(IF(AK206&lt;&gt;"",TRUE(),FALSE()),FALSE()))</f>
        <v>0</v>
      </c>
      <c r="CB206" s="50" t="b">
        <f aca="false">IF(Configuration!$C$15="No","",IFERROR(IF(AND(OR(ISNUMBER(SEARCH("process",AG206)),ISNUMBER(SEARCH("fab",AG206)),ISNUMBER(SEARCH("manufac",AG206))),AO206="Method"),TRUE(),FALSE()),FALSE()))</f>
        <v>0</v>
      </c>
      <c r="CC206" s="50" t="b">
        <f aca="false">IF(Configuration!$C$16="No","",IFERROR(IF(AND(OR(ISNUMBER(SEARCH("material",AG206)),ISNUMBER(SEARCH("chem",AG206)),ISNUMBER(SEARCH("battery",AG206)),ISNUMBER(SEARCH("electrolyte",AG206)),ISNUMBER(SEARCH("polymer",AG206))),OR(AO206="Apparatus",AO206="Method")),TRUE(),FALSE()),FALSE()))</f>
        <v>0</v>
      </c>
      <c r="CD206" s="50" t="b">
        <f aca="false">IF(Configuration!$C$17="No","",IFERROR(IF(AND(OR(AI206="App",AI206="Middleware",AI206="Cloud"),OR(AO206="Method",AO206="CRM")),TRUE(),FALSE()),FALSE()))</f>
        <v>0</v>
      </c>
      <c r="CE206" s="50" t="b">
        <f aca="false">IF(Configuration!$C$18="No","",IFERROR(IF(N(AN206)&gt;=Configuration!$C$45,TRUE(),FALSE()),FALSE()))</f>
        <v>0</v>
      </c>
      <c r="CF206" s="50" t="b">
        <f aca="false">IF(Configuration!$C$19="No","",IFERROR(IF(BE206&lt;&gt;"",TRUE(),FALSE()),FALSE()))</f>
        <v>0</v>
      </c>
      <c r="CG206" s="50" t="b">
        <f aca="false">IF(Configuration!$C$20="No","",IFERROR(IF(AO206&lt;&gt;"",TRUE(),FALSE()),FALSE()))</f>
        <v>0</v>
      </c>
      <c r="CH206" s="50" t="b">
        <f aca="false">IF(Configuration!$C$21="No","",IFERROR(IF(OR(N(AS206)&gt;=Configuration!$C$46,N(AT206)&gt;=Configuration!$C$47),TRUE(),FALSE()),FALSE()))</f>
        <v>0</v>
      </c>
      <c r="CI206" s="50" t="b">
        <f aca="false">IF(Configuration!$C$22="No","",IFERROR(IF(BB206="Yes",TRUE(),FALSE()),FALSE()))</f>
        <v>0</v>
      </c>
      <c r="CJ206" s="50" t="b">
        <f aca="false">IF(Configuration!$C$23="No","",IFERROR(IF(N(AV206)&gt;=Configuration!$C$48,TRUE(),FALSE()),FALSE()))</f>
        <v>0</v>
      </c>
      <c r="CK206" s="50" t="b">
        <f aca="false">IF(Configuration!$C$24="No","",IFERROR(IF(N(AY206)&gt;0,TRUE(),FALSE()),FALSE()))</f>
        <v>0</v>
      </c>
      <c r="CL206" s="50" t="b">
        <f aca="false">IF(Configuration!$C$25="No","",IFERROR(IF(OR(N(AP206)=3,N(AP206)&lt;=1),TRUE(),FALSE()),FALSE()))</f>
        <v>1</v>
      </c>
      <c r="CM206" s="50" t="b">
        <f aca="false">IF(Configuration!$C$26="No","",IFERROR(IF(N(BF206)&gt;=Configuration!$C$49,TRUE(),FALSE()),FALSE()))</f>
        <v>0</v>
      </c>
      <c r="CN206" s="50" t="b">
        <f aca="false">IF(Configuration!$C$27="No","",IFERROR(IF(BD206&lt;&gt;"",TRUE(),FALSE()),FALSE()))</f>
        <v>0</v>
      </c>
      <c r="CO206" s="50" t="b">
        <f aca="false">IF(Configuration!$C$28="No","",IFERROR(IF(N(AU206)&gt;=Configuration!$C$50,TRUE(),FALSE()),FALSE()))</f>
        <v>0</v>
      </c>
      <c r="CP206" s="50" t="b">
        <f aca="false">IF(Configuration!$C$29="No","",IFERROR(IF(AND(N(AR206)&gt;=Configuration!$C$51,AG206&lt;&gt;""),TRUE(),FALSE()),FALSE()))</f>
        <v>0</v>
      </c>
      <c r="CQ206" s="50" t="b">
        <f aca="false">IF(Configuration!$C$30="No","",IFERROR(IF(OR(AW206="Pending",AX206="Yes"),TRUE(),FALSE()),FALSE()))</f>
        <v>0</v>
      </c>
      <c r="CR206" s="50" t="b">
        <f aca="false">IF(Configuration!$C$31="No","",IFERROR(IF(AND(N(BG206)&gt;=Configuration!$C$52,N(AP206)&gt;=1),TRUE(),FALSE()),FALSE()))</f>
        <v>0</v>
      </c>
      <c r="CS206" s="50" t="b">
        <f aca="false">IF(Configuration!$C$32="No","",IFERROR(IF(AND(N(AR206)&gt;=1,OR(AG206&lt;&gt;"",AM206&lt;&gt;"")),TRUE(),FALSE()),FALSE()))</f>
        <v>0</v>
      </c>
      <c r="CT206" s="50" t="b">
        <f aca="false">IF(Configuration!$C$33="No","",IFERROR(IF(AG206&lt;&gt;"",TRUE(),FALSE()),FALSE()))</f>
        <v>0</v>
      </c>
      <c r="CU206" s="50" t="b">
        <f aca="false">IF(Configuration!$C$34="No","",IFERROR(IF(AX206="Yes",TRUE(),FALSE()),FALSE()))</f>
        <v>0</v>
      </c>
      <c r="CV206" s="50" t="b">
        <f aca="false">IF(Configuration!$C$35="No","",IFERROR(IF(OR(BO206="Partial",BO206="Full"),TRUE(),FALSE()),FALSE()))</f>
        <v>0</v>
      </c>
      <c r="CW206" s="50" t="b">
        <f aca="false">IF(Configuration!$C$36="No","",IFERROR(IF(BM206="Survived",TRUE(),FALSE()),FALSE()))</f>
        <v>0</v>
      </c>
      <c r="CX206" s="50" t="b">
        <f aca="false">IF(Configuration!$C$37="No","",IFERROR(IF(AND(BN206="Clean",BP206="None"),TRUE(),FALSE()),FALSE()))</f>
        <v>0</v>
      </c>
      <c r="CY206" s="50" t="b">
        <f aca="false">IF(Configuration!$C$38="No","",IFERROR(IF(N(BK206)&gt;=Configuration!$C$53,TRUE(),FALSE()),FALSE()))</f>
        <v>0</v>
      </c>
      <c r="CZ206" s="50" t="b">
        <f aca="false">IF(Configuration!$C$39="No","",IFERROR(IF(AND(N(BS206)&gt;=2,N(BF206)&gt;=2),TRUE(),FALSE()),FALSE()))</f>
        <v>0</v>
      </c>
      <c r="DA206" s="50" t="b">
        <f aca="false">IF(Configuration!$C$40="No","",IFERROR(IF(OR(N(BG206)&lt;=Configuration!$C$56,N(AY206)&lt;Configuration!$C$57,N(BH206)&lt;=Configuration!$C$58),TRUE(),FALSE()),FALSE()))</f>
        <v>1</v>
      </c>
      <c r="DB206" s="50" t="b">
        <f aca="false">IF(Configuration!$C$41="No","",IFERROR(IF(AND(N(AY206)&gt;=Configuration!$C$54,N(AY206)&lt;=Configuration!$C$55),TRUE(),FALSE()),FALSE()))</f>
        <v>0</v>
      </c>
      <c r="DC206" s="50" t="b">
        <f aca="false">IF(Configuration!$C$42="No","",IFERROR(IF(AND(AG206&lt;&gt;"",AJ206&lt;&gt;""),TRUE(),FALSE()),FALSE()))</f>
        <v>0</v>
      </c>
      <c r="DD206" s="51" t="n">
        <f aca="false">COUNTIF(BW206:DC206,TRUE())</f>
        <v>2</v>
      </c>
    </row>
    <row r="207" customFormat="false" ht="15" hidden="false" customHeight="true" outlineLevel="0" collapsed="false">
      <c r="A207" s="18" t="n">
        <v>168</v>
      </c>
      <c r="B207" s="44"/>
      <c r="C207" s="44"/>
      <c r="D207" s="44"/>
      <c r="E207" s="44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6" t="str">
        <f aca="false">IFERROR(IF(F207&lt;&gt;"",F207,""),"")</f>
        <v/>
      </c>
      <c r="AF207" s="46" t="str">
        <f aca="false">IFERROR(IF(G207&lt;&gt;"",G207,""),"")</f>
        <v/>
      </c>
      <c r="AG207" s="46" t="str">
        <f aca="false">IFERROR(IF(AA207&lt;&gt;"",AA207,IF(R207&lt;&gt;"",R207,"")),"")</f>
        <v/>
      </c>
      <c r="AH207" s="46" t="str">
        <f aca="false">IFERROR(IF(AB207&lt;&gt;"",AB207,IF(S207&lt;&gt;"",S207,"")),"")</f>
        <v/>
      </c>
      <c r="AI207" s="47"/>
      <c r="AJ207" s="47"/>
      <c r="AK207" s="47"/>
      <c r="AL207" s="47"/>
      <c r="AM207" s="47"/>
      <c r="AN207" s="47"/>
      <c r="AO207" s="47"/>
      <c r="AP207" s="47"/>
      <c r="AQ207" s="46" t="str">
        <f aca="false">IFERROR(IF(Y207&lt;&gt;"",VALUE(Y207),""),"")</f>
        <v/>
      </c>
      <c r="AR207" s="47"/>
      <c r="AS207" s="47"/>
      <c r="AT207" s="47"/>
      <c r="AU207" s="47"/>
      <c r="AV207" s="46" t="str">
        <f aca="false">IFERROR(IF(T207&lt;&gt;"",VALUE(T207),""),"")</f>
        <v/>
      </c>
      <c r="AW207" s="46" t="str">
        <f aca="false">IFERROR(IF(N207="","",IF(OR(ISNUMBER(SEARCH("grant",N207)),ISNUMBER(SEARCH("B",AC207))),"Granted",IF(OR(ISNUMBER(SEARCH("pend",N207)),ISNUMBER(SEARCH("A",AC207))),"Pending",IF(ISNUMBER(SEARCH("expir",N207)),"Expired",N207)))),"")</f>
        <v/>
      </c>
      <c r="AX207" s="47"/>
      <c r="AY207" s="46" t="str">
        <f aca="true">IFERROR(IF(M207&lt;&gt;"",ROUND(VALUE(M207),1),IF(L207&lt;&gt;"",ROUND(MAX(0,(DATEVALUE(TEXT(L207,"YYYY-MM-DD"))-TODAY())/365.25),1),"")),"")</f>
        <v/>
      </c>
      <c r="AZ207" s="46" t="str">
        <f aca="false">IFERROR(IF(O207&lt;&gt;"",O207,""),"")</f>
        <v/>
      </c>
      <c r="BA207" s="46" t="str">
        <f aca="false">IFERROR(IF(U207&lt;&gt;"",SUBSTITUTE(SUBSTITUTE(U207,"; ",", "),";",","),""),"")</f>
        <v/>
      </c>
      <c r="BB207" s="47"/>
      <c r="BC207" s="47"/>
      <c r="BD207" s="47"/>
      <c r="BE207" s="47"/>
      <c r="BF207" s="47"/>
      <c r="BG207" s="47"/>
      <c r="BH207" s="47"/>
      <c r="BI207" s="47"/>
      <c r="BJ207" s="47"/>
      <c r="BK207" s="46" t="str">
        <f aca="false">IFERROR(IF(W207&lt;&gt;"",VALUE(W207),""),"")</f>
        <v/>
      </c>
      <c r="BL207" s="46" t="str">
        <f aca="false">IFERROR(IF(X207&lt;&gt;"",VALUE(X207),""),"")</f>
        <v/>
      </c>
      <c r="BM207" s="46" t="str">
        <f aca="false">IFERROR(IF(AD207="","None",IF(ISNUMBER(SEARCH("surv",AD207)),"Survived",IF(ISNUMBER(SEARCH("pend",AD207)),"Pending",IF(ISNUMBER(SEARCH("yes",AD207)),"Pending","None")))),"None")</f>
        <v>None</v>
      </c>
      <c r="BN207" s="47"/>
      <c r="BO207" s="47"/>
      <c r="BP207" s="47"/>
      <c r="BQ207" s="47"/>
      <c r="BR207" s="47"/>
      <c r="BS207" s="47"/>
      <c r="BT207" s="47"/>
      <c r="BU207" s="48" t="n">
        <f aca="false">IFERROR(COUNTA(AE207:BT207)/42,0)</f>
        <v>0.30952380952381</v>
      </c>
      <c r="BV207" s="49"/>
      <c r="BW207" s="50" t="b">
        <f aca="false">IF(Configuration!$C$10="No","",IFERROR(IF(AG207&lt;&gt;"",TRUE(),FALSE()),FALSE()))</f>
        <v>0</v>
      </c>
      <c r="BX207" s="50" t="b">
        <f aca="false">IF(Configuration!$C$11="No","",IFERROR(IF(AND(N(AL207)&gt;=Configuration!$C$44,AM207&lt;&gt;""),TRUE(),FALSE()),FALSE()))</f>
        <v>0</v>
      </c>
      <c r="BY207" s="50" t="b">
        <f aca="false">IF(Configuration!$C$12="No","",IFERROR(IF(AJ207&lt;&gt;"",TRUE(),FALSE()),FALSE()))</f>
        <v>0</v>
      </c>
      <c r="BZ207" s="50" t="b">
        <f aca="false">IF(Configuration!$C$13="No","",IFERROR(IF(AI207&lt;&gt;"",TRUE(),FALSE()),FALSE()))</f>
        <v>0</v>
      </c>
      <c r="CA207" s="50" t="b">
        <f aca="false">IF(Configuration!$C$14="No","",IFERROR(IF(AK207&lt;&gt;"",TRUE(),FALSE()),FALSE()))</f>
        <v>0</v>
      </c>
      <c r="CB207" s="50" t="b">
        <f aca="false">IF(Configuration!$C$15="No","",IFERROR(IF(AND(OR(ISNUMBER(SEARCH("process",AG207)),ISNUMBER(SEARCH("fab",AG207)),ISNUMBER(SEARCH("manufac",AG207))),AO207="Method"),TRUE(),FALSE()),FALSE()))</f>
        <v>0</v>
      </c>
      <c r="CC207" s="50" t="b">
        <f aca="false">IF(Configuration!$C$16="No","",IFERROR(IF(AND(OR(ISNUMBER(SEARCH("material",AG207)),ISNUMBER(SEARCH("chem",AG207)),ISNUMBER(SEARCH("battery",AG207)),ISNUMBER(SEARCH("electrolyte",AG207)),ISNUMBER(SEARCH("polymer",AG207))),OR(AO207="Apparatus",AO207="Method")),TRUE(),FALSE()),FALSE()))</f>
        <v>0</v>
      </c>
      <c r="CD207" s="50" t="b">
        <f aca="false">IF(Configuration!$C$17="No","",IFERROR(IF(AND(OR(AI207="App",AI207="Middleware",AI207="Cloud"),OR(AO207="Method",AO207="CRM")),TRUE(),FALSE()),FALSE()))</f>
        <v>0</v>
      </c>
      <c r="CE207" s="50" t="b">
        <f aca="false">IF(Configuration!$C$18="No","",IFERROR(IF(N(AN207)&gt;=Configuration!$C$45,TRUE(),FALSE()),FALSE()))</f>
        <v>0</v>
      </c>
      <c r="CF207" s="50" t="b">
        <f aca="false">IF(Configuration!$C$19="No","",IFERROR(IF(BE207&lt;&gt;"",TRUE(),FALSE()),FALSE()))</f>
        <v>0</v>
      </c>
      <c r="CG207" s="50" t="b">
        <f aca="false">IF(Configuration!$C$20="No","",IFERROR(IF(AO207&lt;&gt;"",TRUE(),FALSE()),FALSE()))</f>
        <v>0</v>
      </c>
      <c r="CH207" s="50" t="b">
        <f aca="false">IF(Configuration!$C$21="No","",IFERROR(IF(OR(N(AS207)&gt;=Configuration!$C$46,N(AT207)&gt;=Configuration!$C$47),TRUE(),FALSE()),FALSE()))</f>
        <v>0</v>
      </c>
      <c r="CI207" s="50" t="b">
        <f aca="false">IF(Configuration!$C$22="No","",IFERROR(IF(BB207="Yes",TRUE(),FALSE()),FALSE()))</f>
        <v>0</v>
      </c>
      <c r="CJ207" s="50" t="b">
        <f aca="false">IF(Configuration!$C$23="No","",IFERROR(IF(N(AV207)&gt;=Configuration!$C$48,TRUE(),FALSE()),FALSE()))</f>
        <v>0</v>
      </c>
      <c r="CK207" s="50" t="b">
        <f aca="false">IF(Configuration!$C$24="No","",IFERROR(IF(N(AY207)&gt;0,TRUE(),FALSE()),FALSE()))</f>
        <v>0</v>
      </c>
      <c r="CL207" s="50" t="b">
        <f aca="false">IF(Configuration!$C$25="No","",IFERROR(IF(OR(N(AP207)=3,N(AP207)&lt;=1),TRUE(),FALSE()),FALSE()))</f>
        <v>1</v>
      </c>
      <c r="CM207" s="50" t="b">
        <f aca="false">IF(Configuration!$C$26="No","",IFERROR(IF(N(BF207)&gt;=Configuration!$C$49,TRUE(),FALSE()),FALSE()))</f>
        <v>0</v>
      </c>
      <c r="CN207" s="50" t="b">
        <f aca="false">IF(Configuration!$C$27="No","",IFERROR(IF(BD207&lt;&gt;"",TRUE(),FALSE()),FALSE()))</f>
        <v>0</v>
      </c>
      <c r="CO207" s="50" t="b">
        <f aca="false">IF(Configuration!$C$28="No","",IFERROR(IF(N(AU207)&gt;=Configuration!$C$50,TRUE(),FALSE()),FALSE()))</f>
        <v>0</v>
      </c>
      <c r="CP207" s="50" t="b">
        <f aca="false">IF(Configuration!$C$29="No","",IFERROR(IF(AND(N(AR207)&gt;=Configuration!$C$51,AG207&lt;&gt;""),TRUE(),FALSE()),FALSE()))</f>
        <v>0</v>
      </c>
      <c r="CQ207" s="50" t="b">
        <f aca="false">IF(Configuration!$C$30="No","",IFERROR(IF(OR(AW207="Pending",AX207="Yes"),TRUE(),FALSE()),FALSE()))</f>
        <v>0</v>
      </c>
      <c r="CR207" s="50" t="b">
        <f aca="false">IF(Configuration!$C$31="No","",IFERROR(IF(AND(N(BG207)&gt;=Configuration!$C$52,N(AP207)&gt;=1),TRUE(),FALSE()),FALSE()))</f>
        <v>0</v>
      </c>
      <c r="CS207" s="50" t="b">
        <f aca="false">IF(Configuration!$C$32="No","",IFERROR(IF(AND(N(AR207)&gt;=1,OR(AG207&lt;&gt;"",AM207&lt;&gt;"")),TRUE(),FALSE()),FALSE()))</f>
        <v>0</v>
      </c>
      <c r="CT207" s="50" t="b">
        <f aca="false">IF(Configuration!$C$33="No","",IFERROR(IF(AG207&lt;&gt;"",TRUE(),FALSE()),FALSE()))</f>
        <v>0</v>
      </c>
      <c r="CU207" s="50" t="b">
        <f aca="false">IF(Configuration!$C$34="No","",IFERROR(IF(AX207="Yes",TRUE(),FALSE()),FALSE()))</f>
        <v>0</v>
      </c>
      <c r="CV207" s="50" t="b">
        <f aca="false">IF(Configuration!$C$35="No","",IFERROR(IF(OR(BO207="Partial",BO207="Full"),TRUE(),FALSE()),FALSE()))</f>
        <v>0</v>
      </c>
      <c r="CW207" s="50" t="b">
        <f aca="false">IF(Configuration!$C$36="No","",IFERROR(IF(BM207="Survived",TRUE(),FALSE()),FALSE()))</f>
        <v>0</v>
      </c>
      <c r="CX207" s="50" t="b">
        <f aca="false">IF(Configuration!$C$37="No","",IFERROR(IF(AND(BN207="Clean",BP207="None"),TRUE(),FALSE()),FALSE()))</f>
        <v>0</v>
      </c>
      <c r="CY207" s="50" t="b">
        <f aca="false">IF(Configuration!$C$38="No","",IFERROR(IF(N(BK207)&gt;=Configuration!$C$53,TRUE(),FALSE()),FALSE()))</f>
        <v>0</v>
      </c>
      <c r="CZ207" s="50" t="b">
        <f aca="false">IF(Configuration!$C$39="No","",IFERROR(IF(AND(N(BS207)&gt;=2,N(BF207)&gt;=2),TRUE(),FALSE()),FALSE()))</f>
        <v>0</v>
      </c>
      <c r="DA207" s="50" t="b">
        <f aca="false">IF(Configuration!$C$40="No","",IFERROR(IF(OR(N(BG207)&lt;=Configuration!$C$56,N(AY207)&lt;Configuration!$C$57,N(BH207)&lt;=Configuration!$C$58),TRUE(),FALSE()),FALSE()))</f>
        <v>1</v>
      </c>
      <c r="DB207" s="50" t="b">
        <f aca="false">IF(Configuration!$C$41="No","",IFERROR(IF(AND(N(AY207)&gt;=Configuration!$C$54,N(AY207)&lt;=Configuration!$C$55),TRUE(),FALSE()),FALSE()))</f>
        <v>0</v>
      </c>
      <c r="DC207" s="50" t="b">
        <f aca="false">IF(Configuration!$C$42="No","",IFERROR(IF(AND(AG207&lt;&gt;"",AJ207&lt;&gt;""),TRUE(),FALSE()),FALSE()))</f>
        <v>0</v>
      </c>
      <c r="DD207" s="51" t="n">
        <f aca="false">COUNTIF(BW207:DC207,TRUE())</f>
        <v>2</v>
      </c>
    </row>
    <row r="208" customFormat="false" ht="15" hidden="false" customHeight="true" outlineLevel="0" collapsed="false">
      <c r="A208" s="18" t="n">
        <v>169</v>
      </c>
      <c r="B208" s="44"/>
      <c r="C208" s="44"/>
      <c r="D208" s="44"/>
      <c r="E208" s="44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6" t="str">
        <f aca="false">IFERROR(IF(F208&lt;&gt;"",F208,""),"")</f>
        <v/>
      </c>
      <c r="AF208" s="46" t="str">
        <f aca="false">IFERROR(IF(G208&lt;&gt;"",G208,""),"")</f>
        <v/>
      </c>
      <c r="AG208" s="46" t="str">
        <f aca="false">IFERROR(IF(AA208&lt;&gt;"",AA208,IF(R208&lt;&gt;"",R208,"")),"")</f>
        <v/>
      </c>
      <c r="AH208" s="46" t="str">
        <f aca="false">IFERROR(IF(AB208&lt;&gt;"",AB208,IF(S208&lt;&gt;"",S208,"")),"")</f>
        <v/>
      </c>
      <c r="AI208" s="47"/>
      <c r="AJ208" s="47"/>
      <c r="AK208" s="47"/>
      <c r="AL208" s="47"/>
      <c r="AM208" s="47"/>
      <c r="AN208" s="47"/>
      <c r="AO208" s="47"/>
      <c r="AP208" s="47"/>
      <c r="AQ208" s="46" t="str">
        <f aca="false">IFERROR(IF(Y208&lt;&gt;"",VALUE(Y208),""),"")</f>
        <v/>
      </c>
      <c r="AR208" s="47"/>
      <c r="AS208" s="47"/>
      <c r="AT208" s="47"/>
      <c r="AU208" s="47"/>
      <c r="AV208" s="46" t="str">
        <f aca="false">IFERROR(IF(T208&lt;&gt;"",VALUE(T208),""),"")</f>
        <v/>
      </c>
      <c r="AW208" s="46" t="str">
        <f aca="false">IFERROR(IF(N208="","",IF(OR(ISNUMBER(SEARCH("grant",N208)),ISNUMBER(SEARCH("B",AC208))),"Granted",IF(OR(ISNUMBER(SEARCH("pend",N208)),ISNUMBER(SEARCH("A",AC208))),"Pending",IF(ISNUMBER(SEARCH("expir",N208)),"Expired",N208)))),"")</f>
        <v/>
      </c>
      <c r="AX208" s="47"/>
      <c r="AY208" s="46" t="str">
        <f aca="true">IFERROR(IF(M208&lt;&gt;"",ROUND(VALUE(M208),1),IF(L208&lt;&gt;"",ROUND(MAX(0,(DATEVALUE(TEXT(L208,"YYYY-MM-DD"))-TODAY())/365.25),1),"")),"")</f>
        <v/>
      </c>
      <c r="AZ208" s="46" t="str">
        <f aca="false">IFERROR(IF(O208&lt;&gt;"",O208,""),"")</f>
        <v/>
      </c>
      <c r="BA208" s="46" t="str">
        <f aca="false">IFERROR(IF(U208&lt;&gt;"",SUBSTITUTE(SUBSTITUTE(U208,"; ",", "),";",","),""),"")</f>
        <v/>
      </c>
      <c r="BB208" s="47"/>
      <c r="BC208" s="47"/>
      <c r="BD208" s="47"/>
      <c r="BE208" s="47"/>
      <c r="BF208" s="47"/>
      <c r="BG208" s="47"/>
      <c r="BH208" s="47"/>
      <c r="BI208" s="47"/>
      <c r="BJ208" s="47"/>
      <c r="BK208" s="46" t="str">
        <f aca="false">IFERROR(IF(W208&lt;&gt;"",VALUE(W208),""),"")</f>
        <v/>
      </c>
      <c r="BL208" s="46" t="str">
        <f aca="false">IFERROR(IF(X208&lt;&gt;"",VALUE(X208),""),"")</f>
        <v/>
      </c>
      <c r="BM208" s="46" t="str">
        <f aca="false">IFERROR(IF(AD208="","None",IF(ISNUMBER(SEARCH("surv",AD208)),"Survived",IF(ISNUMBER(SEARCH("pend",AD208)),"Pending",IF(ISNUMBER(SEARCH("yes",AD208)),"Pending","None")))),"None")</f>
        <v>None</v>
      </c>
      <c r="BN208" s="47"/>
      <c r="BO208" s="47"/>
      <c r="BP208" s="47"/>
      <c r="BQ208" s="47"/>
      <c r="BR208" s="47"/>
      <c r="BS208" s="47"/>
      <c r="BT208" s="47"/>
      <c r="BU208" s="48" t="n">
        <f aca="false">IFERROR(COUNTA(AE208:BT208)/42,0)</f>
        <v>0.30952380952381</v>
      </c>
      <c r="BV208" s="49"/>
      <c r="BW208" s="50" t="b">
        <f aca="false">IF(Configuration!$C$10="No","",IFERROR(IF(AG208&lt;&gt;"",TRUE(),FALSE()),FALSE()))</f>
        <v>0</v>
      </c>
      <c r="BX208" s="50" t="b">
        <f aca="false">IF(Configuration!$C$11="No","",IFERROR(IF(AND(N(AL208)&gt;=Configuration!$C$44,AM208&lt;&gt;""),TRUE(),FALSE()),FALSE()))</f>
        <v>0</v>
      </c>
      <c r="BY208" s="50" t="b">
        <f aca="false">IF(Configuration!$C$12="No","",IFERROR(IF(AJ208&lt;&gt;"",TRUE(),FALSE()),FALSE()))</f>
        <v>0</v>
      </c>
      <c r="BZ208" s="50" t="b">
        <f aca="false">IF(Configuration!$C$13="No","",IFERROR(IF(AI208&lt;&gt;"",TRUE(),FALSE()),FALSE()))</f>
        <v>0</v>
      </c>
      <c r="CA208" s="50" t="b">
        <f aca="false">IF(Configuration!$C$14="No","",IFERROR(IF(AK208&lt;&gt;"",TRUE(),FALSE()),FALSE()))</f>
        <v>0</v>
      </c>
      <c r="CB208" s="50" t="b">
        <f aca="false">IF(Configuration!$C$15="No","",IFERROR(IF(AND(OR(ISNUMBER(SEARCH("process",AG208)),ISNUMBER(SEARCH("fab",AG208)),ISNUMBER(SEARCH("manufac",AG208))),AO208="Method"),TRUE(),FALSE()),FALSE()))</f>
        <v>0</v>
      </c>
      <c r="CC208" s="50" t="b">
        <f aca="false">IF(Configuration!$C$16="No","",IFERROR(IF(AND(OR(ISNUMBER(SEARCH("material",AG208)),ISNUMBER(SEARCH("chem",AG208)),ISNUMBER(SEARCH("battery",AG208)),ISNUMBER(SEARCH("electrolyte",AG208)),ISNUMBER(SEARCH("polymer",AG208))),OR(AO208="Apparatus",AO208="Method")),TRUE(),FALSE()),FALSE()))</f>
        <v>0</v>
      </c>
      <c r="CD208" s="50" t="b">
        <f aca="false">IF(Configuration!$C$17="No","",IFERROR(IF(AND(OR(AI208="App",AI208="Middleware",AI208="Cloud"),OR(AO208="Method",AO208="CRM")),TRUE(),FALSE()),FALSE()))</f>
        <v>0</v>
      </c>
      <c r="CE208" s="50" t="b">
        <f aca="false">IF(Configuration!$C$18="No","",IFERROR(IF(N(AN208)&gt;=Configuration!$C$45,TRUE(),FALSE()),FALSE()))</f>
        <v>0</v>
      </c>
      <c r="CF208" s="50" t="b">
        <f aca="false">IF(Configuration!$C$19="No","",IFERROR(IF(BE208&lt;&gt;"",TRUE(),FALSE()),FALSE()))</f>
        <v>0</v>
      </c>
      <c r="CG208" s="50" t="b">
        <f aca="false">IF(Configuration!$C$20="No","",IFERROR(IF(AO208&lt;&gt;"",TRUE(),FALSE()),FALSE()))</f>
        <v>0</v>
      </c>
      <c r="CH208" s="50" t="b">
        <f aca="false">IF(Configuration!$C$21="No","",IFERROR(IF(OR(N(AS208)&gt;=Configuration!$C$46,N(AT208)&gt;=Configuration!$C$47),TRUE(),FALSE()),FALSE()))</f>
        <v>0</v>
      </c>
      <c r="CI208" s="50" t="b">
        <f aca="false">IF(Configuration!$C$22="No","",IFERROR(IF(BB208="Yes",TRUE(),FALSE()),FALSE()))</f>
        <v>0</v>
      </c>
      <c r="CJ208" s="50" t="b">
        <f aca="false">IF(Configuration!$C$23="No","",IFERROR(IF(N(AV208)&gt;=Configuration!$C$48,TRUE(),FALSE()),FALSE()))</f>
        <v>0</v>
      </c>
      <c r="CK208" s="50" t="b">
        <f aca="false">IF(Configuration!$C$24="No","",IFERROR(IF(N(AY208)&gt;0,TRUE(),FALSE()),FALSE()))</f>
        <v>0</v>
      </c>
      <c r="CL208" s="50" t="b">
        <f aca="false">IF(Configuration!$C$25="No","",IFERROR(IF(OR(N(AP208)=3,N(AP208)&lt;=1),TRUE(),FALSE()),FALSE()))</f>
        <v>1</v>
      </c>
      <c r="CM208" s="50" t="b">
        <f aca="false">IF(Configuration!$C$26="No","",IFERROR(IF(N(BF208)&gt;=Configuration!$C$49,TRUE(),FALSE()),FALSE()))</f>
        <v>0</v>
      </c>
      <c r="CN208" s="50" t="b">
        <f aca="false">IF(Configuration!$C$27="No","",IFERROR(IF(BD208&lt;&gt;"",TRUE(),FALSE()),FALSE()))</f>
        <v>0</v>
      </c>
      <c r="CO208" s="50" t="b">
        <f aca="false">IF(Configuration!$C$28="No","",IFERROR(IF(N(AU208)&gt;=Configuration!$C$50,TRUE(),FALSE()),FALSE()))</f>
        <v>0</v>
      </c>
      <c r="CP208" s="50" t="b">
        <f aca="false">IF(Configuration!$C$29="No","",IFERROR(IF(AND(N(AR208)&gt;=Configuration!$C$51,AG208&lt;&gt;""),TRUE(),FALSE()),FALSE()))</f>
        <v>0</v>
      </c>
      <c r="CQ208" s="50" t="b">
        <f aca="false">IF(Configuration!$C$30="No","",IFERROR(IF(OR(AW208="Pending",AX208="Yes"),TRUE(),FALSE()),FALSE()))</f>
        <v>0</v>
      </c>
      <c r="CR208" s="50" t="b">
        <f aca="false">IF(Configuration!$C$31="No","",IFERROR(IF(AND(N(BG208)&gt;=Configuration!$C$52,N(AP208)&gt;=1),TRUE(),FALSE()),FALSE()))</f>
        <v>0</v>
      </c>
      <c r="CS208" s="50" t="b">
        <f aca="false">IF(Configuration!$C$32="No","",IFERROR(IF(AND(N(AR208)&gt;=1,OR(AG208&lt;&gt;"",AM208&lt;&gt;"")),TRUE(),FALSE()),FALSE()))</f>
        <v>0</v>
      </c>
      <c r="CT208" s="50" t="b">
        <f aca="false">IF(Configuration!$C$33="No","",IFERROR(IF(AG208&lt;&gt;"",TRUE(),FALSE()),FALSE()))</f>
        <v>0</v>
      </c>
      <c r="CU208" s="50" t="b">
        <f aca="false">IF(Configuration!$C$34="No","",IFERROR(IF(AX208="Yes",TRUE(),FALSE()),FALSE()))</f>
        <v>0</v>
      </c>
      <c r="CV208" s="50" t="b">
        <f aca="false">IF(Configuration!$C$35="No","",IFERROR(IF(OR(BO208="Partial",BO208="Full"),TRUE(),FALSE()),FALSE()))</f>
        <v>0</v>
      </c>
      <c r="CW208" s="50" t="b">
        <f aca="false">IF(Configuration!$C$36="No","",IFERROR(IF(BM208="Survived",TRUE(),FALSE()),FALSE()))</f>
        <v>0</v>
      </c>
      <c r="CX208" s="50" t="b">
        <f aca="false">IF(Configuration!$C$37="No","",IFERROR(IF(AND(BN208="Clean",BP208="None"),TRUE(),FALSE()),FALSE()))</f>
        <v>0</v>
      </c>
      <c r="CY208" s="50" t="b">
        <f aca="false">IF(Configuration!$C$38="No","",IFERROR(IF(N(BK208)&gt;=Configuration!$C$53,TRUE(),FALSE()),FALSE()))</f>
        <v>0</v>
      </c>
      <c r="CZ208" s="50" t="b">
        <f aca="false">IF(Configuration!$C$39="No","",IFERROR(IF(AND(N(BS208)&gt;=2,N(BF208)&gt;=2),TRUE(),FALSE()),FALSE()))</f>
        <v>0</v>
      </c>
      <c r="DA208" s="50" t="b">
        <f aca="false">IF(Configuration!$C$40="No","",IFERROR(IF(OR(N(BG208)&lt;=Configuration!$C$56,N(AY208)&lt;Configuration!$C$57,N(BH208)&lt;=Configuration!$C$58),TRUE(),FALSE()),FALSE()))</f>
        <v>1</v>
      </c>
      <c r="DB208" s="50" t="b">
        <f aca="false">IF(Configuration!$C$41="No","",IFERROR(IF(AND(N(AY208)&gt;=Configuration!$C$54,N(AY208)&lt;=Configuration!$C$55),TRUE(),FALSE()),FALSE()))</f>
        <v>0</v>
      </c>
      <c r="DC208" s="50" t="b">
        <f aca="false">IF(Configuration!$C$42="No","",IFERROR(IF(AND(AG208&lt;&gt;"",AJ208&lt;&gt;""),TRUE(),FALSE()),FALSE()))</f>
        <v>0</v>
      </c>
      <c r="DD208" s="51" t="n">
        <f aca="false">COUNTIF(BW208:DC208,TRUE())</f>
        <v>2</v>
      </c>
    </row>
    <row r="209" customFormat="false" ht="15" hidden="false" customHeight="true" outlineLevel="0" collapsed="false">
      <c r="A209" s="18" t="n">
        <v>170</v>
      </c>
      <c r="B209" s="44"/>
      <c r="C209" s="44"/>
      <c r="D209" s="44"/>
      <c r="E209" s="44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6" t="str">
        <f aca="false">IFERROR(IF(F209&lt;&gt;"",F209,""),"")</f>
        <v/>
      </c>
      <c r="AF209" s="46" t="str">
        <f aca="false">IFERROR(IF(G209&lt;&gt;"",G209,""),"")</f>
        <v/>
      </c>
      <c r="AG209" s="46" t="str">
        <f aca="false">IFERROR(IF(AA209&lt;&gt;"",AA209,IF(R209&lt;&gt;"",R209,"")),"")</f>
        <v/>
      </c>
      <c r="AH209" s="46" t="str">
        <f aca="false">IFERROR(IF(AB209&lt;&gt;"",AB209,IF(S209&lt;&gt;"",S209,"")),"")</f>
        <v/>
      </c>
      <c r="AI209" s="47"/>
      <c r="AJ209" s="47"/>
      <c r="AK209" s="47"/>
      <c r="AL209" s="47"/>
      <c r="AM209" s="47"/>
      <c r="AN209" s="47"/>
      <c r="AO209" s="47"/>
      <c r="AP209" s="47"/>
      <c r="AQ209" s="46" t="str">
        <f aca="false">IFERROR(IF(Y209&lt;&gt;"",VALUE(Y209),""),"")</f>
        <v/>
      </c>
      <c r="AR209" s="47"/>
      <c r="AS209" s="47"/>
      <c r="AT209" s="47"/>
      <c r="AU209" s="47"/>
      <c r="AV209" s="46" t="str">
        <f aca="false">IFERROR(IF(T209&lt;&gt;"",VALUE(T209),""),"")</f>
        <v/>
      </c>
      <c r="AW209" s="46" t="str">
        <f aca="false">IFERROR(IF(N209="","",IF(OR(ISNUMBER(SEARCH("grant",N209)),ISNUMBER(SEARCH("B",AC209))),"Granted",IF(OR(ISNUMBER(SEARCH("pend",N209)),ISNUMBER(SEARCH("A",AC209))),"Pending",IF(ISNUMBER(SEARCH("expir",N209)),"Expired",N209)))),"")</f>
        <v/>
      </c>
      <c r="AX209" s="47"/>
      <c r="AY209" s="46" t="str">
        <f aca="true">IFERROR(IF(M209&lt;&gt;"",ROUND(VALUE(M209),1),IF(L209&lt;&gt;"",ROUND(MAX(0,(DATEVALUE(TEXT(L209,"YYYY-MM-DD"))-TODAY())/365.25),1),"")),"")</f>
        <v/>
      </c>
      <c r="AZ209" s="46" t="str">
        <f aca="false">IFERROR(IF(O209&lt;&gt;"",O209,""),"")</f>
        <v/>
      </c>
      <c r="BA209" s="46" t="str">
        <f aca="false">IFERROR(IF(U209&lt;&gt;"",SUBSTITUTE(SUBSTITUTE(U209,"; ",", "),";",","),""),"")</f>
        <v/>
      </c>
      <c r="BB209" s="47"/>
      <c r="BC209" s="47"/>
      <c r="BD209" s="47"/>
      <c r="BE209" s="47"/>
      <c r="BF209" s="47"/>
      <c r="BG209" s="47"/>
      <c r="BH209" s="47"/>
      <c r="BI209" s="47"/>
      <c r="BJ209" s="47"/>
      <c r="BK209" s="46" t="str">
        <f aca="false">IFERROR(IF(W209&lt;&gt;"",VALUE(W209),""),"")</f>
        <v/>
      </c>
      <c r="BL209" s="46" t="str">
        <f aca="false">IFERROR(IF(X209&lt;&gt;"",VALUE(X209),""),"")</f>
        <v/>
      </c>
      <c r="BM209" s="46" t="str">
        <f aca="false">IFERROR(IF(AD209="","None",IF(ISNUMBER(SEARCH("surv",AD209)),"Survived",IF(ISNUMBER(SEARCH("pend",AD209)),"Pending",IF(ISNUMBER(SEARCH("yes",AD209)),"Pending","None")))),"None")</f>
        <v>None</v>
      </c>
      <c r="BN209" s="47"/>
      <c r="BO209" s="47"/>
      <c r="BP209" s="47"/>
      <c r="BQ209" s="47"/>
      <c r="BR209" s="47"/>
      <c r="BS209" s="47"/>
      <c r="BT209" s="47"/>
      <c r="BU209" s="48" t="n">
        <f aca="false">IFERROR(COUNTA(AE209:BT209)/42,0)</f>
        <v>0.30952380952381</v>
      </c>
      <c r="BV209" s="49"/>
      <c r="BW209" s="50" t="b">
        <f aca="false">IF(Configuration!$C$10="No","",IFERROR(IF(AG209&lt;&gt;"",TRUE(),FALSE()),FALSE()))</f>
        <v>0</v>
      </c>
      <c r="BX209" s="50" t="b">
        <f aca="false">IF(Configuration!$C$11="No","",IFERROR(IF(AND(N(AL209)&gt;=Configuration!$C$44,AM209&lt;&gt;""),TRUE(),FALSE()),FALSE()))</f>
        <v>0</v>
      </c>
      <c r="BY209" s="50" t="b">
        <f aca="false">IF(Configuration!$C$12="No","",IFERROR(IF(AJ209&lt;&gt;"",TRUE(),FALSE()),FALSE()))</f>
        <v>0</v>
      </c>
      <c r="BZ209" s="50" t="b">
        <f aca="false">IF(Configuration!$C$13="No","",IFERROR(IF(AI209&lt;&gt;"",TRUE(),FALSE()),FALSE()))</f>
        <v>0</v>
      </c>
      <c r="CA209" s="50" t="b">
        <f aca="false">IF(Configuration!$C$14="No","",IFERROR(IF(AK209&lt;&gt;"",TRUE(),FALSE()),FALSE()))</f>
        <v>0</v>
      </c>
      <c r="CB209" s="50" t="b">
        <f aca="false">IF(Configuration!$C$15="No","",IFERROR(IF(AND(OR(ISNUMBER(SEARCH("process",AG209)),ISNUMBER(SEARCH("fab",AG209)),ISNUMBER(SEARCH("manufac",AG209))),AO209="Method"),TRUE(),FALSE()),FALSE()))</f>
        <v>0</v>
      </c>
      <c r="CC209" s="50" t="b">
        <f aca="false">IF(Configuration!$C$16="No","",IFERROR(IF(AND(OR(ISNUMBER(SEARCH("material",AG209)),ISNUMBER(SEARCH("chem",AG209)),ISNUMBER(SEARCH("battery",AG209)),ISNUMBER(SEARCH("electrolyte",AG209)),ISNUMBER(SEARCH("polymer",AG209))),OR(AO209="Apparatus",AO209="Method")),TRUE(),FALSE()),FALSE()))</f>
        <v>0</v>
      </c>
      <c r="CD209" s="50" t="b">
        <f aca="false">IF(Configuration!$C$17="No","",IFERROR(IF(AND(OR(AI209="App",AI209="Middleware",AI209="Cloud"),OR(AO209="Method",AO209="CRM")),TRUE(),FALSE()),FALSE()))</f>
        <v>0</v>
      </c>
      <c r="CE209" s="50" t="b">
        <f aca="false">IF(Configuration!$C$18="No","",IFERROR(IF(N(AN209)&gt;=Configuration!$C$45,TRUE(),FALSE()),FALSE()))</f>
        <v>0</v>
      </c>
      <c r="CF209" s="50" t="b">
        <f aca="false">IF(Configuration!$C$19="No","",IFERROR(IF(BE209&lt;&gt;"",TRUE(),FALSE()),FALSE()))</f>
        <v>0</v>
      </c>
      <c r="CG209" s="50" t="b">
        <f aca="false">IF(Configuration!$C$20="No","",IFERROR(IF(AO209&lt;&gt;"",TRUE(),FALSE()),FALSE()))</f>
        <v>0</v>
      </c>
      <c r="CH209" s="50" t="b">
        <f aca="false">IF(Configuration!$C$21="No","",IFERROR(IF(OR(N(AS209)&gt;=Configuration!$C$46,N(AT209)&gt;=Configuration!$C$47),TRUE(),FALSE()),FALSE()))</f>
        <v>0</v>
      </c>
      <c r="CI209" s="50" t="b">
        <f aca="false">IF(Configuration!$C$22="No","",IFERROR(IF(BB209="Yes",TRUE(),FALSE()),FALSE()))</f>
        <v>0</v>
      </c>
      <c r="CJ209" s="50" t="b">
        <f aca="false">IF(Configuration!$C$23="No","",IFERROR(IF(N(AV209)&gt;=Configuration!$C$48,TRUE(),FALSE()),FALSE()))</f>
        <v>0</v>
      </c>
      <c r="CK209" s="50" t="b">
        <f aca="false">IF(Configuration!$C$24="No","",IFERROR(IF(N(AY209)&gt;0,TRUE(),FALSE()),FALSE()))</f>
        <v>0</v>
      </c>
      <c r="CL209" s="50" t="b">
        <f aca="false">IF(Configuration!$C$25="No","",IFERROR(IF(OR(N(AP209)=3,N(AP209)&lt;=1),TRUE(),FALSE()),FALSE()))</f>
        <v>1</v>
      </c>
      <c r="CM209" s="50" t="b">
        <f aca="false">IF(Configuration!$C$26="No","",IFERROR(IF(N(BF209)&gt;=Configuration!$C$49,TRUE(),FALSE()),FALSE()))</f>
        <v>0</v>
      </c>
      <c r="CN209" s="50" t="b">
        <f aca="false">IF(Configuration!$C$27="No","",IFERROR(IF(BD209&lt;&gt;"",TRUE(),FALSE()),FALSE()))</f>
        <v>0</v>
      </c>
      <c r="CO209" s="50" t="b">
        <f aca="false">IF(Configuration!$C$28="No","",IFERROR(IF(N(AU209)&gt;=Configuration!$C$50,TRUE(),FALSE()),FALSE()))</f>
        <v>0</v>
      </c>
      <c r="CP209" s="50" t="b">
        <f aca="false">IF(Configuration!$C$29="No","",IFERROR(IF(AND(N(AR209)&gt;=Configuration!$C$51,AG209&lt;&gt;""),TRUE(),FALSE()),FALSE()))</f>
        <v>0</v>
      </c>
      <c r="CQ209" s="50" t="b">
        <f aca="false">IF(Configuration!$C$30="No","",IFERROR(IF(OR(AW209="Pending",AX209="Yes"),TRUE(),FALSE()),FALSE()))</f>
        <v>0</v>
      </c>
      <c r="CR209" s="50" t="b">
        <f aca="false">IF(Configuration!$C$31="No","",IFERROR(IF(AND(N(BG209)&gt;=Configuration!$C$52,N(AP209)&gt;=1),TRUE(),FALSE()),FALSE()))</f>
        <v>0</v>
      </c>
      <c r="CS209" s="50" t="b">
        <f aca="false">IF(Configuration!$C$32="No","",IFERROR(IF(AND(N(AR209)&gt;=1,OR(AG209&lt;&gt;"",AM209&lt;&gt;"")),TRUE(),FALSE()),FALSE()))</f>
        <v>0</v>
      </c>
      <c r="CT209" s="50" t="b">
        <f aca="false">IF(Configuration!$C$33="No","",IFERROR(IF(AG209&lt;&gt;"",TRUE(),FALSE()),FALSE()))</f>
        <v>0</v>
      </c>
      <c r="CU209" s="50" t="b">
        <f aca="false">IF(Configuration!$C$34="No","",IFERROR(IF(AX209="Yes",TRUE(),FALSE()),FALSE()))</f>
        <v>0</v>
      </c>
      <c r="CV209" s="50" t="b">
        <f aca="false">IF(Configuration!$C$35="No","",IFERROR(IF(OR(BO209="Partial",BO209="Full"),TRUE(),FALSE()),FALSE()))</f>
        <v>0</v>
      </c>
      <c r="CW209" s="50" t="b">
        <f aca="false">IF(Configuration!$C$36="No","",IFERROR(IF(BM209="Survived",TRUE(),FALSE()),FALSE()))</f>
        <v>0</v>
      </c>
      <c r="CX209" s="50" t="b">
        <f aca="false">IF(Configuration!$C$37="No","",IFERROR(IF(AND(BN209="Clean",BP209="None"),TRUE(),FALSE()),FALSE()))</f>
        <v>0</v>
      </c>
      <c r="CY209" s="50" t="b">
        <f aca="false">IF(Configuration!$C$38="No","",IFERROR(IF(N(BK209)&gt;=Configuration!$C$53,TRUE(),FALSE()),FALSE()))</f>
        <v>0</v>
      </c>
      <c r="CZ209" s="50" t="b">
        <f aca="false">IF(Configuration!$C$39="No","",IFERROR(IF(AND(N(BS209)&gt;=2,N(BF209)&gt;=2),TRUE(),FALSE()),FALSE()))</f>
        <v>0</v>
      </c>
      <c r="DA209" s="50" t="b">
        <f aca="false">IF(Configuration!$C$40="No","",IFERROR(IF(OR(N(BG209)&lt;=Configuration!$C$56,N(AY209)&lt;Configuration!$C$57,N(BH209)&lt;=Configuration!$C$58),TRUE(),FALSE()),FALSE()))</f>
        <v>1</v>
      </c>
      <c r="DB209" s="50" t="b">
        <f aca="false">IF(Configuration!$C$41="No","",IFERROR(IF(AND(N(AY209)&gt;=Configuration!$C$54,N(AY209)&lt;=Configuration!$C$55),TRUE(),FALSE()),FALSE()))</f>
        <v>0</v>
      </c>
      <c r="DC209" s="50" t="b">
        <f aca="false">IF(Configuration!$C$42="No","",IFERROR(IF(AND(AG209&lt;&gt;"",AJ209&lt;&gt;""),TRUE(),FALSE()),FALSE()))</f>
        <v>0</v>
      </c>
      <c r="DD209" s="51" t="n">
        <f aca="false">COUNTIF(BW209:DC209,TRUE())</f>
        <v>2</v>
      </c>
    </row>
    <row r="210" customFormat="false" ht="15" hidden="false" customHeight="true" outlineLevel="0" collapsed="false">
      <c r="A210" s="18" t="n">
        <v>171</v>
      </c>
      <c r="B210" s="44"/>
      <c r="C210" s="44"/>
      <c r="D210" s="44"/>
      <c r="E210" s="44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6" t="str">
        <f aca="false">IFERROR(IF(F210&lt;&gt;"",F210,""),"")</f>
        <v/>
      </c>
      <c r="AF210" s="46" t="str">
        <f aca="false">IFERROR(IF(G210&lt;&gt;"",G210,""),"")</f>
        <v/>
      </c>
      <c r="AG210" s="46" t="str">
        <f aca="false">IFERROR(IF(AA210&lt;&gt;"",AA210,IF(R210&lt;&gt;"",R210,"")),"")</f>
        <v/>
      </c>
      <c r="AH210" s="46" t="str">
        <f aca="false">IFERROR(IF(AB210&lt;&gt;"",AB210,IF(S210&lt;&gt;"",S210,"")),"")</f>
        <v/>
      </c>
      <c r="AI210" s="47"/>
      <c r="AJ210" s="47"/>
      <c r="AK210" s="47"/>
      <c r="AL210" s="47"/>
      <c r="AM210" s="47"/>
      <c r="AN210" s="47"/>
      <c r="AO210" s="47"/>
      <c r="AP210" s="47"/>
      <c r="AQ210" s="46" t="str">
        <f aca="false">IFERROR(IF(Y210&lt;&gt;"",VALUE(Y210),""),"")</f>
        <v/>
      </c>
      <c r="AR210" s="47"/>
      <c r="AS210" s="47"/>
      <c r="AT210" s="47"/>
      <c r="AU210" s="47"/>
      <c r="AV210" s="46" t="str">
        <f aca="false">IFERROR(IF(T210&lt;&gt;"",VALUE(T210),""),"")</f>
        <v/>
      </c>
      <c r="AW210" s="46" t="str">
        <f aca="false">IFERROR(IF(N210="","",IF(OR(ISNUMBER(SEARCH("grant",N210)),ISNUMBER(SEARCH("B",AC210))),"Granted",IF(OR(ISNUMBER(SEARCH("pend",N210)),ISNUMBER(SEARCH("A",AC210))),"Pending",IF(ISNUMBER(SEARCH("expir",N210)),"Expired",N210)))),"")</f>
        <v/>
      </c>
      <c r="AX210" s="47"/>
      <c r="AY210" s="46" t="str">
        <f aca="true">IFERROR(IF(M210&lt;&gt;"",ROUND(VALUE(M210),1),IF(L210&lt;&gt;"",ROUND(MAX(0,(DATEVALUE(TEXT(L210,"YYYY-MM-DD"))-TODAY())/365.25),1),"")),"")</f>
        <v/>
      </c>
      <c r="AZ210" s="46" t="str">
        <f aca="false">IFERROR(IF(O210&lt;&gt;"",O210,""),"")</f>
        <v/>
      </c>
      <c r="BA210" s="46" t="str">
        <f aca="false">IFERROR(IF(U210&lt;&gt;"",SUBSTITUTE(SUBSTITUTE(U210,"; ",", "),";",","),""),"")</f>
        <v/>
      </c>
      <c r="BB210" s="47"/>
      <c r="BC210" s="47"/>
      <c r="BD210" s="47"/>
      <c r="BE210" s="47"/>
      <c r="BF210" s="47"/>
      <c r="BG210" s="47"/>
      <c r="BH210" s="47"/>
      <c r="BI210" s="47"/>
      <c r="BJ210" s="47"/>
      <c r="BK210" s="46" t="str">
        <f aca="false">IFERROR(IF(W210&lt;&gt;"",VALUE(W210),""),"")</f>
        <v/>
      </c>
      <c r="BL210" s="46" t="str">
        <f aca="false">IFERROR(IF(X210&lt;&gt;"",VALUE(X210),""),"")</f>
        <v/>
      </c>
      <c r="BM210" s="46" t="str">
        <f aca="false">IFERROR(IF(AD210="","None",IF(ISNUMBER(SEARCH("surv",AD210)),"Survived",IF(ISNUMBER(SEARCH("pend",AD210)),"Pending",IF(ISNUMBER(SEARCH("yes",AD210)),"Pending","None")))),"None")</f>
        <v>None</v>
      </c>
      <c r="BN210" s="47"/>
      <c r="BO210" s="47"/>
      <c r="BP210" s="47"/>
      <c r="BQ210" s="47"/>
      <c r="BR210" s="47"/>
      <c r="BS210" s="47"/>
      <c r="BT210" s="47"/>
      <c r="BU210" s="48" t="n">
        <f aca="false">IFERROR(COUNTA(AE210:BT210)/42,0)</f>
        <v>0.30952380952381</v>
      </c>
      <c r="BV210" s="49"/>
      <c r="BW210" s="50" t="b">
        <f aca="false">IF(Configuration!$C$10="No","",IFERROR(IF(AG210&lt;&gt;"",TRUE(),FALSE()),FALSE()))</f>
        <v>0</v>
      </c>
      <c r="BX210" s="50" t="b">
        <f aca="false">IF(Configuration!$C$11="No","",IFERROR(IF(AND(N(AL210)&gt;=Configuration!$C$44,AM210&lt;&gt;""),TRUE(),FALSE()),FALSE()))</f>
        <v>0</v>
      </c>
      <c r="BY210" s="50" t="b">
        <f aca="false">IF(Configuration!$C$12="No","",IFERROR(IF(AJ210&lt;&gt;"",TRUE(),FALSE()),FALSE()))</f>
        <v>0</v>
      </c>
      <c r="BZ210" s="50" t="b">
        <f aca="false">IF(Configuration!$C$13="No","",IFERROR(IF(AI210&lt;&gt;"",TRUE(),FALSE()),FALSE()))</f>
        <v>0</v>
      </c>
      <c r="CA210" s="50" t="b">
        <f aca="false">IF(Configuration!$C$14="No","",IFERROR(IF(AK210&lt;&gt;"",TRUE(),FALSE()),FALSE()))</f>
        <v>0</v>
      </c>
      <c r="CB210" s="50" t="b">
        <f aca="false">IF(Configuration!$C$15="No","",IFERROR(IF(AND(OR(ISNUMBER(SEARCH("process",AG210)),ISNUMBER(SEARCH("fab",AG210)),ISNUMBER(SEARCH("manufac",AG210))),AO210="Method"),TRUE(),FALSE()),FALSE()))</f>
        <v>0</v>
      </c>
      <c r="CC210" s="50" t="b">
        <f aca="false">IF(Configuration!$C$16="No","",IFERROR(IF(AND(OR(ISNUMBER(SEARCH("material",AG210)),ISNUMBER(SEARCH("chem",AG210)),ISNUMBER(SEARCH("battery",AG210)),ISNUMBER(SEARCH("electrolyte",AG210)),ISNUMBER(SEARCH("polymer",AG210))),OR(AO210="Apparatus",AO210="Method")),TRUE(),FALSE()),FALSE()))</f>
        <v>0</v>
      </c>
      <c r="CD210" s="50" t="b">
        <f aca="false">IF(Configuration!$C$17="No","",IFERROR(IF(AND(OR(AI210="App",AI210="Middleware",AI210="Cloud"),OR(AO210="Method",AO210="CRM")),TRUE(),FALSE()),FALSE()))</f>
        <v>0</v>
      </c>
      <c r="CE210" s="50" t="b">
        <f aca="false">IF(Configuration!$C$18="No","",IFERROR(IF(N(AN210)&gt;=Configuration!$C$45,TRUE(),FALSE()),FALSE()))</f>
        <v>0</v>
      </c>
      <c r="CF210" s="50" t="b">
        <f aca="false">IF(Configuration!$C$19="No","",IFERROR(IF(BE210&lt;&gt;"",TRUE(),FALSE()),FALSE()))</f>
        <v>0</v>
      </c>
      <c r="CG210" s="50" t="b">
        <f aca="false">IF(Configuration!$C$20="No","",IFERROR(IF(AO210&lt;&gt;"",TRUE(),FALSE()),FALSE()))</f>
        <v>0</v>
      </c>
      <c r="CH210" s="50" t="b">
        <f aca="false">IF(Configuration!$C$21="No","",IFERROR(IF(OR(N(AS210)&gt;=Configuration!$C$46,N(AT210)&gt;=Configuration!$C$47),TRUE(),FALSE()),FALSE()))</f>
        <v>0</v>
      </c>
      <c r="CI210" s="50" t="b">
        <f aca="false">IF(Configuration!$C$22="No","",IFERROR(IF(BB210="Yes",TRUE(),FALSE()),FALSE()))</f>
        <v>0</v>
      </c>
      <c r="CJ210" s="50" t="b">
        <f aca="false">IF(Configuration!$C$23="No","",IFERROR(IF(N(AV210)&gt;=Configuration!$C$48,TRUE(),FALSE()),FALSE()))</f>
        <v>0</v>
      </c>
      <c r="CK210" s="50" t="b">
        <f aca="false">IF(Configuration!$C$24="No","",IFERROR(IF(N(AY210)&gt;0,TRUE(),FALSE()),FALSE()))</f>
        <v>0</v>
      </c>
      <c r="CL210" s="50" t="b">
        <f aca="false">IF(Configuration!$C$25="No","",IFERROR(IF(OR(N(AP210)=3,N(AP210)&lt;=1),TRUE(),FALSE()),FALSE()))</f>
        <v>1</v>
      </c>
      <c r="CM210" s="50" t="b">
        <f aca="false">IF(Configuration!$C$26="No","",IFERROR(IF(N(BF210)&gt;=Configuration!$C$49,TRUE(),FALSE()),FALSE()))</f>
        <v>0</v>
      </c>
      <c r="CN210" s="50" t="b">
        <f aca="false">IF(Configuration!$C$27="No","",IFERROR(IF(BD210&lt;&gt;"",TRUE(),FALSE()),FALSE()))</f>
        <v>0</v>
      </c>
      <c r="CO210" s="50" t="b">
        <f aca="false">IF(Configuration!$C$28="No","",IFERROR(IF(N(AU210)&gt;=Configuration!$C$50,TRUE(),FALSE()),FALSE()))</f>
        <v>0</v>
      </c>
      <c r="CP210" s="50" t="b">
        <f aca="false">IF(Configuration!$C$29="No","",IFERROR(IF(AND(N(AR210)&gt;=Configuration!$C$51,AG210&lt;&gt;""),TRUE(),FALSE()),FALSE()))</f>
        <v>0</v>
      </c>
      <c r="CQ210" s="50" t="b">
        <f aca="false">IF(Configuration!$C$30="No","",IFERROR(IF(OR(AW210="Pending",AX210="Yes"),TRUE(),FALSE()),FALSE()))</f>
        <v>0</v>
      </c>
      <c r="CR210" s="50" t="b">
        <f aca="false">IF(Configuration!$C$31="No","",IFERROR(IF(AND(N(BG210)&gt;=Configuration!$C$52,N(AP210)&gt;=1),TRUE(),FALSE()),FALSE()))</f>
        <v>0</v>
      </c>
      <c r="CS210" s="50" t="b">
        <f aca="false">IF(Configuration!$C$32="No","",IFERROR(IF(AND(N(AR210)&gt;=1,OR(AG210&lt;&gt;"",AM210&lt;&gt;"")),TRUE(),FALSE()),FALSE()))</f>
        <v>0</v>
      </c>
      <c r="CT210" s="50" t="b">
        <f aca="false">IF(Configuration!$C$33="No","",IFERROR(IF(AG210&lt;&gt;"",TRUE(),FALSE()),FALSE()))</f>
        <v>0</v>
      </c>
      <c r="CU210" s="50" t="b">
        <f aca="false">IF(Configuration!$C$34="No","",IFERROR(IF(AX210="Yes",TRUE(),FALSE()),FALSE()))</f>
        <v>0</v>
      </c>
      <c r="CV210" s="50" t="b">
        <f aca="false">IF(Configuration!$C$35="No","",IFERROR(IF(OR(BO210="Partial",BO210="Full"),TRUE(),FALSE()),FALSE()))</f>
        <v>0</v>
      </c>
      <c r="CW210" s="50" t="b">
        <f aca="false">IF(Configuration!$C$36="No","",IFERROR(IF(BM210="Survived",TRUE(),FALSE()),FALSE()))</f>
        <v>0</v>
      </c>
      <c r="CX210" s="50" t="b">
        <f aca="false">IF(Configuration!$C$37="No","",IFERROR(IF(AND(BN210="Clean",BP210="None"),TRUE(),FALSE()),FALSE()))</f>
        <v>0</v>
      </c>
      <c r="CY210" s="50" t="b">
        <f aca="false">IF(Configuration!$C$38="No","",IFERROR(IF(N(BK210)&gt;=Configuration!$C$53,TRUE(),FALSE()),FALSE()))</f>
        <v>0</v>
      </c>
      <c r="CZ210" s="50" t="b">
        <f aca="false">IF(Configuration!$C$39="No","",IFERROR(IF(AND(N(BS210)&gt;=2,N(BF210)&gt;=2),TRUE(),FALSE()),FALSE()))</f>
        <v>0</v>
      </c>
      <c r="DA210" s="50" t="b">
        <f aca="false">IF(Configuration!$C$40="No","",IFERROR(IF(OR(N(BG210)&lt;=Configuration!$C$56,N(AY210)&lt;Configuration!$C$57,N(BH210)&lt;=Configuration!$C$58),TRUE(),FALSE()),FALSE()))</f>
        <v>1</v>
      </c>
      <c r="DB210" s="50" t="b">
        <f aca="false">IF(Configuration!$C$41="No","",IFERROR(IF(AND(N(AY210)&gt;=Configuration!$C$54,N(AY210)&lt;=Configuration!$C$55),TRUE(),FALSE()),FALSE()))</f>
        <v>0</v>
      </c>
      <c r="DC210" s="50" t="b">
        <f aca="false">IF(Configuration!$C$42="No","",IFERROR(IF(AND(AG210&lt;&gt;"",AJ210&lt;&gt;""),TRUE(),FALSE()),FALSE()))</f>
        <v>0</v>
      </c>
      <c r="DD210" s="51" t="n">
        <f aca="false">COUNTIF(BW210:DC210,TRUE())</f>
        <v>2</v>
      </c>
    </row>
    <row r="211" customFormat="false" ht="15" hidden="false" customHeight="true" outlineLevel="0" collapsed="false">
      <c r="A211" s="18" t="n">
        <v>172</v>
      </c>
      <c r="B211" s="44"/>
      <c r="C211" s="44"/>
      <c r="D211" s="44"/>
      <c r="E211" s="44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6" t="str">
        <f aca="false">IFERROR(IF(F211&lt;&gt;"",F211,""),"")</f>
        <v/>
      </c>
      <c r="AF211" s="46" t="str">
        <f aca="false">IFERROR(IF(G211&lt;&gt;"",G211,""),"")</f>
        <v/>
      </c>
      <c r="AG211" s="46" t="str">
        <f aca="false">IFERROR(IF(AA211&lt;&gt;"",AA211,IF(R211&lt;&gt;"",R211,"")),"")</f>
        <v/>
      </c>
      <c r="AH211" s="46" t="str">
        <f aca="false">IFERROR(IF(AB211&lt;&gt;"",AB211,IF(S211&lt;&gt;"",S211,"")),"")</f>
        <v/>
      </c>
      <c r="AI211" s="47"/>
      <c r="AJ211" s="47"/>
      <c r="AK211" s="47"/>
      <c r="AL211" s="47"/>
      <c r="AM211" s="47"/>
      <c r="AN211" s="47"/>
      <c r="AO211" s="47"/>
      <c r="AP211" s="47"/>
      <c r="AQ211" s="46" t="str">
        <f aca="false">IFERROR(IF(Y211&lt;&gt;"",VALUE(Y211),""),"")</f>
        <v/>
      </c>
      <c r="AR211" s="47"/>
      <c r="AS211" s="47"/>
      <c r="AT211" s="47"/>
      <c r="AU211" s="47"/>
      <c r="AV211" s="46" t="str">
        <f aca="false">IFERROR(IF(T211&lt;&gt;"",VALUE(T211),""),"")</f>
        <v/>
      </c>
      <c r="AW211" s="46" t="str">
        <f aca="false">IFERROR(IF(N211="","",IF(OR(ISNUMBER(SEARCH("grant",N211)),ISNUMBER(SEARCH("B",AC211))),"Granted",IF(OR(ISNUMBER(SEARCH("pend",N211)),ISNUMBER(SEARCH("A",AC211))),"Pending",IF(ISNUMBER(SEARCH("expir",N211)),"Expired",N211)))),"")</f>
        <v/>
      </c>
      <c r="AX211" s="47"/>
      <c r="AY211" s="46" t="str">
        <f aca="true">IFERROR(IF(M211&lt;&gt;"",ROUND(VALUE(M211),1),IF(L211&lt;&gt;"",ROUND(MAX(0,(DATEVALUE(TEXT(L211,"YYYY-MM-DD"))-TODAY())/365.25),1),"")),"")</f>
        <v/>
      </c>
      <c r="AZ211" s="46" t="str">
        <f aca="false">IFERROR(IF(O211&lt;&gt;"",O211,""),"")</f>
        <v/>
      </c>
      <c r="BA211" s="46" t="str">
        <f aca="false">IFERROR(IF(U211&lt;&gt;"",SUBSTITUTE(SUBSTITUTE(U211,"; ",", "),";",","),""),"")</f>
        <v/>
      </c>
      <c r="BB211" s="47"/>
      <c r="BC211" s="47"/>
      <c r="BD211" s="47"/>
      <c r="BE211" s="47"/>
      <c r="BF211" s="47"/>
      <c r="BG211" s="47"/>
      <c r="BH211" s="47"/>
      <c r="BI211" s="47"/>
      <c r="BJ211" s="47"/>
      <c r="BK211" s="46" t="str">
        <f aca="false">IFERROR(IF(W211&lt;&gt;"",VALUE(W211),""),"")</f>
        <v/>
      </c>
      <c r="BL211" s="46" t="str">
        <f aca="false">IFERROR(IF(X211&lt;&gt;"",VALUE(X211),""),"")</f>
        <v/>
      </c>
      <c r="BM211" s="46" t="str">
        <f aca="false">IFERROR(IF(AD211="","None",IF(ISNUMBER(SEARCH("surv",AD211)),"Survived",IF(ISNUMBER(SEARCH("pend",AD211)),"Pending",IF(ISNUMBER(SEARCH("yes",AD211)),"Pending","None")))),"None")</f>
        <v>None</v>
      </c>
      <c r="BN211" s="47"/>
      <c r="BO211" s="47"/>
      <c r="BP211" s="47"/>
      <c r="BQ211" s="47"/>
      <c r="BR211" s="47"/>
      <c r="BS211" s="47"/>
      <c r="BT211" s="47"/>
      <c r="BU211" s="48" t="n">
        <f aca="false">IFERROR(COUNTA(AE211:BT211)/42,0)</f>
        <v>0.30952380952381</v>
      </c>
      <c r="BV211" s="49"/>
      <c r="BW211" s="50" t="b">
        <f aca="false">IF(Configuration!$C$10="No","",IFERROR(IF(AG211&lt;&gt;"",TRUE(),FALSE()),FALSE()))</f>
        <v>0</v>
      </c>
      <c r="BX211" s="50" t="b">
        <f aca="false">IF(Configuration!$C$11="No","",IFERROR(IF(AND(N(AL211)&gt;=Configuration!$C$44,AM211&lt;&gt;""),TRUE(),FALSE()),FALSE()))</f>
        <v>0</v>
      </c>
      <c r="BY211" s="50" t="b">
        <f aca="false">IF(Configuration!$C$12="No","",IFERROR(IF(AJ211&lt;&gt;"",TRUE(),FALSE()),FALSE()))</f>
        <v>0</v>
      </c>
      <c r="BZ211" s="50" t="b">
        <f aca="false">IF(Configuration!$C$13="No","",IFERROR(IF(AI211&lt;&gt;"",TRUE(),FALSE()),FALSE()))</f>
        <v>0</v>
      </c>
      <c r="CA211" s="50" t="b">
        <f aca="false">IF(Configuration!$C$14="No","",IFERROR(IF(AK211&lt;&gt;"",TRUE(),FALSE()),FALSE()))</f>
        <v>0</v>
      </c>
      <c r="CB211" s="50" t="b">
        <f aca="false">IF(Configuration!$C$15="No","",IFERROR(IF(AND(OR(ISNUMBER(SEARCH("process",AG211)),ISNUMBER(SEARCH("fab",AG211)),ISNUMBER(SEARCH("manufac",AG211))),AO211="Method"),TRUE(),FALSE()),FALSE()))</f>
        <v>0</v>
      </c>
      <c r="CC211" s="50" t="b">
        <f aca="false">IF(Configuration!$C$16="No","",IFERROR(IF(AND(OR(ISNUMBER(SEARCH("material",AG211)),ISNUMBER(SEARCH("chem",AG211)),ISNUMBER(SEARCH("battery",AG211)),ISNUMBER(SEARCH("electrolyte",AG211)),ISNUMBER(SEARCH("polymer",AG211))),OR(AO211="Apparatus",AO211="Method")),TRUE(),FALSE()),FALSE()))</f>
        <v>0</v>
      </c>
      <c r="CD211" s="50" t="b">
        <f aca="false">IF(Configuration!$C$17="No","",IFERROR(IF(AND(OR(AI211="App",AI211="Middleware",AI211="Cloud"),OR(AO211="Method",AO211="CRM")),TRUE(),FALSE()),FALSE()))</f>
        <v>0</v>
      </c>
      <c r="CE211" s="50" t="b">
        <f aca="false">IF(Configuration!$C$18="No","",IFERROR(IF(N(AN211)&gt;=Configuration!$C$45,TRUE(),FALSE()),FALSE()))</f>
        <v>0</v>
      </c>
      <c r="CF211" s="50" t="b">
        <f aca="false">IF(Configuration!$C$19="No","",IFERROR(IF(BE211&lt;&gt;"",TRUE(),FALSE()),FALSE()))</f>
        <v>0</v>
      </c>
      <c r="CG211" s="50" t="b">
        <f aca="false">IF(Configuration!$C$20="No","",IFERROR(IF(AO211&lt;&gt;"",TRUE(),FALSE()),FALSE()))</f>
        <v>0</v>
      </c>
      <c r="CH211" s="50" t="b">
        <f aca="false">IF(Configuration!$C$21="No","",IFERROR(IF(OR(N(AS211)&gt;=Configuration!$C$46,N(AT211)&gt;=Configuration!$C$47),TRUE(),FALSE()),FALSE()))</f>
        <v>0</v>
      </c>
      <c r="CI211" s="50" t="b">
        <f aca="false">IF(Configuration!$C$22="No","",IFERROR(IF(BB211="Yes",TRUE(),FALSE()),FALSE()))</f>
        <v>0</v>
      </c>
      <c r="CJ211" s="50" t="b">
        <f aca="false">IF(Configuration!$C$23="No","",IFERROR(IF(N(AV211)&gt;=Configuration!$C$48,TRUE(),FALSE()),FALSE()))</f>
        <v>0</v>
      </c>
      <c r="CK211" s="50" t="b">
        <f aca="false">IF(Configuration!$C$24="No","",IFERROR(IF(N(AY211)&gt;0,TRUE(),FALSE()),FALSE()))</f>
        <v>0</v>
      </c>
      <c r="CL211" s="50" t="b">
        <f aca="false">IF(Configuration!$C$25="No","",IFERROR(IF(OR(N(AP211)=3,N(AP211)&lt;=1),TRUE(),FALSE()),FALSE()))</f>
        <v>1</v>
      </c>
      <c r="CM211" s="50" t="b">
        <f aca="false">IF(Configuration!$C$26="No","",IFERROR(IF(N(BF211)&gt;=Configuration!$C$49,TRUE(),FALSE()),FALSE()))</f>
        <v>0</v>
      </c>
      <c r="CN211" s="50" t="b">
        <f aca="false">IF(Configuration!$C$27="No","",IFERROR(IF(BD211&lt;&gt;"",TRUE(),FALSE()),FALSE()))</f>
        <v>0</v>
      </c>
      <c r="CO211" s="50" t="b">
        <f aca="false">IF(Configuration!$C$28="No","",IFERROR(IF(N(AU211)&gt;=Configuration!$C$50,TRUE(),FALSE()),FALSE()))</f>
        <v>0</v>
      </c>
      <c r="CP211" s="50" t="b">
        <f aca="false">IF(Configuration!$C$29="No","",IFERROR(IF(AND(N(AR211)&gt;=Configuration!$C$51,AG211&lt;&gt;""),TRUE(),FALSE()),FALSE()))</f>
        <v>0</v>
      </c>
      <c r="CQ211" s="50" t="b">
        <f aca="false">IF(Configuration!$C$30="No","",IFERROR(IF(OR(AW211="Pending",AX211="Yes"),TRUE(),FALSE()),FALSE()))</f>
        <v>0</v>
      </c>
      <c r="CR211" s="50" t="b">
        <f aca="false">IF(Configuration!$C$31="No","",IFERROR(IF(AND(N(BG211)&gt;=Configuration!$C$52,N(AP211)&gt;=1),TRUE(),FALSE()),FALSE()))</f>
        <v>0</v>
      </c>
      <c r="CS211" s="50" t="b">
        <f aca="false">IF(Configuration!$C$32="No","",IFERROR(IF(AND(N(AR211)&gt;=1,OR(AG211&lt;&gt;"",AM211&lt;&gt;"")),TRUE(),FALSE()),FALSE()))</f>
        <v>0</v>
      </c>
      <c r="CT211" s="50" t="b">
        <f aca="false">IF(Configuration!$C$33="No","",IFERROR(IF(AG211&lt;&gt;"",TRUE(),FALSE()),FALSE()))</f>
        <v>0</v>
      </c>
      <c r="CU211" s="50" t="b">
        <f aca="false">IF(Configuration!$C$34="No","",IFERROR(IF(AX211="Yes",TRUE(),FALSE()),FALSE()))</f>
        <v>0</v>
      </c>
      <c r="CV211" s="50" t="b">
        <f aca="false">IF(Configuration!$C$35="No","",IFERROR(IF(OR(BO211="Partial",BO211="Full"),TRUE(),FALSE()),FALSE()))</f>
        <v>0</v>
      </c>
      <c r="CW211" s="50" t="b">
        <f aca="false">IF(Configuration!$C$36="No","",IFERROR(IF(BM211="Survived",TRUE(),FALSE()),FALSE()))</f>
        <v>0</v>
      </c>
      <c r="CX211" s="50" t="b">
        <f aca="false">IF(Configuration!$C$37="No","",IFERROR(IF(AND(BN211="Clean",BP211="None"),TRUE(),FALSE()),FALSE()))</f>
        <v>0</v>
      </c>
      <c r="CY211" s="50" t="b">
        <f aca="false">IF(Configuration!$C$38="No","",IFERROR(IF(N(BK211)&gt;=Configuration!$C$53,TRUE(),FALSE()),FALSE()))</f>
        <v>0</v>
      </c>
      <c r="CZ211" s="50" t="b">
        <f aca="false">IF(Configuration!$C$39="No","",IFERROR(IF(AND(N(BS211)&gt;=2,N(BF211)&gt;=2),TRUE(),FALSE()),FALSE()))</f>
        <v>0</v>
      </c>
      <c r="DA211" s="50" t="b">
        <f aca="false">IF(Configuration!$C$40="No","",IFERROR(IF(OR(N(BG211)&lt;=Configuration!$C$56,N(AY211)&lt;Configuration!$C$57,N(BH211)&lt;=Configuration!$C$58),TRUE(),FALSE()),FALSE()))</f>
        <v>1</v>
      </c>
      <c r="DB211" s="50" t="b">
        <f aca="false">IF(Configuration!$C$41="No","",IFERROR(IF(AND(N(AY211)&gt;=Configuration!$C$54,N(AY211)&lt;=Configuration!$C$55),TRUE(),FALSE()),FALSE()))</f>
        <v>0</v>
      </c>
      <c r="DC211" s="50" t="b">
        <f aca="false">IF(Configuration!$C$42="No","",IFERROR(IF(AND(AG211&lt;&gt;"",AJ211&lt;&gt;""),TRUE(),FALSE()),FALSE()))</f>
        <v>0</v>
      </c>
      <c r="DD211" s="51" t="n">
        <f aca="false">COUNTIF(BW211:DC211,TRUE())</f>
        <v>2</v>
      </c>
    </row>
    <row r="212" customFormat="false" ht="15" hidden="false" customHeight="true" outlineLevel="0" collapsed="false">
      <c r="A212" s="18" t="n">
        <v>173</v>
      </c>
      <c r="B212" s="44"/>
      <c r="C212" s="44"/>
      <c r="D212" s="44"/>
      <c r="E212" s="44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6" t="str">
        <f aca="false">IFERROR(IF(F212&lt;&gt;"",F212,""),"")</f>
        <v/>
      </c>
      <c r="AF212" s="46" t="str">
        <f aca="false">IFERROR(IF(G212&lt;&gt;"",G212,""),"")</f>
        <v/>
      </c>
      <c r="AG212" s="46" t="str">
        <f aca="false">IFERROR(IF(AA212&lt;&gt;"",AA212,IF(R212&lt;&gt;"",R212,"")),"")</f>
        <v/>
      </c>
      <c r="AH212" s="46" t="str">
        <f aca="false">IFERROR(IF(AB212&lt;&gt;"",AB212,IF(S212&lt;&gt;"",S212,"")),"")</f>
        <v/>
      </c>
      <c r="AI212" s="47"/>
      <c r="AJ212" s="47"/>
      <c r="AK212" s="47"/>
      <c r="AL212" s="47"/>
      <c r="AM212" s="47"/>
      <c r="AN212" s="47"/>
      <c r="AO212" s="47"/>
      <c r="AP212" s="47"/>
      <c r="AQ212" s="46" t="str">
        <f aca="false">IFERROR(IF(Y212&lt;&gt;"",VALUE(Y212),""),"")</f>
        <v/>
      </c>
      <c r="AR212" s="47"/>
      <c r="AS212" s="47"/>
      <c r="AT212" s="47"/>
      <c r="AU212" s="47"/>
      <c r="AV212" s="46" t="str">
        <f aca="false">IFERROR(IF(T212&lt;&gt;"",VALUE(T212),""),"")</f>
        <v/>
      </c>
      <c r="AW212" s="46" t="str">
        <f aca="false">IFERROR(IF(N212="","",IF(OR(ISNUMBER(SEARCH("grant",N212)),ISNUMBER(SEARCH("B",AC212))),"Granted",IF(OR(ISNUMBER(SEARCH("pend",N212)),ISNUMBER(SEARCH("A",AC212))),"Pending",IF(ISNUMBER(SEARCH("expir",N212)),"Expired",N212)))),"")</f>
        <v/>
      </c>
      <c r="AX212" s="47"/>
      <c r="AY212" s="46" t="str">
        <f aca="true">IFERROR(IF(M212&lt;&gt;"",ROUND(VALUE(M212),1),IF(L212&lt;&gt;"",ROUND(MAX(0,(DATEVALUE(TEXT(L212,"YYYY-MM-DD"))-TODAY())/365.25),1),"")),"")</f>
        <v/>
      </c>
      <c r="AZ212" s="46" t="str">
        <f aca="false">IFERROR(IF(O212&lt;&gt;"",O212,""),"")</f>
        <v/>
      </c>
      <c r="BA212" s="46" t="str">
        <f aca="false">IFERROR(IF(U212&lt;&gt;"",SUBSTITUTE(SUBSTITUTE(U212,"; ",", "),";",","),""),"")</f>
        <v/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6" t="str">
        <f aca="false">IFERROR(IF(W212&lt;&gt;"",VALUE(W212),""),"")</f>
        <v/>
      </c>
      <c r="BL212" s="46" t="str">
        <f aca="false">IFERROR(IF(X212&lt;&gt;"",VALUE(X212),""),"")</f>
        <v/>
      </c>
      <c r="BM212" s="46" t="str">
        <f aca="false">IFERROR(IF(AD212="","None",IF(ISNUMBER(SEARCH("surv",AD212)),"Survived",IF(ISNUMBER(SEARCH("pend",AD212)),"Pending",IF(ISNUMBER(SEARCH("yes",AD212)),"Pending","None")))),"None")</f>
        <v>None</v>
      </c>
      <c r="BN212" s="47"/>
      <c r="BO212" s="47"/>
      <c r="BP212" s="47"/>
      <c r="BQ212" s="47"/>
      <c r="BR212" s="47"/>
      <c r="BS212" s="47"/>
      <c r="BT212" s="47"/>
      <c r="BU212" s="48" t="n">
        <f aca="false">IFERROR(COUNTA(AE212:BT212)/42,0)</f>
        <v>0.30952380952381</v>
      </c>
      <c r="BV212" s="49"/>
      <c r="BW212" s="50" t="b">
        <f aca="false">IF(Configuration!$C$10="No","",IFERROR(IF(AG212&lt;&gt;"",TRUE(),FALSE()),FALSE()))</f>
        <v>0</v>
      </c>
      <c r="BX212" s="50" t="b">
        <f aca="false">IF(Configuration!$C$11="No","",IFERROR(IF(AND(N(AL212)&gt;=Configuration!$C$44,AM212&lt;&gt;""),TRUE(),FALSE()),FALSE()))</f>
        <v>0</v>
      </c>
      <c r="BY212" s="50" t="b">
        <f aca="false">IF(Configuration!$C$12="No","",IFERROR(IF(AJ212&lt;&gt;"",TRUE(),FALSE()),FALSE()))</f>
        <v>0</v>
      </c>
      <c r="BZ212" s="50" t="b">
        <f aca="false">IF(Configuration!$C$13="No","",IFERROR(IF(AI212&lt;&gt;"",TRUE(),FALSE()),FALSE()))</f>
        <v>0</v>
      </c>
      <c r="CA212" s="50" t="b">
        <f aca="false">IF(Configuration!$C$14="No","",IFERROR(IF(AK212&lt;&gt;"",TRUE(),FALSE()),FALSE()))</f>
        <v>0</v>
      </c>
      <c r="CB212" s="50" t="b">
        <f aca="false">IF(Configuration!$C$15="No","",IFERROR(IF(AND(OR(ISNUMBER(SEARCH("process",AG212)),ISNUMBER(SEARCH("fab",AG212)),ISNUMBER(SEARCH("manufac",AG212))),AO212="Method"),TRUE(),FALSE()),FALSE()))</f>
        <v>0</v>
      </c>
      <c r="CC212" s="50" t="b">
        <f aca="false">IF(Configuration!$C$16="No","",IFERROR(IF(AND(OR(ISNUMBER(SEARCH("material",AG212)),ISNUMBER(SEARCH("chem",AG212)),ISNUMBER(SEARCH("battery",AG212)),ISNUMBER(SEARCH("electrolyte",AG212)),ISNUMBER(SEARCH("polymer",AG212))),OR(AO212="Apparatus",AO212="Method")),TRUE(),FALSE()),FALSE()))</f>
        <v>0</v>
      </c>
      <c r="CD212" s="50" t="b">
        <f aca="false">IF(Configuration!$C$17="No","",IFERROR(IF(AND(OR(AI212="App",AI212="Middleware",AI212="Cloud"),OR(AO212="Method",AO212="CRM")),TRUE(),FALSE()),FALSE()))</f>
        <v>0</v>
      </c>
      <c r="CE212" s="50" t="b">
        <f aca="false">IF(Configuration!$C$18="No","",IFERROR(IF(N(AN212)&gt;=Configuration!$C$45,TRUE(),FALSE()),FALSE()))</f>
        <v>0</v>
      </c>
      <c r="CF212" s="50" t="b">
        <f aca="false">IF(Configuration!$C$19="No","",IFERROR(IF(BE212&lt;&gt;"",TRUE(),FALSE()),FALSE()))</f>
        <v>0</v>
      </c>
      <c r="CG212" s="50" t="b">
        <f aca="false">IF(Configuration!$C$20="No","",IFERROR(IF(AO212&lt;&gt;"",TRUE(),FALSE()),FALSE()))</f>
        <v>0</v>
      </c>
      <c r="CH212" s="50" t="b">
        <f aca="false">IF(Configuration!$C$21="No","",IFERROR(IF(OR(N(AS212)&gt;=Configuration!$C$46,N(AT212)&gt;=Configuration!$C$47),TRUE(),FALSE()),FALSE()))</f>
        <v>0</v>
      </c>
      <c r="CI212" s="50" t="b">
        <f aca="false">IF(Configuration!$C$22="No","",IFERROR(IF(BB212="Yes",TRUE(),FALSE()),FALSE()))</f>
        <v>0</v>
      </c>
      <c r="CJ212" s="50" t="b">
        <f aca="false">IF(Configuration!$C$23="No","",IFERROR(IF(N(AV212)&gt;=Configuration!$C$48,TRUE(),FALSE()),FALSE()))</f>
        <v>0</v>
      </c>
      <c r="CK212" s="50" t="b">
        <f aca="false">IF(Configuration!$C$24="No","",IFERROR(IF(N(AY212)&gt;0,TRUE(),FALSE()),FALSE()))</f>
        <v>0</v>
      </c>
      <c r="CL212" s="50" t="b">
        <f aca="false">IF(Configuration!$C$25="No","",IFERROR(IF(OR(N(AP212)=3,N(AP212)&lt;=1),TRUE(),FALSE()),FALSE()))</f>
        <v>1</v>
      </c>
      <c r="CM212" s="50" t="b">
        <f aca="false">IF(Configuration!$C$26="No","",IFERROR(IF(N(BF212)&gt;=Configuration!$C$49,TRUE(),FALSE()),FALSE()))</f>
        <v>0</v>
      </c>
      <c r="CN212" s="50" t="b">
        <f aca="false">IF(Configuration!$C$27="No","",IFERROR(IF(BD212&lt;&gt;"",TRUE(),FALSE()),FALSE()))</f>
        <v>0</v>
      </c>
      <c r="CO212" s="50" t="b">
        <f aca="false">IF(Configuration!$C$28="No","",IFERROR(IF(N(AU212)&gt;=Configuration!$C$50,TRUE(),FALSE()),FALSE()))</f>
        <v>0</v>
      </c>
      <c r="CP212" s="50" t="b">
        <f aca="false">IF(Configuration!$C$29="No","",IFERROR(IF(AND(N(AR212)&gt;=Configuration!$C$51,AG212&lt;&gt;""),TRUE(),FALSE()),FALSE()))</f>
        <v>0</v>
      </c>
      <c r="CQ212" s="50" t="b">
        <f aca="false">IF(Configuration!$C$30="No","",IFERROR(IF(OR(AW212="Pending",AX212="Yes"),TRUE(),FALSE()),FALSE()))</f>
        <v>0</v>
      </c>
      <c r="CR212" s="50" t="b">
        <f aca="false">IF(Configuration!$C$31="No","",IFERROR(IF(AND(N(BG212)&gt;=Configuration!$C$52,N(AP212)&gt;=1),TRUE(),FALSE()),FALSE()))</f>
        <v>0</v>
      </c>
      <c r="CS212" s="50" t="b">
        <f aca="false">IF(Configuration!$C$32="No","",IFERROR(IF(AND(N(AR212)&gt;=1,OR(AG212&lt;&gt;"",AM212&lt;&gt;"")),TRUE(),FALSE()),FALSE()))</f>
        <v>0</v>
      </c>
      <c r="CT212" s="50" t="b">
        <f aca="false">IF(Configuration!$C$33="No","",IFERROR(IF(AG212&lt;&gt;"",TRUE(),FALSE()),FALSE()))</f>
        <v>0</v>
      </c>
      <c r="CU212" s="50" t="b">
        <f aca="false">IF(Configuration!$C$34="No","",IFERROR(IF(AX212="Yes",TRUE(),FALSE()),FALSE()))</f>
        <v>0</v>
      </c>
      <c r="CV212" s="50" t="b">
        <f aca="false">IF(Configuration!$C$35="No","",IFERROR(IF(OR(BO212="Partial",BO212="Full"),TRUE(),FALSE()),FALSE()))</f>
        <v>0</v>
      </c>
      <c r="CW212" s="50" t="b">
        <f aca="false">IF(Configuration!$C$36="No","",IFERROR(IF(BM212="Survived",TRUE(),FALSE()),FALSE()))</f>
        <v>0</v>
      </c>
      <c r="CX212" s="50" t="b">
        <f aca="false">IF(Configuration!$C$37="No","",IFERROR(IF(AND(BN212="Clean",BP212="None"),TRUE(),FALSE()),FALSE()))</f>
        <v>0</v>
      </c>
      <c r="CY212" s="50" t="b">
        <f aca="false">IF(Configuration!$C$38="No","",IFERROR(IF(N(BK212)&gt;=Configuration!$C$53,TRUE(),FALSE()),FALSE()))</f>
        <v>0</v>
      </c>
      <c r="CZ212" s="50" t="b">
        <f aca="false">IF(Configuration!$C$39="No","",IFERROR(IF(AND(N(BS212)&gt;=2,N(BF212)&gt;=2),TRUE(),FALSE()),FALSE()))</f>
        <v>0</v>
      </c>
      <c r="DA212" s="50" t="b">
        <f aca="false">IF(Configuration!$C$40="No","",IFERROR(IF(OR(N(BG212)&lt;=Configuration!$C$56,N(AY212)&lt;Configuration!$C$57,N(BH212)&lt;=Configuration!$C$58),TRUE(),FALSE()),FALSE()))</f>
        <v>1</v>
      </c>
      <c r="DB212" s="50" t="b">
        <f aca="false">IF(Configuration!$C$41="No","",IFERROR(IF(AND(N(AY212)&gt;=Configuration!$C$54,N(AY212)&lt;=Configuration!$C$55),TRUE(),FALSE()),FALSE()))</f>
        <v>0</v>
      </c>
      <c r="DC212" s="50" t="b">
        <f aca="false">IF(Configuration!$C$42="No","",IFERROR(IF(AND(AG212&lt;&gt;"",AJ212&lt;&gt;""),TRUE(),FALSE()),FALSE()))</f>
        <v>0</v>
      </c>
      <c r="DD212" s="51" t="n">
        <f aca="false">COUNTIF(BW212:DC212,TRUE())</f>
        <v>2</v>
      </c>
    </row>
    <row r="213" customFormat="false" ht="15" hidden="false" customHeight="true" outlineLevel="0" collapsed="false">
      <c r="A213" s="18" t="n">
        <v>174</v>
      </c>
      <c r="B213" s="44"/>
      <c r="C213" s="44"/>
      <c r="D213" s="44"/>
      <c r="E213" s="44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6" t="str">
        <f aca="false">IFERROR(IF(F213&lt;&gt;"",F213,""),"")</f>
        <v/>
      </c>
      <c r="AF213" s="46" t="str">
        <f aca="false">IFERROR(IF(G213&lt;&gt;"",G213,""),"")</f>
        <v/>
      </c>
      <c r="AG213" s="46" t="str">
        <f aca="false">IFERROR(IF(AA213&lt;&gt;"",AA213,IF(R213&lt;&gt;"",R213,"")),"")</f>
        <v/>
      </c>
      <c r="AH213" s="46" t="str">
        <f aca="false">IFERROR(IF(AB213&lt;&gt;"",AB213,IF(S213&lt;&gt;"",S213,"")),"")</f>
        <v/>
      </c>
      <c r="AI213" s="47"/>
      <c r="AJ213" s="47"/>
      <c r="AK213" s="47"/>
      <c r="AL213" s="47"/>
      <c r="AM213" s="47"/>
      <c r="AN213" s="47"/>
      <c r="AO213" s="47"/>
      <c r="AP213" s="47"/>
      <c r="AQ213" s="46" t="str">
        <f aca="false">IFERROR(IF(Y213&lt;&gt;"",VALUE(Y213),""),"")</f>
        <v/>
      </c>
      <c r="AR213" s="47"/>
      <c r="AS213" s="47"/>
      <c r="AT213" s="47"/>
      <c r="AU213" s="47"/>
      <c r="AV213" s="46" t="str">
        <f aca="false">IFERROR(IF(T213&lt;&gt;"",VALUE(T213),""),"")</f>
        <v/>
      </c>
      <c r="AW213" s="46" t="str">
        <f aca="false">IFERROR(IF(N213="","",IF(OR(ISNUMBER(SEARCH("grant",N213)),ISNUMBER(SEARCH("B",AC213))),"Granted",IF(OR(ISNUMBER(SEARCH("pend",N213)),ISNUMBER(SEARCH("A",AC213))),"Pending",IF(ISNUMBER(SEARCH("expir",N213)),"Expired",N213)))),"")</f>
        <v/>
      </c>
      <c r="AX213" s="47"/>
      <c r="AY213" s="46" t="str">
        <f aca="true">IFERROR(IF(M213&lt;&gt;"",ROUND(VALUE(M213),1),IF(L213&lt;&gt;"",ROUND(MAX(0,(DATEVALUE(TEXT(L213,"YYYY-MM-DD"))-TODAY())/365.25),1),"")),"")</f>
        <v/>
      </c>
      <c r="AZ213" s="46" t="str">
        <f aca="false">IFERROR(IF(O213&lt;&gt;"",O213,""),"")</f>
        <v/>
      </c>
      <c r="BA213" s="46" t="str">
        <f aca="false">IFERROR(IF(U213&lt;&gt;"",SUBSTITUTE(SUBSTITUTE(U213,"; ",", "),";",","),""),"")</f>
        <v/>
      </c>
      <c r="BB213" s="47"/>
      <c r="BC213" s="47"/>
      <c r="BD213" s="47"/>
      <c r="BE213" s="47"/>
      <c r="BF213" s="47"/>
      <c r="BG213" s="47"/>
      <c r="BH213" s="47"/>
      <c r="BI213" s="47"/>
      <c r="BJ213" s="47"/>
      <c r="BK213" s="46" t="str">
        <f aca="false">IFERROR(IF(W213&lt;&gt;"",VALUE(W213),""),"")</f>
        <v/>
      </c>
      <c r="BL213" s="46" t="str">
        <f aca="false">IFERROR(IF(X213&lt;&gt;"",VALUE(X213),""),"")</f>
        <v/>
      </c>
      <c r="BM213" s="46" t="str">
        <f aca="false">IFERROR(IF(AD213="","None",IF(ISNUMBER(SEARCH("surv",AD213)),"Survived",IF(ISNUMBER(SEARCH("pend",AD213)),"Pending",IF(ISNUMBER(SEARCH("yes",AD213)),"Pending","None")))),"None")</f>
        <v>None</v>
      </c>
      <c r="BN213" s="47"/>
      <c r="BO213" s="47"/>
      <c r="BP213" s="47"/>
      <c r="BQ213" s="47"/>
      <c r="BR213" s="47"/>
      <c r="BS213" s="47"/>
      <c r="BT213" s="47"/>
      <c r="BU213" s="48" t="n">
        <f aca="false">IFERROR(COUNTA(AE213:BT213)/42,0)</f>
        <v>0.30952380952381</v>
      </c>
      <c r="BV213" s="49"/>
      <c r="BW213" s="50" t="b">
        <f aca="false">IF(Configuration!$C$10="No","",IFERROR(IF(AG213&lt;&gt;"",TRUE(),FALSE()),FALSE()))</f>
        <v>0</v>
      </c>
      <c r="BX213" s="50" t="b">
        <f aca="false">IF(Configuration!$C$11="No","",IFERROR(IF(AND(N(AL213)&gt;=Configuration!$C$44,AM213&lt;&gt;""),TRUE(),FALSE()),FALSE()))</f>
        <v>0</v>
      </c>
      <c r="BY213" s="50" t="b">
        <f aca="false">IF(Configuration!$C$12="No","",IFERROR(IF(AJ213&lt;&gt;"",TRUE(),FALSE()),FALSE()))</f>
        <v>0</v>
      </c>
      <c r="BZ213" s="50" t="b">
        <f aca="false">IF(Configuration!$C$13="No","",IFERROR(IF(AI213&lt;&gt;"",TRUE(),FALSE()),FALSE()))</f>
        <v>0</v>
      </c>
      <c r="CA213" s="50" t="b">
        <f aca="false">IF(Configuration!$C$14="No","",IFERROR(IF(AK213&lt;&gt;"",TRUE(),FALSE()),FALSE()))</f>
        <v>0</v>
      </c>
      <c r="CB213" s="50" t="b">
        <f aca="false">IF(Configuration!$C$15="No","",IFERROR(IF(AND(OR(ISNUMBER(SEARCH("process",AG213)),ISNUMBER(SEARCH("fab",AG213)),ISNUMBER(SEARCH("manufac",AG213))),AO213="Method"),TRUE(),FALSE()),FALSE()))</f>
        <v>0</v>
      </c>
      <c r="CC213" s="50" t="b">
        <f aca="false">IF(Configuration!$C$16="No","",IFERROR(IF(AND(OR(ISNUMBER(SEARCH("material",AG213)),ISNUMBER(SEARCH("chem",AG213)),ISNUMBER(SEARCH("battery",AG213)),ISNUMBER(SEARCH("electrolyte",AG213)),ISNUMBER(SEARCH("polymer",AG213))),OR(AO213="Apparatus",AO213="Method")),TRUE(),FALSE()),FALSE()))</f>
        <v>0</v>
      </c>
      <c r="CD213" s="50" t="b">
        <f aca="false">IF(Configuration!$C$17="No","",IFERROR(IF(AND(OR(AI213="App",AI213="Middleware",AI213="Cloud"),OR(AO213="Method",AO213="CRM")),TRUE(),FALSE()),FALSE()))</f>
        <v>0</v>
      </c>
      <c r="CE213" s="50" t="b">
        <f aca="false">IF(Configuration!$C$18="No","",IFERROR(IF(N(AN213)&gt;=Configuration!$C$45,TRUE(),FALSE()),FALSE()))</f>
        <v>0</v>
      </c>
      <c r="CF213" s="50" t="b">
        <f aca="false">IF(Configuration!$C$19="No","",IFERROR(IF(BE213&lt;&gt;"",TRUE(),FALSE()),FALSE()))</f>
        <v>0</v>
      </c>
      <c r="CG213" s="50" t="b">
        <f aca="false">IF(Configuration!$C$20="No","",IFERROR(IF(AO213&lt;&gt;"",TRUE(),FALSE()),FALSE()))</f>
        <v>0</v>
      </c>
      <c r="CH213" s="50" t="b">
        <f aca="false">IF(Configuration!$C$21="No","",IFERROR(IF(OR(N(AS213)&gt;=Configuration!$C$46,N(AT213)&gt;=Configuration!$C$47),TRUE(),FALSE()),FALSE()))</f>
        <v>0</v>
      </c>
      <c r="CI213" s="50" t="b">
        <f aca="false">IF(Configuration!$C$22="No","",IFERROR(IF(BB213="Yes",TRUE(),FALSE()),FALSE()))</f>
        <v>0</v>
      </c>
      <c r="CJ213" s="50" t="b">
        <f aca="false">IF(Configuration!$C$23="No","",IFERROR(IF(N(AV213)&gt;=Configuration!$C$48,TRUE(),FALSE()),FALSE()))</f>
        <v>0</v>
      </c>
      <c r="CK213" s="50" t="b">
        <f aca="false">IF(Configuration!$C$24="No","",IFERROR(IF(N(AY213)&gt;0,TRUE(),FALSE()),FALSE()))</f>
        <v>0</v>
      </c>
      <c r="CL213" s="50" t="b">
        <f aca="false">IF(Configuration!$C$25="No","",IFERROR(IF(OR(N(AP213)=3,N(AP213)&lt;=1),TRUE(),FALSE()),FALSE()))</f>
        <v>1</v>
      </c>
      <c r="CM213" s="50" t="b">
        <f aca="false">IF(Configuration!$C$26="No","",IFERROR(IF(N(BF213)&gt;=Configuration!$C$49,TRUE(),FALSE()),FALSE()))</f>
        <v>0</v>
      </c>
      <c r="CN213" s="50" t="b">
        <f aca="false">IF(Configuration!$C$27="No","",IFERROR(IF(BD213&lt;&gt;"",TRUE(),FALSE()),FALSE()))</f>
        <v>0</v>
      </c>
      <c r="CO213" s="50" t="b">
        <f aca="false">IF(Configuration!$C$28="No","",IFERROR(IF(N(AU213)&gt;=Configuration!$C$50,TRUE(),FALSE()),FALSE()))</f>
        <v>0</v>
      </c>
      <c r="CP213" s="50" t="b">
        <f aca="false">IF(Configuration!$C$29="No","",IFERROR(IF(AND(N(AR213)&gt;=Configuration!$C$51,AG213&lt;&gt;""),TRUE(),FALSE()),FALSE()))</f>
        <v>0</v>
      </c>
      <c r="CQ213" s="50" t="b">
        <f aca="false">IF(Configuration!$C$30="No","",IFERROR(IF(OR(AW213="Pending",AX213="Yes"),TRUE(),FALSE()),FALSE()))</f>
        <v>0</v>
      </c>
      <c r="CR213" s="50" t="b">
        <f aca="false">IF(Configuration!$C$31="No","",IFERROR(IF(AND(N(BG213)&gt;=Configuration!$C$52,N(AP213)&gt;=1),TRUE(),FALSE()),FALSE()))</f>
        <v>0</v>
      </c>
      <c r="CS213" s="50" t="b">
        <f aca="false">IF(Configuration!$C$32="No","",IFERROR(IF(AND(N(AR213)&gt;=1,OR(AG213&lt;&gt;"",AM213&lt;&gt;"")),TRUE(),FALSE()),FALSE()))</f>
        <v>0</v>
      </c>
      <c r="CT213" s="50" t="b">
        <f aca="false">IF(Configuration!$C$33="No","",IFERROR(IF(AG213&lt;&gt;"",TRUE(),FALSE()),FALSE()))</f>
        <v>0</v>
      </c>
      <c r="CU213" s="50" t="b">
        <f aca="false">IF(Configuration!$C$34="No","",IFERROR(IF(AX213="Yes",TRUE(),FALSE()),FALSE()))</f>
        <v>0</v>
      </c>
      <c r="CV213" s="50" t="b">
        <f aca="false">IF(Configuration!$C$35="No","",IFERROR(IF(OR(BO213="Partial",BO213="Full"),TRUE(),FALSE()),FALSE()))</f>
        <v>0</v>
      </c>
      <c r="CW213" s="50" t="b">
        <f aca="false">IF(Configuration!$C$36="No","",IFERROR(IF(BM213="Survived",TRUE(),FALSE()),FALSE()))</f>
        <v>0</v>
      </c>
      <c r="CX213" s="50" t="b">
        <f aca="false">IF(Configuration!$C$37="No","",IFERROR(IF(AND(BN213="Clean",BP213="None"),TRUE(),FALSE()),FALSE()))</f>
        <v>0</v>
      </c>
      <c r="CY213" s="50" t="b">
        <f aca="false">IF(Configuration!$C$38="No","",IFERROR(IF(N(BK213)&gt;=Configuration!$C$53,TRUE(),FALSE()),FALSE()))</f>
        <v>0</v>
      </c>
      <c r="CZ213" s="50" t="b">
        <f aca="false">IF(Configuration!$C$39="No","",IFERROR(IF(AND(N(BS213)&gt;=2,N(BF213)&gt;=2),TRUE(),FALSE()),FALSE()))</f>
        <v>0</v>
      </c>
      <c r="DA213" s="50" t="b">
        <f aca="false">IF(Configuration!$C$40="No","",IFERROR(IF(OR(N(BG213)&lt;=Configuration!$C$56,N(AY213)&lt;Configuration!$C$57,N(BH213)&lt;=Configuration!$C$58),TRUE(),FALSE()),FALSE()))</f>
        <v>1</v>
      </c>
      <c r="DB213" s="50" t="b">
        <f aca="false">IF(Configuration!$C$41="No","",IFERROR(IF(AND(N(AY213)&gt;=Configuration!$C$54,N(AY213)&lt;=Configuration!$C$55),TRUE(),FALSE()),FALSE()))</f>
        <v>0</v>
      </c>
      <c r="DC213" s="50" t="b">
        <f aca="false">IF(Configuration!$C$42="No","",IFERROR(IF(AND(AG213&lt;&gt;"",AJ213&lt;&gt;""),TRUE(),FALSE()),FALSE()))</f>
        <v>0</v>
      </c>
      <c r="DD213" s="51" t="n">
        <f aca="false">COUNTIF(BW213:DC213,TRUE())</f>
        <v>2</v>
      </c>
    </row>
    <row r="214" customFormat="false" ht="15" hidden="false" customHeight="true" outlineLevel="0" collapsed="false">
      <c r="A214" s="18" t="n">
        <v>175</v>
      </c>
      <c r="B214" s="44"/>
      <c r="C214" s="44"/>
      <c r="D214" s="44"/>
      <c r="E214" s="44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6" t="str">
        <f aca="false">IFERROR(IF(F214&lt;&gt;"",F214,""),"")</f>
        <v/>
      </c>
      <c r="AF214" s="46" t="str">
        <f aca="false">IFERROR(IF(G214&lt;&gt;"",G214,""),"")</f>
        <v/>
      </c>
      <c r="AG214" s="46" t="str">
        <f aca="false">IFERROR(IF(AA214&lt;&gt;"",AA214,IF(R214&lt;&gt;"",R214,"")),"")</f>
        <v/>
      </c>
      <c r="AH214" s="46" t="str">
        <f aca="false">IFERROR(IF(AB214&lt;&gt;"",AB214,IF(S214&lt;&gt;"",S214,"")),"")</f>
        <v/>
      </c>
      <c r="AI214" s="47"/>
      <c r="AJ214" s="47"/>
      <c r="AK214" s="47"/>
      <c r="AL214" s="47"/>
      <c r="AM214" s="47"/>
      <c r="AN214" s="47"/>
      <c r="AO214" s="47"/>
      <c r="AP214" s="47"/>
      <c r="AQ214" s="46" t="str">
        <f aca="false">IFERROR(IF(Y214&lt;&gt;"",VALUE(Y214),""),"")</f>
        <v/>
      </c>
      <c r="AR214" s="47"/>
      <c r="AS214" s="47"/>
      <c r="AT214" s="47"/>
      <c r="AU214" s="47"/>
      <c r="AV214" s="46" t="str">
        <f aca="false">IFERROR(IF(T214&lt;&gt;"",VALUE(T214),""),"")</f>
        <v/>
      </c>
      <c r="AW214" s="46" t="str">
        <f aca="false">IFERROR(IF(N214="","",IF(OR(ISNUMBER(SEARCH("grant",N214)),ISNUMBER(SEARCH("B",AC214))),"Granted",IF(OR(ISNUMBER(SEARCH("pend",N214)),ISNUMBER(SEARCH("A",AC214))),"Pending",IF(ISNUMBER(SEARCH("expir",N214)),"Expired",N214)))),"")</f>
        <v/>
      </c>
      <c r="AX214" s="47"/>
      <c r="AY214" s="46" t="str">
        <f aca="true">IFERROR(IF(M214&lt;&gt;"",ROUND(VALUE(M214),1),IF(L214&lt;&gt;"",ROUND(MAX(0,(DATEVALUE(TEXT(L214,"YYYY-MM-DD"))-TODAY())/365.25),1),"")),"")</f>
        <v/>
      </c>
      <c r="AZ214" s="46" t="str">
        <f aca="false">IFERROR(IF(O214&lt;&gt;"",O214,""),"")</f>
        <v/>
      </c>
      <c r="BA214" s="46" t="str">
        <f aca="false">IFERROR(IF(U214&lt;&gt;"",SUBSTITUTE(SUBSTITUTE(U214,"; ",", "),";",","),""),"")</f>
        <v/>
      </c>
      <c r="BB214" s="47"/>
      <c r="BC214" s="47"/>
      <c r="BD214" s="47"/>
      <c r="BE214" s="47"/>
      <c r="BF214" s="47"/>
      <c r="BG214" s="47"/>
      <c r="BH214" s="47"/>
      <c r="BI214" s="47"/>
      <c r="BJ214" s="47"/>
      <c r="BK214" s="46" t="str">
        <f aca="false">IFERROR(IF(W214&lt;&gt;"",VALUE(W214),""),"")</f>
        <v/>
      </c>
      <c r="BL214" s="46" t="str">
        <f aca="false">IFERROR(IF(X214&lt;&gt;"",VALUE(X214),""),"")</f>
        <v/>
      </c>
      <c r="BM214" s="46" t="str">
        <f aca="false">IFERROR(IF(AD214="","None",IF(ISNUMBER(SEARCH("surv",AD214)),"Survived",IF(ISNUMBER(SEARCH("pend",AD214)),"Pending",IF(ISNUMBER(SEARCH("yes",AD214)),"Pending","None")))),"None")</f>
        <v>None</v>
      </c>
      <c r="BN214" s="47"/>
      <c r="BO214" s="47"/>
      <c r="BP214" s="47"/>
      <c r="BQ214" s="47"/>
      <c r="BR214" s="47"/>
      <c r="BS214" s="47"/>
      <c r="BT214" s="47"/>
      <c r="BU214" s="48" t="n">
        <f aca="false">IFERROR(COUNTA(AE214:BT214)/42,0)</f>
        <v>0.30952380952381</v>
      </c>
      <c r="BV214" s="49"/>
      <c r="BW214" s="50" t="b">
        <f aca="false">IF(Configuration!$C$10="No","",IFERROR(IF(AG214&lt;&gt;"",TRUE(),FALSE()),FALSE()))</f>
        <v>0</v>
      </c>
      <c r="BX214" s="50" t="b">
        <f aca="false">IF(Configuration!$C$11="No","",IFERROR(IF(AND(N(AL214)&gt;=Configuration!$C$44,AM214&lt;&gt;""),TRUE(),FALSE()),FALSE()))</f>
        <v>0</v>
      </c>
      <c r="BY214" s="50" t="b">
        <f aca="false">IF(Configuration!$C$12="No","",IFERROR(IF(AJ214&lt;&gt;"",TRUE(),FALSE()),FALSE()))</f>
        <v>0</v>
      </c>
      <c r="BZ214" s="50" t="b">
        <f aca="false">IF(Configuration!$C$13="No","",IFERROR(IF(AI214&lt;&gt;"",TRUE(),FALSE()),FALSE()))</f>
        <v>0</v>
      </c>
      <c r="CA214" s="50" t="b">
        <f aca="false">IF(Configuration!$C$14="No","",IFERROR(IF(AK214&lt;&gt;"",TRUE(),FALSE()),FALSE()))</f>
        <v>0</v>
      </c>
      <c r="CB214" s="50" t="b">
        <f aca="false">IF(Configuration!$C$15="No","",IFERROR(IF(AND(OR(ISNUMBER(SEARCH("process",AG214)),ISNUMBER(SEARCH("fab",AG214)),ISNUMBER(SEARCH("manufac",AG214))),AO214="Method"),TRUE(),FALSE()),FALSE()))</f>
        <v>0</v>
      </c>
      <c r="CC214" s="50" t="b">
        <f aca="false">IF(Configuration!$C$16="No","",IFERROR(IF(AND(OR(ISNUMBER(SEARCH("material",AG214)),ISNUMBER(SEARCH("chem",AG214)),ISNUMBER(SEARCH("battery",AG214)),ISNUMBER(SEARCH("electrolyte",AG214)),ISNUMBER(SEARCH("polymer",AG214))),OR(AO214="Apparatus",AO214="Method")),TRUE(),FALSE()),FALSE()))</f>
        <v>0</v>
      </c>
      <c r="CD214" s="50" t="b">
        <f aca="false">IF(Configuration!$C$17="No","",IFERROR(IF(AND(OR(AI214="App",AI214="Middleware",AI214="Cloud"),OR(AO214="Method",AO214="CRM")),TRUE(),FALSE()),FALSE()))</f>
        <v>0</v>
      </c>
      <c r="CE214" s="50" t="b">
        <f aca="false">IF(Configuration!$C$18="No","",IFERROR(IF(N(AN214)&gt;=Configuration!$C$45,TRUE(),FALSE()),FALSE()))</f>
        <v>0</v>
      </c>
      <c r="CF214" s="50" t="b">
        <f aca="false">IF(Configuration!$C$19="No","",IFERROR(IF(BE214&lt;&gt;"",TRUE(),FALSE()),FALSE()))</f>
        <v>0</v>
      </c>
      <c r="CG214" s="50" t="b">
        <f aca="false">IF(Configuration!$C$20="No","",IFERROR(IF(AO214&lt;&gt;"",TRUE(),FALSE()),FALSE()))</f>
        <v>0</v>
      </c>
      <c r="CH214" s="50" t="b">
        <f aca="false">IF(Configuration!$C$21="No","",IFERROR(IF(OR(N(AS214)&gt;=Configuration!$C$46,N(AT214)&gt;=Configuration!$C$47),TRUE(),FALSE()),FALSE()))</f>
        <v>0</v>
      </c>
      <c r="CI214" s="50" t="b">
        <f aca="false">IF(Configuration!$C$22="No","",IFERROR(IF(BB214="Yes",TRUE(),FALSE()),FALSE()))</f>
        <v>0</v>
      </c>
      <c r="CJ214" s="50" t="b">
        <f aca="false">IF(Configuration!$C$23="No","",IFERROR(IF(N(AV214)&gt;=Configuration!$C$48,TRUE(),FALSE()),FALSE()))</f>
        <v>0</v>
      </c>
      <c r="CK214" s="50" t="b">
        <f aca="false">IF(Configuration!$C$24="No","",IFERROR(IF(N(AY214)&gt;0,TRUE(),FALSE()),FALSE()))</f>
        <v>0</v>
      </c>
      <c r="CL214" s="50" t="b">
        <f aca="false">IF(Configuration!$C$25="No","",IFERROR(IF(OR(N(AP214)=3,N(AP214)&lt;=1),TRUE(),FALSE()),FALSE()))</f>
        <v>1</v>
      </c>
      <c r="CM214" s="50" t="b">
        <f aca="false">IF(Configuration!$C$26="No","",IFERROR(IF(N(BF214)&gt;=Configuration!$C$49,TRUE(),FALSE()),FALSE()))</f>
        <v>0</v>
      </c>
      <c r="CN214" s="50" t="b">
        <f aca="false">IF(Configuration!$C$27="No","",IFERROR(IF(BD214&lt;&gt;"",TRUE(),FALSE()),FALSE()))</f>
        <v>0</v>
      </c>
      <c r="CO214" s="50" t="b">
        <f aca="false">IF(Configuration!$C$28="No","",IFERROR(IF(N(AU214)&gt;=Configuration!$C$50,TRUE(),FALSE()),FALSE()))</f>
        <v>0</v>
      </c>
      <c r="CP214" s="50" t="b">
        <f aca="false">IF(Configuration!$C$29="No","",IFERROR(IF(AND(N(AR214)&gt;=Configuration!$C$51,AG214&lt;&gt;""),TRUE(),FALSE()),FALSE()))</f>
        <v>0</v>
      </c>
      <c r="CQ214" s="50" t="b">
        <f aca="false">IF(Configuration!$C$30="No","",IFERROR(IF(OR(AW214="Pending",AX214="Yes"),TRUE(),FALSE()),FALSE()))</f>
        <v>0</v>
      </c>
      <c r="CR214" s="50" t="b">
        <f aca="false">IF(Configuration!$C$31="No","",IFERROR(IF(AND(N(BG214)&gt;=Configuration!$C$52,N(AP214)&gt;=1),TRUE(),FALSE()),FALSE()))</f>
        <v>0</v>
      </c>
      <c r="CS214" s="50" t="b">
        <f aca="false">IF(Configuration!$C$32="No","",IFERROR(IF(AND(N(AR214)&gt;=1,OR(AG214&lt;&gt;"",AM214&lt;&gt;"")),TRUE(),FALSE()),FALSE()))</f>
        <v>0</v>
      </c>
      <c r="CT214" s="50" t="b">
        <f aca="false">IF(Configuration!$C$33="No","",IFERROR(IF(AG214&lt;&gt;"",TRUE(),FALSE()),FALSE()))</f>
        <v>0</v>
      </c>
      <c r="CU214" s="50" t="b">
        <f aca="false">IF(Configuration!$C$34="No","",IFERROR(IF(AX214="Yes",TRUE(),FALSE()),FALSE()))</f>
        <v>0</v>
      </c>
      <c r="CV214" s="50" t="b">
        <f aca="false">IF(Configuration!$C$35="No","",IFERROR(IF(OR(BO214="Partial",BO214="Full"),TRUE(),FALSE()),FALSE()))</f>
        <v>0</v>
      </c>
      <c r="CW214" s="50" t="b">
        <f aca="false">IF(Configuration!$C$36="No","",IFERROR(IF(BM214="Survived",TRUE(),FALSE()),FALSE()))</f>
        <v>0</v>
      </c>
      <c r="CX214" s="50" t="b">
        <f aca="false">IF(Configuration!$C$37="No","",IFERROR(IF(AND(BN214="Clean",BP214="None"),TRUE(),FALSE()),FALSE()))</f>
        <v>0</v>
      </c>
      <c r="CY214" s="50" t="b">
        <f aca="false">IF(Configuration!$C$38="No","",IFERROR(IF(N(BK214)&gt;=Configuration!$C$53,TRUE(),FALSE()),FALSE()))</f>
        <v>0</v>
      </c>
      <c r="CZ214" s="50" t="b">
        <f aca="false">IF(Configuration!$C$39="No","",IFERROR(IF(AND(N(BS214)&gt;=2,N(BF214)&gt;=2),TRUE(),FALSE()),FALSE()))</f>
        <v>0</v>
      </c>
      <c r="DA214" s="50" t="b">
        <f aca="false">IF(Configuration!$C$40="No","",IFERROR(IF(OR(N(BG214)&lt;=Configuration!$C$56,N(AY214)&lt;Configuration!$C$57,N(BH214)&lt;=Configuration!$C$58),TRUE(),FALSE()),FALSE()))</f>
        <v>1</v>
      </c>
      <c r="DB214" s="50" t="b">
        <f aca="false">IF(Configuration!$C$41="No","",IFERROR(IF(AND(N(AY214)&gt;=Configuration!$C$54,N(AY214)&lt;=Configuration!$C$55),TRUE(),FALSE()),FALSE()))</f>
        <v>0</v>
      </c>
      <c r="DC214" s="50" t="b">
        <f aca="false">IF(Configuration!$C$42="No","",IFERROR(IF(AND(AG214&lt;&gt;"",AJ214&lt;&gt;""),TRUE(),FALSE()),FALSE()))</f>
        <v>0</v>
      </c>
      <c r="DD214" s="51" t="n">
        <f aca="false">COUNTIF(BW214:DC214,TRUE())</f>
        <v>2</v>
      </c>
    </row>
    <row r="215" customFormat="false" ht="15" hidden="false" customHeight="true" outlineLevel="0" collapsed="false">
      <c r="A215" s="18" t="n">
        <v>176</v>
      </c>
      <c r="B215" s="44"/>
      <c r="C215" s="44"/>
      <c r="D215" s="44"/>
      <c r="E215" s="44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6" t="str">
        <f aca="false">IFERROR(IF(F215&lt;&gt;"",F215,""),"")</f>
        <v/>
      </c>
      <c r="AF215" s="46" t="str">
        <f aca="false">IFERROR(IF(G215&lt;&gt;"",G215,""),"")</f>
        <v/>
      </c>
      <c r="AG215" s="46" t="str">
        <f aca="false">IFERROR(IF(AA215&lt;&gt;"",AA215,IF(R215&lt;&gt;"",R215,"")),"")</f>
        <v/>
      </c>
      <c r="AH215" s="46" t="str">
        <f aca="false">IFERROR(IF(AB215&lt;&gt;"",AB215,IF(S215&lt;&gt;"",S215,"")),"")</f>
        <v/>
      </c>
      <c r="AI215" s="47"/>
      <c r="AJ215" s="47"/>
      <c r="AK215" s="47"/>
      <c r="AL215" s="47"/>
      <c r="AM215" s="47"/>
      <c r="AN215" s="47"/>
      <c r="AO215" s="47"/>
      <c r="AP215" s="47"/>
      <c r="AQ215" s="46" t="str">
        <f aca="false">IFERROR(IF(Y215&lt;&gt;"",VALUE(Y215),""),"")</f>
        <v/>
      </c>
      <c r="AR215" s="47"/>
      <c r="AS215" s="47"/>
      <c r="AT215" s="47"/>
      <c r="AU215" s="47"/>
      <c r="AV215" s="46" t="str">
        <f aca="false">IFERROR(IF(T215&lt;&gt;"",VALUE(T215),""),"")</f>
        <v/>
      </c>
      <c r="AW215" s="46" t="str">
        <f aca="false">IFERROR(IF(N215="","",IF(OR(ISNUMBER(SEARCH("grant",N215)),ISNUMBER(SEARCH("B",AC215))),"Granted",IF(OR(ISNUMBER(SEARCH("pend",N215)),ISNUMBER(SEARCH("A",AC215))),"Pending",IF(ISNUMBER(SEARCH("expir",N215)),"Expired",N215)))),"")</f>
        <v/>
      </c>
      <c r="AX215" s="47"/>
      <c r="AY215" s="46" t="str">
        <f aca="true">IFERROR(IF(M215&lt;&gt;"",ROUND(VALUE(M215),1),IF(L215&lt;&gt;"",ROUND(MAX(0,(DATEVALUE(TEXT(L215,"YYYY-MM-DD"))-TODAY())/365.25),1),"")),"")</f>
        <v/>
      </c>
      <c r="AZ215" s="46" t="str">
        <f aca="false">IFERROR(IF(O215&lt;&gt;"",O215,""),"")</f>
        <v/>
      </c>
      <c r="BA215" s="46" t="str">
        <f aca="false">IFERROR(IF(U215&lt;&gt;"",SUBSTITUTE(SUBSTITUTE(U215,"; ",", "),";",","),""),"")</f>
        <v/>
      </c>
      <c r="BB215" s="47"/>
      <c r="BC215" s="47"/>
      <c r="BD215" s="47"/>
      <c r="BE215" s="47"/>
      <c r="BF215" s="47"/>
      <c r="BG215" s="47"/>
      <c r="BH215" s="47"/>
      <c r="BI215" s="47"/>
      <c r="BJ215" s="47"/>
      <c r="BK215" s="46" t="str">
        <f aca="false">IFERROR(IF(W215&lt;&gt;"",VALUE(W215),""),"")</f>
        <v/>
      </c>
      <c r="BL215" s="46" t="str">
        <f aca="false">IFERROR(IF(X215&lt;&gt;"",VALUE(X215),""),"")</f>
        <v/>
      </c>
      <c r="BM215" s="46" t="str">
        <f aca="false">IFERROR(IF(AD215="","None",IF(ISNUMBER(SEARCH("surv",AD215)),"Survived",IF(ISNUMBER(SEARCH("pend",AD215)),"Pending",IF(ISNUMBER(SEARCH("yes",AD215)),"Pending","None")))),"None")</f>
        <v>None</v>
      </c>
      <c r="BN215" s="47"/>
      <c r="BO215" s="47"/>
      <c r="BP215" s="47"/>
      <c r="BQ215" s="47"/>
      <c r="BR215" s="47"/>
      <c r="BS215" s="47"/>
      <c r="BT215" s="47"/>
      <c r="BU215" s="48" t="n">
        <f aca="false">IFERROR(COUNTA(AE215:BT215)/42,0)</f>
        <v>0.30952380952381</v>
      </c>
      <c r="BV215" s="49"/>
      <c r="BW215" s="50" t="b">
        <f aca="false">IF(Configuration!$C$10="No","",IFERROR(IF(AG215&lt;&gt;"",TRUE(),FALSE()),FALSE()))</f>
        <v>0</v>
      </c>
      <c r="BX215" s="50" t="b">
        <f aca="false">IF(Configuration!$C$11="No","",IFERROR(IF(AND(N(AL215)&gt;=Configuration!$C$44,AM215&lt;&gt;""),TRUE(),FALSE()),FALSE()))</f>
        <v>0</v>
      </c>
      <c r="BY215" s="50" t="b">
        <f aca="false">IF(Configuration!$C$12="No","",IFERROR(IF(AJ215&lt;&gt;"",TRUE(),FALSE()),FALSE()))</f>
        <v>0</v>
      </c>
      <c r="BZ215" s="50" t="b">
        <f aca="false">IF(Configuration!$C$13="No","",IFERROR(IF(AI215&lt;&gt;"",TRUE(),FALSE()),FALSE()))</f>
        <v>0</v>
      </c>
      <c r="CA215" s="50" t="b">
        <f aca="false">IF(Configuration!$C$14="No","",IFERROR(IF(AK215&lt;&gt;"",TRUE(),FALSE()),FALSE()))</f>
        <v>0</v>
      </c>
      <c r="CB215" s="50" t="b">
        <f aca="false">IF(Configuration!$C$15="No","",IFERROR(IF(AND(OR(ISNUMBER(SEARCH("process",AG215)),ISNUMBER(SEARCH("fab",AG215)),ISNUMBER(SEARCH("manufac",AG215))),AO215="Method"),TRUE(),FALSE()),FALSE()))</f>
        <v>0</v>
      </c>
      <c r="CC215" s="50" t="b">
        <f aca="false">IF(Configuration!$C$16="No","",IFERROR(IF(AND(OR(ISNUMBER(SEARCH("material",AG215)),ISNUMBER(SEARCH("chem",AG215)),ISNUMBER(SEARCH("battery",AG215)),ISNUMBER(SEARCH("electrolyte",AG215)),ISNUMBER(SEARCH("polymer",AG215))),OR(AO215="Apparatus",AO215="Method")),TRUE(),FALSE()),FALSE()))</f>
        <v>0</v>
      </c>
      <c r="CD215" s="50" t="b">
        <f aca="false">IF(Configuration!$C$17="No","",IFERROR(IF(AND(OR(AI215="App",AI215="Middleware",AI215="Cloud"),OR(AO215="Method",AO215="CRM")),TRUE(),FALSE()),FALSE()))</f>
        <v>0</v>
      </c>
      <c r="CE215" s="50" t="b">
        <f aca="false">IF(Configuration!$C$18="No","",IFERROR(IF(N(AN215)&gt;=Configuration!$C$45,TRUE(),FALSE()),FALSE()))</f>
        <v>0</v>
      </c>
      <c r="CF215" s="50" t="b">
        <f aca="false">IF(Configuration!$C$19="No","",IFERROR(IF(BE215&lt;&gt;"",TRUE(),FALSE()),FALSE()))</f>
        <v>0</v>
      </c>
      <c r="CG215" s="50" t="b">
        <f aca="false">IF(Configuration!$C$20="No","",IFERROR(IF(AO215&lt;&gt;"",TRUE(),FALSE()),FALSE()))</f>
        <v>0</v>
      </c>
      <c r="CH215" s="50" t="b">
        <f aca="false">IF(Configuration!$C$21="No","",IFERROR(IF(OR(N(AS215)&gt;=Configuration!$C$46,N(AT215)&gt;=Configuration!$C$47),TRUE(),FALSE()),FALSE()))</f>
        <v>0</v>
      </c>
      <c r="CI215" s="50" t="b">
        <f aca="false">IF(Configuration!$C$22="No","",IFERROR(IF(BB215="Yes",TRUE(),FALSE()),FALSE()))</f>
        <v>0</v>
      </c>
      <c r="CJ215" s="50" t="b">
        <f aca="false">IF(Configuration!$C$23="No","",IFERROR(IF(N(AV215)&gt;=Configuration!$C$48,TRUE(),FALSE()),FALSE()))</f>
        <v>0</v>
      </c>
      <c r="CK215" s="50" t="b">
        <f aca="false">IF(Configuration!$C$24="No","",IFERROR(IF(N(AY215)&gt;0,TRUE(),FALSE()),FALSE()))</f>
        <v>0</v>
      </c>
      <c r="CL215" s="50" t="b">
        <f aca="false">IF(Configuration!$C$25="No","",IFERROR(IF(OR(N(AP215)=3,N(AP215)&lt;=1),TRUE(),FALSE()),FALSE()))</f>
        <v>1</v>
      </c>
      <c r="CM215" s="50" t="b">
        <f aca="false">IF(Configuration!$C$26="No","",IFERROR(IF(N(BF215)&gt;=Configuration!$C$49,TRUE(),FALSE()),FALSE()))</f>
        <v>0</v>
      </c>
      <c r="CN215" s="50" t="b">
        <f aca="false">IF(Configuration!$C$27="No","",IFERROR(IF(BD215&lt;&gt;"",TRUE(),FALSE()),FALSE()))</f>
        <v>0</v>
      </c>
      <c r="CO215" s="50" t="b">
        <f aca="false">IF(Configuration!$C$28="No","",IFERROR(IF(N(AU215)&gt;=Configuration!$C$50,TRUE(),FALSE()),FALSE()))</f>
        <v>0</v>
      </c>
      <c r="CP215" s="50" t="b">
        <f aca="false">IF(Configuration!$C$29="No","",IFERROR(IF(AND(N(AR215)&gt;=Configuration!$C$51,AG215&lt;&gt;""),TRUE(),FALSE()),FALSE()))</f>
        <v>0</v>
      </c>
      <c r="CQ215" s="50" t="b">
        <f aca="false">IF(Configuration!$C$30="No","",IFERROR(IF(OR(AW215="Pending",AX215="Yes"),TRUE(),FALSE()),FALSE()))</f>
        <v>0</v>
      </c>
      <c r="CR215" s="50" t="b">
        <f aca="false">IF(Configuration!$C$31="No","",IFERROR(IF(AND(N(BG215)&gt;=Configuration!$C$52,N(AP215)&gt;=1),TRUE(),FALSE()),FALSE()))</f>
        <v>0</v>
      </c>
      <c r="CS215" s="50" t="b">
        <f aca="false">IF(Configuration!$C$32="No","",IFERROR(IF(AND(N(AR215)&gt;=1,OR(AG215&lt;&gt;"",AM215&lt;&gt;"")),TRUE(),FALSE()),FALSE()))</f>
        <v>0</v>
      </c>
      <c r="CT215" s="50" t="b">
        <f aca="false">IF(Configuration!$C$33="No","",IFERROR(IF(AG215&lt;&gt;"",TRUE(),FALSE()),FALSE()))</f>
        <v>0</v>
      </c>
      <c r="CU215" s="50" t="b">
        <f aca="false">IF(Configuration!$C$34="No","",IFERROR(IF(AX215="Yes",TRUE(),FALSE()),FALSE()))</f>
        <v>0</v>
      </c>
      <c r="CV215" s="50" t="b">
        <f aca="false">IF(Configuration!$C$35="No","",IFERROR(IF(OR(BO215="Partial",BO215="Full"),TRUE(),FALSE()),FALSE()))</f>
        <v>0</v>
      </c>
      <c r="CW215" s="50" t="b">
        <f aca="false">IF(Configuration!$C$36="No","",IFERROR(IF(BM215="Survived",TRUE(),FALSE()),FALSE()))</f>
        <v>0</v>
      </c>
      <c r="CX215" s="50" t="b">
        <f aca="false">IF(Configuration!$C$37="No","",IFERROR(IF(AND(BN215="Clean",BP215="None"),TRUE(),FALSE()),FALSE()))</f>
        <v>0</v>
      </c>
      <c r="CY215" s="50" t="b">
        <f aca="false">IF(Configuration!$C$38="No","",IFERROR(IF(N(BK215)&gt;=Configuration!$C$53,TRUE(),FALSE()),FALSE()))</f>
        <v>0</v>
      </c>
      <c r="CZ215" s="50" t="b">
        <f aca="false">IF(Configuration!$C$39="No","",IFERROR(IF(AND(N(BS215)&gt;=2,N(BF215)&gt;=2),TRUE(),FALSE()),FALSE()))</f>
        <v>0</v>
      </c>
      <c r="DA215" s="50" t="b">
        <f aca="false">IF(Configuration!$C$40="No","",IFERROR(IF(OR(N(BG215)&lt;=Configuration!$C$56,N(AY215)&lt;Configuration!$C$57,N(BH215)&lt;=Configuration!$C$58),TRUE(),FALSE()),FALSE()))</f>
        <v>1</v>
      </c>
      <c r="DB215" s="50" t="b">
        <f aca="false">IF(Configuration!$C$41="No","",IFERROR(IF(AND(N(AY215)&gt;=Configuration!$C$54,N(AY215)&lt;=Configuration!$C$55),TRUE(),FALSE()),FALSE()))</f>
        <v>0</v>
      </c>
      <c r="DC215" s="50" t="b">
        <f aca="false">IF(Configuration!$C$42="No","",IFERROR(IF(AND(AG215&lt;&gt;"",AJ215&lt;&gt;""),TRUE(),FALSE()),FALSE()))</f>
        <v>0</v>
      </c>
      <c r="DD215" s="51" t="n">
        <f aca="false">COUNTIF(BW215:DC215,TRUE())</f>
        <v>2</v>
      </c>
    </row>
    <row r="216" customFormat="false" ht="15" hidden="false" customHeight="true" outlineLevel="0" collapsed="false">
      <c r="A216" s="18" t="n">
        <v>177</v>
      </c>
      <c r="B216" s="44"/>
      <c r="C216" s="44"/>
      <c r="D216" s="44"/>
      <c r="E216" s="44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6" t="str">
        <f aca="false">IFERROR(IF(F216&lt;&gt;"",F216,""),"")</f>
        <v/>
      </c>
      <c r="AF216" s="46" t="str">
        <f aca="false">IFERROR(IF(G216&lt;&gt;"",G216,""),"")</f>
        <v/>
      </c>
      <c r="AG216" s="46" t="str">
        <f aca="false">IFERROR(IF(AA216&lt;&gt;"",AA216,IF(R216&lt;&gt;"",R216,"")),"")</f>
        <v/>
      </c>
      <c r="AH216" s="46" t="str">
        <f aca="false">IFERROR(IF(AB216&lt;&gt;"",AB216,IF(S216&lt;&gt;"",S216,"")),"")</f>
        <v/>
      </c>
      <c r="AI216" s="47"/>
      <c r="AJ216" s="47"/>
      <c r="AK216" s="47"/>
      <c r="AL216" s="47"/>
      <c r="AM216" s="47"/>
      <c r="AN216" s="47"/>
      <c r="AO216" s="47"/>
      <c r="AP216" s="47"/>
      <c r="AQ216" s="46" t="str">
        <f aca="false">IFERROR(IF(Y216&lt;&gt;"",VALUE(Y216),""),"")</f>
        <v/>
      </c>
      <c r="AR216" s="47"/>
      <c r="AS216" s="47"/>
      <c r="AT216" s="47"/>
      <c r="AU216" s="47"/>
      <c r="AV216" s="46" t="str">
        <f aca="false">IFERROR(IF(T216&lt;&gt;"",VALUE(T216),""),"")</f>
        <v/>
      </c>
      <c r="AW216" s="46" t="str">
        <f aca="false">IFERROR(IF(N216="","",IF(OR(ISNUMBER(SEARCH("grant",N216)),ISNUMBER(SEARCH("B",AC216))),"Granted",IF(OR(ISNUMBER(SEARCH("pend",N216)),ISNUMBER(SEARCH("A",AC216))),"Pending",IF(ISNUMBER(SEARCH("expir",N216)),"Expired",N216)))),"")</f>
        <v/>
      </c>
      <c r="AX216" s="47"/>
      <c r="AY216" s="46" t="str">
        <f aca="true">IFERROR(IF(M216&lt;&gt;"",ROUND(VALUE(M216),1),IF(L216&lt;&gt;"",ROUND(MAX(0,(DATEVALUE(TEXT(L216,"YYYY-MM-DD"))-TODAY())/365.25),1),"")),"")</f>
        <v/>
      </c>
      <c r="AZ216" s="46" t="str">
        <f aca="false">IFERROR(IF(O216&lt;&gt;"",O216,""),"")</f>
        <v/>
      </c>
      <c r="BA216" s="46" t="str">
        <f aca="false">IFERROR(IF(U216&lt;&gt;"",SUBSTITUTE(SUBSTITUTE(U216,"; ",", "),";",","),""),"")</f>
        <v/>
      </c>
      <c r="BB216" s="47"/>
      <c r="BC216" s="47"/>
      <c r="BD216" s="47"/>
      <c r="BE216" s="47"/>
      <c r="BF216" s="47"/>
      <c r="BG216" s="47"/>
      <c r="BH216" s="47"/>
      <c r="BI216" s="47"/>
      <c r="BJ216" s="47"/>
      <c r="BK216" s="46" t="str">
        <f aca="false">IFERROR(IF(W216&lt;&gt;"",VALUE(W216),""),"")</f>
        <v/>
      </c>
      <c r="BL216" s="46" t="str">
        <f aca="false">IFERROR(IF(X216&lt;&gt;"",VALUE(X216),""),"")</f>
        <v/>
      </c>
      <c r="BM216" s="46" t="str">
        <f aca="false">IFERROR(IF(AD216="","None",IF(ISNUMBER(SEARCH("surv",AD216)),"Survived",IF(ISNUMBER(SEARCH("pend",AD216)),"Pending",IF(ISNUMBER(SEARCH("yes",AD216)),"Pending","None")))),"None")</f>
        <v>None</v>
      </c>
      <c r="BN216" s="47"/>
      <c r="BO216" s="47"/>
      <c r="BP216" s="47"/>
      <c r="BQ216" s="47"/>
      <c r="BR216" s="47"/>
      <c r="BS216" s="47"/>
      <c r="BT216" s="47"/>
      <c r="BU216" s="48" t="n">
        <f aca="false">IFERROR(COUNTA(AE216:BT216)/42,0)</f>
        <v>0.30952380952381</v>
      </c>
      <c r="BV216" s="49"/>
      <c r="BW216" s="50" t="b">
        <f aca="false">IF(Configuration!$C$10="No","",IFERROR(IF(AG216&lt;&gt;"",TRUE(),FALSE()),FALSE()))</f>
        <v>0</v>
      </c>
      <c r="BX216" s="50" t="b">
        <f aca="false">IF(Configuration!$C$11="No","",IFERROR(IF(AND(N(AL216)&gt;=Configuration!$C$44,AM216&lt;&gt;""),TRUE(),FALSE()),FALSE()))</f>
        <v>0</v>
      </c>
      <c r="BY216" s="50" t="b">
        <f aca="false">IF(Configuration!$C$12="No","",IFERROR(IF(AJ216&lt;&gt;"",TRUE(),FALSE()),FALSE()))</f>
        <v>0</v>
      </c>
      <c r="BZ216" s="50" t="b">
        <f aca="false">IF(Configuration!$C$13="No","",IFERROR(IF(AI216&lt;&gt;"",TRUE(),FALSE()),FALSE()))</f>
        <v>0</v>
      </c>
      <c r="CA216" s="50" t="b">
        <f aca="false">IF(Configuration!$C$14="No","",IFERROR(IF(AK216&lt;&gt;"",TRUE(),FALSE()),FALSE()))</f>
        <v>0</v>
      </c>
      <c r="CB216" s="50" t="b">
        <f aca="false">IF(Configuration!$C$15="No","",IFERROR(IF(AND(OR(ISNUMBER(SEARCH("process",AG216)),ISNUMBER(SEARCH("fab",AG216)),ISNUMBER(SEARCH("manufac",AG216))),AO216="Method"),TRUE(),FALSE()),FALSE()))</f>
        <v>0</v>
      </c>
      <c r="CC216" s="50" t="b">
        <f aca="false">IF(Configuration!$C$16="No","",IFERROR(IF(AND(OR(ISNUMBER(SEARCH("material",AG216)),ISNUMBER(SEARCH("chem",AG216)),ISNUMBER(SEARCH("battery",AG216)),ISNUMBER(SEARCH("electrolyte",AG216)),ISNUMBER(SEARCH("polymer",AG216))),OR(AO216="Apparatus",AO216="Method")),TRUE(),FALSE()),FALSE()))</f>
        <v>0</v>
      </c>
      <c r="CD216" s="50" t="b">
        <f aca="false">IF(Configuration!$C$17="No","",IFERROR(IF(AND(OR(AI216="App",AI216="Middleware",AI216="Cloud"),OR(AO216="Method",AO216="CRM")),TRUE(),FALSE()),FALSE()))</f>
        <v>0</v>
      </c>
      <c r="CE216" s="50" t="b">
        <f aca="false">IF(Configuration!$C$18="No","",IFERROR(IF(N(AN216)&gt;=Configuration!$C$45,TRUE(),FALSE()),FALSE()))</f>
        <v>0</v>
      </c>
      <c r="CF216" s="50" t="b">
        <f aca="false">IF(Configuration!$C$19="No","",IFERROR(IF(BE216&lt;&gt;"",TRUE(),FALSE()),FALSE()))</f>
        <v>0</v>
      </c>
      <c r="CG216" s="50" t="b">
        <f aca="false">IF(Configuration!$C$20="No","",IFERROR(IF(AO216&lt;&gt;"",TRUE(),FALSE()),FALSE()))</f>
        <v>0</v>
      </c>
      <c r="CH216" s="50" t="b">
        <f aca="false">IF(Configuration!$C$21="No","",IFERROR(IF(OR(N(AS216)&gt;=Configuration!$C$46,N(AT216)&gt;=Configuration!$C$47),TRUE(),FALSE()),FALSE()))</f>
        <v>0</v>
      </c>
      <c r="CI216" s="50" t="b">
        <f aca="false">IF(Configuration!$C$22="No","",IFERROR(IF(BB216="Yes",TRUE(),FALSE()),FALSE()))</f>
        <v>0</v>
      </c>
      <c r="CJ216" s="50" t="b">
        <f aca="false">IF(Configuration!$C$23="No","",IFERROR(IF(N(AV216)&gt;=Configuration!$C$48,TRUE(),FALSE()),FALSE()))</f>
        <v>0</v>
      </c>
      <c r="CK216" s="50" t="b">
        <f aca="false">IF(Configuration!$C$24="No","",IFERROR(IF(N(AY216)&gt;0,TRUE(),FALSE()),FALSE()))</f>
        <v>0</v>
      </c>
      <c r="CL216" s="50" t="b">
        <f aca="false">IF(Configuration!$C$25="No","",IFERROR(IF(OR(N(AP216)=3,N(AP216)&lt;=1),TRUE(),FALSE()),FALSE()))</f>
        <v>1</v>
      </c>
      <c r="CM216" s="50" t="b">
        <f aca="false">IF(Configuration!$C$26="No","",IFERROR(IF(N(BF216)&gt;=Configuration!$C$49,TRUE(),FALSE()),FALSE()))</f>
        <v>0</v>
      </c>
      <c r="CN216" s="50" t="b">
        <f aca="false">IF(Configuration!$C$27="No","",IFERROR(IF(BD216&lt;&gt;"",TRUE(),FALSE()),FALSE()))</f>
        <v>0</v>
      </c>
      <c r="CO216" s="50" t="b">
        <f aca="false">IF(Configuration!$C$28="No","",IFERROR(IF(N(AU216)&gt;=Configuration!$C$50,TRUE(),FALSE()),FALSE()))</f>
        <v>0</v>
      </c>
      <c r="CP216" s="50" t="b">
        <f aca="false">IF(Configuration!$C$29="No","",IFERROR(IF(AND(N(AR216)&gt;=Configuration!$C$51,AG216&lt;&gt;""),TRUE(),FALSE()),FALSE()))</f>
        <v>0</v>
      </c>
      <c r="CQ216" s="50" t="b">
        <f aca="false">IF(Configuration!$C$30="No","",IFERROR(IF(OR(AW216="Pending",AX216="Yes"),TRUE(),FALSE()),FALSE()))</f>
        <v>0</v>
      </c>
      <c r="CR216" s="50" t="b">
        <f aca="false">IF(Configuration!$C$31="No","",IFERROR(IF(AND(N(BG216)&gt;=Configuration!$C$52,N(AP216)&gt;=1),TRUE(),FALSE()),FALSE()))</f>
        <v>0</v>
      </c>
      <c r="CS216" s="50" t="b">
        <f aca="false">IF(Configuration!$C$32="No","",IFERROR(IF(AND(N(AR216)&gt;=1,OR(AG216&lt;&gt;"",AM216&lt;&gt;"")),TRUE(),FALSE()),FALSE()))</f>
        <v>0</v>
      </c>
      <c r="CT216" s="50" t="b">
        <f aca="false">IF(Configuration!$C$33="No","",IFERROR(IF(AG216&lt;&gt;"",TRUE(),FALSE()),FALSE()))</f>
        <v>0</v>
      </c>
      <c r="CU216" s="50" t="b">
        <f aca="false">IF(Configuration!$C$34="No","",IFERROR(IF(AX216="Yes",TRUE(),FALSE()),FALSE()))</f>
        <v>0</v>
      </c>
      <c r="CV216" s="50" t="b">
        <f aca="false">IF(Configuration!$C$35="No","",IFERROR(IF(OR(BO216="Partial",BO216="Full"),TRUE(),FALSE()),FALSE()))</f>
        <v>0</v>
      </c>
      <c r="CW216" s="50" t="b">
        <f aca="false">IF(Configuration!$C$36="No","",IFERROR(IF(BM216="Survived",TRUE(),FALSE()),FALSE()))</f>
        <v>0</v>
      </c>
      <c r="CX216" s="50" t="b">
        <f aca="false">IF(Configuration!$C$37="No","",IFERROR(IF(AND(BN216="Clean",BP216="None"),TRUE(),FALSE()),FALSE()))</f>
        <v>0</v>
      </c>
      <c r="CY216" s="50" t="b">
        <f aca="false">IF(Configuration!$C$38="No","",IFERROR(IF(N(BK216)&gt;=Configuration!$C$53,TRUE(),FALSE()),FALSE()))</f>
        <v>0</v>
      </c>
      <c r="CZ216" s="50" t="b">
        <f aca="false">IF(Configuration!$C$39="No","",IFERROR(IF(AND(N(BS216)&gt;=2,N(BF216)&gt;=2),TRUE(),FALSE()),FALSE()))</f>
        <v>0</v>
      </c>
      <c r="DA216" s="50" t="b">
        <f aca="false">IF(Configuration!$C$40="No","",IFERROR(IF(OR(N(BG216)&lt;=Configuration!$C$56,N(AY216)&lt;Configuration!$C$57,N(BH216)&lt;=Configuration!$C$58),TRUE(),FALSE()),FALSE()))</f>
        <v>1</v>
      </c>
      <c r="DB216" s="50" t="b">
        <f aca="false">IF(Configuration!$C$41="No","",IFERROR(IF(AND(N(AY216)&gt;=Configuration!$C$54,N(AY216)&lt;=Configuration!$C$55),TRUE(),FALSE()),FALSE()))</f>
        <v>0</v>
      </c>
      <c r="DC216" s="50" t="b">
        <f aca="false">IF(Configuration!$C$42="No","",IFERROR(IF(AND(AG216&lt;&gt;"",AJ216&lt;&gt;""),TRUE(),FALSE()),FALSE()))</f>
        <v>0</v>
      </c>
      <c r="DD216" s="51" t="n">
        <f aca="false">COUNTIF(BW216:DC216,TRUE())</f>
        <v>2</v>
      </c>
    </row>
    <row r="217" customFormat="false" ht="15" hidden="false" customHeight="true" outlineLevel="0" collapsed="false">
      <c r="A217" s="18" t="n">
        <v>178</v>
      </c>
      <c r="B217" s="44"/>
      <c r="C217" s="44"/>
      <c r="D217" s="44"/>
      <c r="E217" s="44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6" t="str">
        <f aca="false">IFERROR(IF(F217&lt;&gt;"",F217,""),"")</f>
        <v/>
      </c>
      <c r="AF217" s="46" t="str">
        <f aca="false">IFERROR(IF(G217&lt;&gt;"",G217,""),"")</f>
        <v/>
      </c>
      <c r="AG217" s="46" t="str">
        <f aca="false">IFERROR(IF(AA217&lt;&gt;"",AA217,IF(R217&lt;&gt;"",R217,"")),"")</f>
        <v/>
      </c>
      <c r="AH217" s="46" t="str">
        <f aca="false">IFERROR(IF(AB217&lt;&gt;"",AB217,IF(S217&lt;&gt;"",S217,"")),"")</f>
        <v/>
      </c>
      <c r="AI217" s="47"/>
      <c r="AJ217" s="47"/>
      <c r="AK217" s="47"/>
      <c r="AL217" s="47"/>
      <c r="AM217" s="47"/>
      <c r="AN217" s="47"/>
      <c r="AO217" s="47"/>
      <c r="AP217" s="47"/>
      <c r="AQ217" s="46" t="str">
        <f aca="false">IFERROR(IF(Y217&lt;&gt;"",VALUE(Y217),""),"")</f>
        <v/>
      </c>
      <c r="AR217" s="47"/>
      <c r="AS217" s="47"/>
      <c r="AT217" s="47"/>
      <c r="AU217" s="47"/>
      <c r="AV217" s="46" t="str">
        <f aca="false">IFERROR(IF(T217&lt;&gt;"",VALUE(T217),""),"")</f>
        <v/>
      </c>
      <c r="AW217" s="46" t="str">
        <f aca="false">IFERROR(IF(N217="","",IF(OR(ISNUMBER(SEARCH("grant",N217)),ISNUMBER(SEARCH("B",AC217))),"Granted",IF(OR(ISNUMBER(SEARCH("pend",N217)),ISNUMBER(SEARCH("A",AC217))),"Pending",IF(ISNUMBER(SEARCH("expir",N217)),"Expired",N217)))),"")</f>
        <v/>
      </c>
      <c r="AX217" s="47"/>
      <c r="AY217" s="46" t="str">
        <f aca="true">IFERROR(IF(M217&lt;&gt;"",ROUND(VALUE(M217),1),IF(L217&lt;&gt;"",ROUND(MAX(0,(DATEVALUE(TEXT(L217,"YYYY-MM-DD"))-TODAY())/365.25),1),"")),"")</f>
        <v/>
      </c>
      <c r="AZ217" s="46" t="str">
        <f aca="false">IFERROR(IF(O217&lt;&gt;"",O217,""),"")</f>
        <v/>
      </c>
      <c r="BA217" s="46" t="str">
        <f aca="false">IFERROR(IF(U217&lt;&gt;"",SUBSTITUTE(SUBSTITUTE(U217,"; ",", "),";",","),""),"")</f>
        <v/>
      </c>
      <c r="BB217" s="47"/>
      <c r="BC217" s="47"/>
      <c r="BD217" s="47"/>
      <c r="BE217" s="47"/>
      <c r="BF217" s="47"/>
      <c r="BG217" s="47"/>
      <c r="BH217" s="47"/>
      <c r="BI217" s="47"/>
      <c r="BJ217" s="47"/>
      <c r="BK217" s="46" t="str">
        <f aca="false">IFERROR(IF(W217&lt;&gt;"",VALUE(W217),""),"")</f>
        <v/>
      </c>
      <c r="BL217" s="46" t="str">
        <f aca="false">IFERROR(IF(X217&lt;&gt;"",VALUE(X217),""),"")</f>
        <v/>
      </c>
      <c r="BM217" s="46" t="str">
        <f aca="false">IFERROR(IF(AD217="","None",IF(ISNUMBER(SEARCH("surv",AD217)),"Survived",IF(ISNUMBER(SEARCH("pend",AD217)),"Pending",IF(ISNUMBER(SEARCH("yes",AD217)),"Pending","None")))),"None")</f>
        <v>None</v>
      </c>
      <c r="BN217" s="47"/>
      <c r="BO217" s="47"/>
      <c r="BP217" s="47"/>
      <c r="BQ217" s="47"/>
      <c r="BR217" s="47"/>
      <c r="BS217" s="47"/>
      <c r="BT217" s="47"/>
      <c r="BU217" s="48" t="n">
        <f aca="false">IFERROR(COUNTA(AE217:BT217)/42,0)</f>
        <v>0.30952380952381</v>
      </c>
      <c r="BV217" s="49"/>
      <c r="BW217" s="50" t="b">
        <f aca="false">IF(Configuration!$C$10="No","",IFERROR(IF(AG217&lt;&gt;"",TRUE(),FALSE()),FALSE()))</f>
        <v>0</v>
      </c>
      <c r="BX217" s="50" t="b">
        <f aca="false">IF(Configuration!$C$11="No","",IFERROR(IF(AND(N(AL217)&gt;=Configuration!$C$44,AM217&lt;&gt;""),TRUE(),FALSE()),FALSE()))</f>
        <v>0</v>
      </c>
      <c r="BY217" s="50" t="b">
        <f aca="false">IF(Configuration!$C$12="No","",IFERROR(IF(AJ217&lt;&gt;"",TRUE(),FALSE()),FALSE()))</f>
        <v>0</v>
      </c>
      <c r="BZ217" s="50" t="b">
        <f aca="false">IF(Configuration!$C$13="No","",IFERROR(IF(AI217&lt;&gt;"",TRUE(),FALSE()),FALSE()))</f>
        <v>0</v>
      </c>
      <c r="CA217" s="50" t="b">
        <f aca="false">IF(Configuration!$C$14="No","",IFERROR(IF(AK217&lt;&gt;"",TRUE(),FALSE()),FALSE()))</f>
        <v>0</v>
      </c>
      <c r="CB217" s="50" t="b">
        <f aca="false">IF(Configuration!$C$15="No","",IFERROR(IF(AND(OR(ISNUMBER(SEARCH("process",AG217)),ISNUMBER(SEARCH("fab",AG217)),ISNUMBER(SEARCH("manufac",AG217))),AO217="Method"),TRUE(),FALSE()),FALSE()))</f>
        <v>0</v>
      </c>
      <c r="CC217" s="50" t="b">
        <f aca="false">IF(Configuration!$C$16="No","",IFERROR(IF(AND(OR(ISNUMBER(SEARCH("material",AG217)),ISNUMBER(SEARCH("chem",AG217)),ISNUMBER(SEARCH("battery",AG217)),ISNUMBER(SEARCH("electrolyte",AG217)),ISNUMBER(SEARCH("polymer",AG217))),OR(AO217="Apparatus",AO217="Method")),TRUE(),FALSE()),FALSE()))</f>
        <v>0</v>
      </c>
      <c r="CD217" s="50" t="b">
        <f aca="false">IF(Configuration!$C$17="No","",IFERROR(IF(AND(OR(AI217="App",AI217="Middleware",AI217="Cloud"),OR(AO217="Method",AO217="CRM")),TRUE(),FALSE()),FALSE()))</f>
        <v>0</v>
      </c>
      <c r="CE217" s="50" t="b">
        <f aca="false">IF(Configuration!$C$18="No","",IFERROR(IF(N(AN217)&gt;=Configuration!$C$45,TRUE(),FALSE()),FALSE()))</f>
        <v>0</v>
      </c>
      <c r="CF217" s="50" t="b">
        <f aca="false">IF(Configuration!$C$19="No","",IFERROR(IF(BE217&lt;&gt;"",TRUE(),FALSE()),FALSE()))</f>
        <v>0</v>
      </c>
      <c r="CG217" s="50" t="b">
        <f aca="false">IF(Configuration!$C$20="No","",IFERROR(IF(AO217&lt;&gt;"",TRUE(),FALSE()),FALSE()))</f>
        <v>0</v>
      </c>
      <c r="CH217" s="50" t="b">
        <f aca="false">IF(Configuration!$C$21="No","",IFERROR(IF(OR(N(AS217)&gt;=Configuration!$C$46,N(AT217)&gt;=Configuration!$C$47),TRUE(),FALSE()),FALSE()))</f>
        <v>0</v>
      </c>
      <c r="CI217" s="50" t="b">
        <f aca="false">IF(Configuration!$C$22="No","",IFERROR(IF(BB217="Yes",TRUE(),FALSE()),FALSE()))</f>
        <v>0</v>
      </c>
      <c r="CJ217" s="50" t="b">
        <f aca="false">IF(Configuration!$C$23="No","",IFERROR(IF(N(AV217)&gt;=Configuration!$C$48,TRUE(),FALSE()),FALSE()))</f>
        <v>0</v>
      </c>
      <c r="CK217" s="50" t="b">
        <f aca="false">IF(Configuration!$C$24="No","",IFERROR(IF(N(AY217)&gt;0,TRUE(),FALSE()),FALSE()))</f>
        <v>0</v>
      </c>
      <c r="CL217" s="50" t="b">
        <f aca="false">IF(Configuration!$C$25="No","",IFERROR(IF(OR(N(AP217)=3,N(AP217)&lt;=1),TRUE(),FALSE()),FALSE()))</f>
        <v>1</v>
      </c>
      <c r="CM217" s="50" t="b">
        <f aca="false">IF(Configuration!$C$26="No","",IFERROR(IF(N(BF217)&gt;=Configuration!$C$49,TRUE(),FALSE()),FALSE()))</f>
        <v>0</v>
      </c>
      <c r="CN217" s="50" t="b">
        <f aca="false">IF(Configuration!$C$27="No","",IFERROR(IF(BD217&lt;&gt;"",TRUE(),FALSE()),FALSE()))</f>
        <v>0</v>
      </c>
      <c r="CO217" s="50" t="b">
        <f aca="false">IF(Configuration!$C$28="No","",IFERROR(IF(N(AU217)&gt;=Configuration!$C$50,TRUE(),FALSE()),FALSE()))</f>
        <v>0</v>
      </c>
      <c r="CP217" s="50" t="b">
        <f aca="false">IF(Configuration!$C$29="No","",IFERROR(IF(AND(N(AR217)&gt;=Configuration!$C$51,AG217&lt;&gt;""),TRUE(),FALSE()),FALSE()))</f>
        <v>0</v>
      </c>
      <c r="CQ217" s="50" t="b">
        <f aca="false">IF(Configuration!$C$30="No","",IFERROR(IF(OR(AW217="Pending",AX217="Yes"),TRUE(),FALSE()),FALSE()))</f>
        <v>0</v>
      </c>
      <c r="CR217" s="50" t="b">
        <f aca="false">IF(Configuration!$C$31="No","",IFERROR(IF(AND(N(BG217)&gt;=Configuration!$C$52,N(AP217)&gt;=1),TRUE(),FALSE()),FALSE()))</f>
        <v>0</v>
      </c>
      <c r="CS217" s="50" t="b">
        <f aca="false">IF(Configuration!$C$32="No","",IFERROR(IF(AND(N(AR217)&gt;=1,OR(AG217&lt;&gt;"",AM217&lt;&gt;"")),TRUE(),FALSE()),FALSE()))</f>
        <v>0</v>
      </c>
      <c r="CT217" s="50" t="b">
        <f aca="false">IF(Configuration!$C$33="No","",IFERROR(IF(AG217&lt;&gt;"",TRUE(),FALSE()),FALSE()))</f>
        <v>0</v>
      </c>
      <c r="CU217" s="50" t="b">
        <f aca="false">IF(Configuration!$C$34="No","",IFERROR(IF(AX217="Yes",TRUE(),FALSE()),FALSE()))</f>
        <v>0</v>
      </c>
      <c r="CV217" s="50" t="b">
        <f aca="false">IF(Configuration!$C$35="No","",IFERROR(IF(OR(BO217="Partial",BO217="Full"),TRUE(),FALSE()),FALSE()))</f>
        <v>0</v>
      </c>
      <c r="CW217" s="50" t="b">
        <f aca="false">IF(Configuration!$C$36="No","",IFERROR(IF(BM217="Survived",TRUE(),FALSE()),FALSE()))</f>
        <v>0</v>
      </c>
      <c r="CX217" s="50" t="b">
        <f aca="false">IF(Configuration!$C$37="No","",IFERROR(IF(AND(BN217="Clean",BP217="None"),TRUE(),FALSE()),FALSE()))</f>
        <v>0</v>
      </c>
      <c r="CY217" s="50" t="b">
        <f aca="false">IF(Configuration!$C$38="No","",IFERROR(IF(N(BK217)&gt;=Configuration!$C$53,TRUE(),FALSE()),FALSE()))</f>
        <v>0</v>
      </c>
      <c r="CZ217" s="50" t="b">
        <f aca="false">IF(Configuration!$C$39="No","",IFERROR(IF(AND(N(BS217)&gt;=2,N(BF217)&gt;=2),TRUE(),FALSE()),FALSE()))</f>
        <v>0</v>
      </c>
      <c r="DA217" s="50" t="b">
        <f aca="false">IF(Configuration!$C$40="No","",IFERROR(IF(OR(N(BG217)&lt;=Configuration!$C$56,N(AY217)&lt;Configuration!$C$57,N(BH217)&lt;=Configuration!$C$58),TRUE(),FALSE()),FALSE()))</f>
        <v>1</v>
      </c>
      <c r="DB217" s="50" t="b">
        <f aca="false">IF(Configuration!$C$41="No","",IFERROR(IF(AND(N(AY217)&gt;=Configuration!$C$54,N(AY217)&lt;=Configuration!$C$55),TRUE(),FALSE()),FALSE()))</f>
        <v>0</v>
      </c>
      <c r="DC217" s="50" t="b">
        <f aca="false">IF(Configuration!$C$42="No","",IFERROR(IF(AND(AG217&lt;&gt;"",AJ217&lt;&gt;""),TRUE(),FALSE()),FALSE()))</f>
        <v>0</v>
      </c>
      <c r="DD217" s="51" t="n">
        <f aca="false">COUNTIF(BW217:DC217,TRUE())</f>
        <v>2</v>
      </c>
    </row>
    <row r="218" customFormat="false" ht="15" hidden="false" customHeight="true" outlineLevel="0" collapsed="false">
      <c r="A218" s="18" t="n">
        <v>179</v>
      </c>
      <c r="B218" s="44"/>
      <c r="C218" s="44"/>
      <c r="D218" s="44"/>
      <c r="E218" s="44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6" t="str">
        <f aca="false">IFERROR(IF(F218&lt;&gt;"",F218,""),"")</f>
        <v/>
      </c>
      <c r="AF218" s="46" t="str">
        <f aca="false">IFERROR(IF(G218&lt;&gt;"",G218,""),"")</f>
        <v/>
      </c>
      <c r="AG218" s="46" t="str">
        <f aca="false">IFERROR(IF(AA218&lt;&gt;"",AA218,IF(R218&lt;&gt;"",R218,"")),"")</f>
        <v/>
      </c>
      <c r="AH218" s="46" t="str">
        <f aca="false">IFERROR(IF(AB218&lt;&gt;"",AB218,IF(S218&lt;&gt;"",S218,"")),"")</f>
        <v/>
      </c>
      <c r="AI218" s="47"/>
      <c r="AJ218" s="47"/>
      <c r="AK218" s="47"/>
      <c r="AL218" s="47"/>
      <c r="AM218" s="47"/>
      <c r="AN218" s="47"/>
      <c r="AO218" s="47"/>
      <c r="AP218" s="47"/>
      <c r="AQ218" s="46" t="str">
        <f aca="false">IFERROR(IF(Y218&lt;&gt;"",VALUE(Y218),""),"")</f>
        <v/>
      </c>
      <c r="AR218" s="47"/>
      <c r="AS218" s="47"/>
      <c r="AT218" s="47"/>
      <c r="AU218" s="47"/>
      <c r="AV218" s="46" t="str">
        <f aca="false">IFERROR(IF(T218&lt;&gt;"",VALUE(T218),""),"")</f>
        <v/>
      </c>
      <c r="AW218" s="46" t="str">
        <f aca="false">IFERROR(IF(N218="","",IF(OR(ISNUMBER(SEARCH("grant",N218)),ISNUMBER(SEARCH("B",AC218))),"Granted",IF(OR(ISNUMBER(SEARCH("pend",N218)),ISNUMBER(SEARCH("A",AC218))),"Pending",IF(ISNUMBER(SEARCH("expir",N218)),"Expired",N218)))),"")</f>
        <v/>
      </c>
      <c r="AX218" s="47"/>
      <c r="AY218" s="46" t="str">
        <f aca="true">IFERROR(IF(M218&lt;&gt;"",ROUND(VALUE(M218),1),IF(L218&lt;&gt;"",ROUND(MAX(0,(DATEVALUE(TEXT(L218,"YYYY-MM-DD"))-TODAY())/365.25),1),"")),"")</f>
        <v/>
      </c>
      <c r="AZ218" s="46" t="str">
        <f aca="false">IFERROR(IF(O218&lt;&gt;"",O218,""),"")</f>
        <v/>
      </c>
      <c r="BA218" s="46" t="str">
        <f aca="false">IFERROR(IF(U218&lt;&gt;"",SUBSTITUTE(SUBSTITUTE(U218,"; ",", "),";",","),""),"")</f>
        <v/>
      </c>
      <c r="BB218" s="47"/>
      <c r="BC218" s="47"/>
      <c r="BD218" s="47"/>
      <c r="BE218" s="47"/>
      <c r="BF218" s="47"/>
      <c r="BG218" s="47"/>
      <c r="BH218" s="47"/>
      <c r="BI218" s="47"/>
      <c r="BJ218" s="47"/>
      <c r="BK218" s="46" t="str">
        <f aca="false">IFERROR(IF(W218&lt;&gt;"",VALUE(W218),""),"")</f>
        <v/>
      </c>
      <c r="BL218" s="46" t="str">
        <f aca="false">IFERROR(IF(X218&lt;&gt;"",VALUE(X218),""),"")</f>
        <v/>
      </c>
      <c r="BM218" s="46" t="str">
        <f aca="false">IFERROR(IF(AD218="","None",IF(ISNUMBER(SEARCH("surv",AD218)),"Survived",IF(ISNUMBER(SEARCH("pend",AD218)),"Pending",IF(ISNUMBER(SEARCH("yes",AD218)),"Pending","None")))),"None")</f>
        <v>None</v>
      </c>
      <c r="BN218" s="47"/>
      <c r="BO218" s="47"/>
      <c r="BP218" s="47"/>
      <c r="BQ218" s="47"/>
      <c r="BR218" s="47"/>
      <c r="BS218" s="47"/>
      <c r="BT218" s="47"/>
      <c r="BU218" s="48" t="n">
        <f aca="false">IFERROR(COUNTA(AE218:BT218)/42,0)</f>
        <v>0.30952380952381</v>
      </c>
      <c r="BV218" s="49"/>
      <c r="BW218" s="50" t="b">
        <f aca="false">IF(Configuration!$C$10="No","",IFERROR(IF(AG218&lt;&gt;"",TRUE(),FALSE()),FALSE()))</f>
        <v>0</v>
      </c>
      <c r="BX218" s="50" t="b">
        <f aca="false">IF(Configuration!$C$11="No","",IFERROR(IF(AND(N(AL218)&gt;=Configuration!$C$44,AM218&lt;&gt;""),TRUE(),FALSE()),FALSE()))</f>
        <v>0</v>
      </c>
      <c r="BY218" s="50" t="b">
        <f aca="false">IF(Configuration!$C$12="No","",IFERROR(IF(AJ218&lt;&gt;"",TRUE(),FALSE()),FALSE()))</f>
        <v>0</v>
      </c>
      <c r="BZ218" s="50" t="b">
        <f aca="false">IF(Configuration!$C$13="No","",IFERROR(IF(AI218&lt;&gt;"",TRUE(),FALSE()),FALSE()))</f>
        <v>0</v>
      </c>
      <c r="CA218" s="50" t="b">
        <f aca="false">IF(Configuration!$C$14="No","",IFERROR(IF(AK218&lt;&gt;"",TRUE(),FALSE()),FALSE()))</f>
        <v>0</v>
      </c>
      <c r="CB218" s="50" t="b">
        <f aca="false">IF(Configuration!$C$15="No","",IFERROR(IF(AND(OR(ISNUMBER(SEARCH("process",AG218)),ISNUMBER(SEARCH("fab",AG218)),ISNUMBER(SEARCH("manufac",AG218))),AO218="Method"),TRUE(),FALSE()),FALSE()))</f>
        <v>0</v>
      </c>
      <c r="CC218" s="50" t="b">
        <f aca="false">IF(Configuration!$C$16="No","",IFERROR(IF(AND(OR(ISNUMBER(SEARCH("material",AG218)),ISNUMBER(SEARCH("chem",AG218)),ISNUMBER(SEARCH("battery",AG218)),ISNUMBER(SEARCH("electrolyte",AG218)),ISNUMBER(SEARCH("polymer",AG218))),OR(AO218="Apparatus",AO218="Method")),TRUE(),FALSE()),FALSE()))</f>
        <v>0</v>
      </c>
      <c r="CD218" s="50" t="b">
        <f aca="false">IF(Configuration!$C$17="No","",IFERROR(IF(AND(OR(AI218="App",AI218="Middleware",AI218="Cloud"),OR(AO218="Method",AO218="CRM")),TRUE(),FALSE()),FALSE()))</f>
        <v>0</v>
      </c>
      <c r="CE218" s="50" t="b">
        <f aca="false">IF(Configuration!$C$18="No","",IFERROR(IF(N(AN218)&gt;=Configuration!$C$45,TRUE(),FALSE()),FALSE()))</f>
        <v>0</v>
      </c>
      <c r="CF218" s="50" t="b">
        <f aca="false">IF(Configuration!$C$19="No","",IFERROR(IF(BE218&lt;&gt;"",TRUE(),FALSE()),FALSE()))</f>
        <v>0</v>
      </c>
      <c r="CG218" s="50" t="b">
        <f aca="false">IF(Configuration!$C$20="No","",IFERROR(IF(AO218&lt;&gt;"",TRUE(),FALSE()),FALSE()))</f>
        <v>0</v>
      </c>
      <c r="CH218" s="50" t="b">
        <f aca="false">IF(Configuration!$C$21="No","",IFERROR(IF(OR(N(AS218)&gt;=Configuration!$C$46,N(AT218)&gt;=Configuration!$C$47),TRUE(),FALSE()),FALSE()))</f>
        <v>0</v>
      </c>
      <c r="CI218" s="50" t="b">
        <f aca="false">IF(Configuration!$C$22="No","",IFERROR(IF(BB218="Yes",TRUE(),FALSE()),FALSE()))</f>
        <v>0</v>
      </c>
      <c r="CJ218" s="50" t="b">
        <f aca="false">IF(Configuration!$C$23="No","",IFERROR(IF(N(AV218)&gt;=Configuration!$C$48,TRUE(),FALSE()),FALSE()))</f>
        <v>0</v>
      </c>
      <c r="CK218" s="50" t="b">
        <f aca="false">IF(Configuration!$C$24="No","",IFERROR(IF(N(AY218)&gt;0,TRUE(),FALSE()),FALSE()))</f>
        <v>0</v>
      </c>
      <c r="CL218" s="50" t="b">
        <f aca="false">IF(Configuration!$C$25="No","",IFERROR(IF(OR(N(AP218)=3,N(AP218)&lt;=1),TRUE(),FALSE()),FALSE()))</f>
        <v>1</v>
      </c>
      <c r="CM218" s="50" t="b">
        <f aca="false">IF(Configuration!$C$26="No","",IFERROR(IF(N(BF218)&gt;=Configuration!$C$49,TRUE(),FALSE()),FALSE()))</f>
        <v>0</v>
      </c>
      <c r="CN218" s="50" t="b">
        <f aca="false">IF(Configuration!$C$27="No","",IFERROR(IF(BD218&lt;&gt;"",TRUE(),FALSE()),FALSE()))</f>
        <v>0</v>
      </c>
      <c r="CO218" s="50" t="b">
        <f aca="false">IF(Configuration!$C$28="No","",IFERROR(IF(N(AU218)&gt;=Configuration!$C$50,TRUE(),FALSE()),FALSE()))</f>
        <v>0</v>
      </c>
      <c r="CP218" s="50" t="b">
        <f aca="false">IF(Configuration!$C$29="No","",IFERROR(IF(AND(N(AR218)&gt;=Configuration!$C$51,AG218&lt;&gt;""),TRUE(),FALSE()),FALSE()))</f>
        <v>0</v>
      </c>
      <c r="CQ218" s="50" t="b">
        <f aca="false">IF(Configuration!$C$30="No","",IFERROR(IF(OR(AW218="Pending",AX218="Yes"),TRUE(),FALSE()),FALSE()))</f>
        <v>0</v>
      </c>
      <c r="CR218" s="50" t="b">
        <f aca="false">IF(Configuration!$C$31="No","",IFERROR(IF(AND(N(BG218)&gt;=Configuration!$C$52,N(AP218)&gt;=1),TRUE(),FALSE()),FALSE()))</f>
        <v>0</v>
      </c>
      <c r="CS218" s="50" t="b">
        <f aca="false">IF(Configuration!$C$32="No","",IFERROR(IF(AND(N(AR218)&gt;=1,OR(AG218&lt;&gt;"",AM218&lt;&gt;"")),TRUE(),FALSE()),FALSE()))</f>
        <v>0</v>
      </c>
      <c r="CT218" s="50" t="b">
        <f aca="false">IF(Configuration!$C$33="No","",IFERROR(IF(AG218&lt;&gt;"",TRUE(),FALSE()),FALSE()))</f>
        <v>0</v>
      </c>
      <c r="CU218" s="50" t="b">
        <f aca="false">IF(Configuration!$C$34="No","",IFERROR(IF(AX218="Yes",TRUE(),FALSE()),FALSE()))</f>
        <v>0</v>
      </c>
      <c r="CV218" s="50" t="b">
        <f aca="false">IF(Configuration!$C$35="No","",IFERROR(IF(OR(BO218="Partial",BO218="Full"),TRUE(),FALSE()),FALSE()))</f>
        <v>0</v>
      </c>
      <c r="CW218" s="50" t="b">
        <f aca="false">IF(Configuration!$C$36="No","",IFERROR(IF(BM218="Survived",TRUE(),FALSE()),FALSE()))</f>
        <v>0</v>
      </c>
      <c r="CX218" s="50" t="b">
        <f aca="false">IF(Configuration!$C$37="No","",IFERROR(IF(AND(BN218="Clean",BP218="None"),TRUE(),FALSE()),FALSE()))</f>
        <v>0</v>
      </c>
      <c r="CY218" s="50" t="b">
        <f aca="false">IF(Configuration!$C$38="No","",IFERROR(IF(N(BK218)&gt;=Configuration!$C$53,TRUE(),FALSE()),FALSE()))</f>
        <v>0</v>
      </c>
      <c r="CZ218" s="50" t="b">
        <f aca="false">IF(Configuration!$C$39="No","",IFERROR(IF(AND(N(BS218)&gt;=2,N(BF218)&gt;=2),TRUE(),FALSE()),FALSE()))</f>
        <v>0</v>
      </c>
      <c r="DA218" s="50" t="b">
        <f aca="false">IF(Configuration!$C$40="No","",IFERROR(IF(OR(N(BG218)&lt;=Configuration!$C$56,N(AY218)&lt;Configuration!$C$57,N(BH218)&lt;=Configuration!$C$58),TRUE(),FALSE()),FALSE()))</f>
        <v>1</v>
      </c>
      <c r="DB218" s="50" t="b">
        <f aca="false">IF(Configuration!$C$41="No","",IFERROR(IF(AND(N(AY218)&gt;=Configuration!$C$54,N(AY218)&lt;=Configuration!$C$55),TRUE(),FALSE()),FALSE()))</f>
        <v>0</v>
      </c>
      <c r="DC218" s="50" t="b">
        <f aca="false">IF(Configuration!$C$42="No","",IFERROR(IF(AND(AG218&lt;&gt;"",AJ218&lt;&gt;""),TRUE(),FALSE()),FALSE()))</f>
        <v>0</v>
      </c>
      <c r="DD218" s="51" t="n">
        <f aca="false">COUNTIF(BW218:DC218,TRUE())</f>
        <v>2</v>
      </c>
    </row>
    <row r="219" customFormat="false" ht="15" hidden="false" customHeight="true" outlineLevel="0" collapsed="false">
      <c r="A219" s="18" t="n">
        <v>180</v>
      </c>
      <c r="B219" s="44"/>
      <c r="C219" s="44"/>
      <c r="D219" s="44"/>
      <c r="E219" s="44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6" t="str">
        <f aca="false">IFERROR(IF(F219&lt;&gt;"",F219,""),"")</f>
        <v/>
      </c>
      <c r="AF219" s="46" t="str">
        <f aca="false">IFERROR(IF(G219&lt;&gt;"",G219,""),"")</f>
        <v/>
      </c>
      <c r="AG219" s="46" t="str">
        <f aca="false">IFERROR(IF(AA219&lt;&gt;"",AA219,IF(R219&lt;&gt;"",R219,"")),"")</f>
        <v/>
      </c>
      <c r="AH219" s="46" t="str">
        <f aca="false">IFERROR(IF(AB219&lt;&gt;"",AB219,IF(S219&lt;&gt;"",S219,"")),"")</f>
        <v/>
      </c>
      <c r="AI219" s="47"/>
      <c r="AJ219" s="47"/>
      <c r="AK219" s="47"/>
      <c r="AL219" s="47"/>
      <c r="AM219" s="47"/>
      <c r="AN219" s="47"/>
      <c r="AO219" s="47"/>
      <c r="AP219" s="47"/>
      <c r="AQ219" s="46" t="str">
        <f aca="false">IFERROR(IF(Y219&lt;&gt;"",VALUE(Y219),""),"")</f>
        <v/>
      </c>
      <c r="AR219" s="47"/>
      <c r="AS219" s="47"/>
      <c r="AT219" s="47"/>
      <c r="AU219" s="47"/>
      <c r="AV219" s="46" t="str">
        <f aca="false">IFERROR(IF(T219&lt;&gt;"",VALUE(T219),""),"")</f>
        <v/>
      </c>
      <c r="AW219" s="46" t="str">
        <f aca="false">IFERROR(IF(N219="","",IF(OR(ISNUMBER(SEARCH("grant",N219)),ISNUMBER(SEARCH("B",AC219))),"Granted",IF(OR(ISNUMBER(SEARCH("pend",N219)),ISNUMBER(SEARCH("A",AC219))),"Pending",IF(ISNUMBER(SEARCH("expir",N219)),"Expired",N219)))),"")</f>
        <v/>
      </c>
      <c r="AX219" s="47"/>
      <c r="AY219" s="46" t="str">
        <f aca="true">IFERROR(IF(M219&lt;&gt;"",ROUND(VALUE(M219),1),IF(L219&lt;&gt;"",ROUND(MAX(0,(DATEVALUE(TEXT(L219,"YYYY-MM-DD"))-TODAY())/365.25),1),"")),"")</f>
        <v/>
      </c>
      <c r="AZ219" s="46" t="str">
        <f aca="false">IFERROR(IF(O219&lt;&gt;"",O219,""),"")</f>
        <v/>
      </c>
      <c r="BA219" s="46" t="str">
        <f aca="false">IFERROR(IF(U219&lt;&gt;"",SUBSTITUTE(SUBSTITUTE(U219,"; ",", "),";",","),""),"")</f>
        <v/>
      </c>
      <c r="BB219" s="47"/>
      <c r="BC219" s="47"/>
      <c r="BD219" s="47"/>
      <c r="BE219" s="47"/>
      <c r="BF219" s="47"/>
      <c r="BG219" s="47"/>
      <c r="BH219" s="47"/>
      <c r="BI219" s="47"/>
      <c r="BJ219" s="47"/>
      <c r="BK219" s="46" t="str">
        <f aca="false">IFERROR(IF(W219&lt;&gt;"",VALUE(W219),""),"")</f>
        <v/>
      </c>
      <c r="BL219" s="46" t="str">
        <f aca="false">IFERROR(IF(X219&lt;&gt;"",VALUE(X219),""),"")</f>
        <v/>
      </c>
      <c r="BM219" s="46" t="str">
        <f aca="false">IFERROR(IF(AD219="","None",IF(ISNUMBER(SEARCH("surv",AD219)),"Survived",IF(ISNUMBER(SEARCH("pend",AD219)),"Pending",IF(ISNUMBER(SEARCH("yes",AD219)),"Pending","None")))),"None")</f>
        <v>None</v>
      </c>
      <c r="BN219" s="47"/>
      <c r="BO219" s="47"/>
      <c r="BP219" s="47"/>
      <c r="BQ219" s="47"/>
      <c r="BR219" s="47"/>
      <c r="BS219" s="47"/>
      <c r="BT219" s="47"/>
      <c r="BU219" s="48" t="n">
        <f aca="false">IFERROR(COUNTA(AE219:BT219)/42,0)</f>
        <v>0.30952380952381</v>
      </c>
      <c r="BV219" s="49"/>
      <c r="BW219" s="50" t="b">
        <f aca="false">IF(Configuration!$C$10="No","",IFERROR(IF(AG219&lt;&gt;"",TRUE(),FALSE()),FALSE()))</f>
        <v>0</v>
      </c>
      <c r="BX219" s="50" t="b">
        <f aca="false">IF(Configuration!$C$11="No","",IFERROR(IF(AND(N(AL219)&gt;=Configuration!$C$44,AM219&lt;&gt;""),TRUE(),FALSE()),FALSE()))</f>
        <v>0</v>
      </c>
      <c r="BY219" s="50" t="b">
        <f aca="false">IF(Configuration!$C$12="No","",IFERROR(IF(AJ219&lt;&gt;"",TRUE(),FALSE()),FALSE()))</f>
        <v>0</v>
      </c>
      <c r="BZ219" s="50" t="b">
        <f aca="false">IF(Configuration!$C$13="No","",IFERROR(IF(AI219&lt;&gt;"",TRUE(),FALSE()),FALSE()))</f>
        <v>0</v>
      </c>
      <c r="CA219" s="50" t="b">
        <f aca="false">IF(Configuration!$C$14="No","",IFERROR(IF(AK219&lt;&gt;"",TRUE(),FALSE()),FALSE()))</f>
        <v>0</v>
      </c>
      <c r="CB219" s="50" t="b">
        <f aca="false">IF(Configuration!$C$15="No","",IFERROR(IF(AND(OR(ISNUMBER(SEARCH("process",AG219)),ISNUMBER(SEARCH("fab",AG219)),ISNUMBER(SEARCH("manufac",AG219))),AO219="Method"),TRUE(),FALSE()),FALSE()))</f>
        <v>0</v>
      </c>
      <c r="CC219" s="50" t="b">
        <f aca="false">IF(Configuration!$C$16="No","",IFERROR(IF(AND(OR(ISNUMBER(SEARCH("material",AG219)),ISNUMBER(SEARCH("chem",AG219)),ISNUMBER(SEARCH("battery",AG219)),ISNUMBER(SEARCH("electrolyte",AG219)),ISNUMBER(SEARCH("polymer",AG219))),OR(AO219="Apparatus",AO219="Method")),TRUE(),FALSE()),FALSE()))</f>
        <v>0</v>
      </c>
      <c r="CD219" s="50" t="b">
        <f aca="false">IF(Configuration!$C$17="No","",IFERROR(IF(AND(OR(AI219="App",AI219="Middleware",AI219="Cloud"),OR(AO219="Method",AO219="CRM")),TRUE(),FALSE()),FALSE()))</f>
        <v>0</v>
      </c>
      <c r="CE219" s="50" t="b">
        <f aca="false">IF(Configuration!$C$18="No","",IFERROR(IF(N(AN219)&gt;=Configuration!$C$45,TRUE(),FALSE()),FALSE()))</f>
        <v>0</v>
      </c>
      <c r="CF219" s="50" t="b">
        <f aca="false">IF(Configuration!$C$19="No","",IFERROR(IF(BE219&lt;&gt;"",TRUE(),FALSE()),FALSE()))</f>
        <v>0</v>
      </c>
      <c r="CG219" s="50" t="b">
        <f aca="false">IF(Configuration!$C$20="No","",IFERROR(IF(AO219&lt;&gt;"",TRUE(),FALSE()),FALSE()))</f>
        <v>0</v>
      </c>
      <c r="CH219" s="50" t="b">
        <f aca="false">IF(Configuration!$C$21="No","",IFERROR(IF(OR(N(AS219)&gt;=Configuration!$C$46,N(AT219)&gt;=Configuration!$C$47),TRUE(),FALSE()),FALSE()))</f>
        <v>0</v>
      </c>
      <c r="CI219" s="50" t="b">
        <f aca="false">IF(Configuration!$C$22="No","",IFERROR(IF(BB219="Yes",TRUE(),FALSE()),FALSE()))</f>
        <v>0</v>
      </c>
      <c r="CJ219" s="50" t="b">
        <f aca="false">IF(Configuration!$C$23="No","",IFERROR(IF(N(AV219)&gt;=Configuration!$C$48,TRUE(),FALSE()),FALSE()))</f>
        <v>0</v>
      </c>
      <c r="CK219" s="50" t="b">
        <f aca="false">IF(Configuration!$C$24="No","",IFERROR(IF(N(AY219)&gt;0,TRUE(),FALSE()),FALSE()))</f>
        <v>0</v>
      </c>
      <c r="CL219" s="50" t="b">
        <f aca="false">IF(Configuration!$C$25="No","",IFERROR(IF(OR(N(AP219)=3,N(AP219)&lt;=1),TRUE(),FALSE()),FALSE()))</f>
        <v>1</v>
      </c>
      <c r="CM219" s="50" t="b">
        <f aca="false">IF(Configuration!$C$26="No","",IFERROR(IF(N(BF219)&gt;=Configuration!$C$49,TRUE(),FALSE()),FALSE()))</f>
        <v>0</v>
      </c>
      <c r="CN219" s="50" t="b">
        <f aca="false">IF(Configuration!$C$27="No","",IFERROR(IF(BD219&lt;&gt;"",TRUE(),FALSE()),FALSE()))</f>
        <v>0</v>
      </c>
      <c r="CO219" s="50" t="b">
        <f aca="false">IF(Configuration!$C$28="No","",IFERROR(IF(N(AU219)&gt;=Configuration!$C$50,TRUE(),FALSE()),FALSE()))</f>
        <v>0</v>
      </c>
      <c r="CP219" s="50" t="b">
        <f aca="false">IF(Configuration!$C$29="No","",IFERROR(IF(AND(N(AR219)&gt;=Configuration!$C$51,AG219&lt;&gt;""),TRUE(),FALSE()),FALSE()))</f>
        <v>0</v>
      </c>
      <c r="CQ219" s="50" t="b">
        <f aca="false">IF(Configuration!$C$30="No","",IFERROR(IF(OR(AW219="Pending",AX219="Yes"),TRUE(),FALSE()),FALSE()))</f>
        <v>0</v>
      </c>
      <c r="CR219" s="50" t="b">
        <f aca="false">IF(Configuration!$C$31="No","",IFERROR(IF(AND(N(BG219)&gt;=Configuration!$C$52,N(AP219)&gt;=1),TRUE(),FALSE()),FALSE()))</f>
        <v>0</v>
      </c>
      <c r="CS219" s="50" t="b">
        <f aca="false">IF(Configuration!$C$32="No","",IFERROR(IF(AND(N(AR219)&gt;=1,OR(AG219&lt;&gt;"",AM219&lt;&gt;"")),TRUE(),FALSE()),FALSE()))</f>
        <v>0</v>
      </c>
      <c r="CT219" s="50" t="b">
        <f aca="false">IF(Configuration!$C$33="No","",IFERROR(IF(AG219&lt;&gt;"",TRUE(),FALSE()),FALSE()))</f>
        <v>0</v>
      </c>
      <c r="CU219" s="50" t="b">
        <f aca="false">IF(Configuration!$C$34="No","",IFERROR(IF(AX219="Yes",TRUE(),FALSE()),FALSE()))</f>
        <v>0</v>
      </c>
      <c r="CV219" s="50" t="b">
        <f aca="false">IF(Configuration!$C$35="No","",IFERROR(IF(OR(BO219="Partial",BO219="Full"),TRUE(),FALSE()),FALSE()))</f>
        <v>0</v>
      </c>
      <c r="CW219" s="50" t="b">
        <f aca="false">IF(Configuration!$C$36="No","",IFERROR(IF(BM219="Survived",TRUE(),FALSE()),FALSE()))</f>
        <v>0</v>
      </c>
      <c r="CX219" s="50" t="b">
        <f aca="false">IF(Configuration!$C$37="No","",IFERROR(IF(AND(BN219="Clean",BP219="None"),TRUE(),FALSE()),FALSE()))</f>
        <v>0</v>
      </c>
      <c r="CY219" s="50" t="b">
        <f aca="false">IF(Configuration!$C$38="No","",IFERROR(IF(N(BK219)&gt;=Configuration!$C$53,TRUE(),FALSE()),FALSE()))</f>
        <v>0</v>
      </c>
      <c r="CZ219" s="50" t="b">
        <f aca="false">IF(Configuration!$C$39="No","",IFERROR(IF(AND(N(BS219)&gt;=2,N(BF219)&gt;=2),TRUE(),FALSE()),FALSE()))</f>
        <v>0</v>
      </c>
      <c r="DA219" s="50" t="b">
        <f aca="false">IF(Configuration!$C$40="No","",IFERROR(IF(OR(N(BG219)&lt;=Configuration!$C$56,N(AY219)&lt;Configuration!$C$57,N(BH219)&lt;=Configuration!$C$58),TRUE(),FALSE()),FALSE()))</f>
        <v>1</v>
      </c>
      <c r="DB219" s="50" t="b">
        <f aca="false">IF(Configuration!$C$41="No","",IFERROR(IF(AND(N(AY219)&gt;=Configuration!$C$54,N(AY219)&lt;=Configuration!$C$55),TRUE(),FALSE()),FALSE()))</f>
        <v>0</v>
      </c>
      <c r="DC219" s="50" t="b">
        <f aca="false">IF(Configuration!$C$42="No","",IFERROR(IF(AND(AG219&lt;&gt;"",AJ219&lt;&gt;""),TRUE(),FALSE()),FALSE()))</f>
        <v>0</v>
      </c>
      <c r="DD219" s="51" t="n">
        <f aca="false">COUNTIF(BW219:DC219,TRUE())</f>
        <v>2</v>
      </c>
    </row>
    <row r="220" customFormat="false" ht="15" hidden="false" customHeight="true" outlineLevel="0" collapsed="false">
      <c r="A220" s="18" t="n">
        <v>181</v>
      </c>
      <c r="B220" s="44"/>
      <c r="C220" s="44"/>
      <c r="D220" s="44"/>
      <c r="E220" s="44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6" t="str">
        <f aca="false">IFERROR(IF(F220&lt;&gt;"",F220,""),"")</f>
        <v/>
      </c>
      <c r="AF220" s="46" t="str">
        <f aca="false">IFERROR(IF(G220&lt;&gt;"",G220,""),"")</f>
        <v/>
      </c>
      <c r="AG220" s="46" t="str">
        <f aca="false">IFERROR(IF(AA220&lt;&gt;"",AA220,IF(R220&lt;&gt;"",R220,"")),"")</f>
        <v/>
      </c>
      <c r="AH220" s="46" t="str">
        <f aca="false">IFERROR(IF(AB220&lt;&gt;"",AB220,IF(S220&lt;&gt;"",S220,"")),"")</f>
        <v/>
      </c>
      <c r="AI220" s="47"/>
      <c r="AJ220" s="47"/>
      <c r="AK220" s="47"/>
      <c r="AL220" s="47"/>
      <c r="AM220" s="47"/>
      <c r="AN220" s="47"/>
      <c r="AO220" s="47"/>
      <c r="AP220" s="47"/>
      <c r="AQ220" s="46" t="str">
        <f aca="false">IFERROR(IF(Y220&lt;&gt;"",VALUE(Y220),""),"")</f>
        <v/>
      </c>
      <c r="AR220" s="47"/>
      <c r="AS220" s="47"/>
      <c r="AT220" s="47"/>
      <c r="AU220" s="47"/>
      <c r="AV220" s="46" t="str">
        <f aca="false">IFERROR(IF(T220&lt;&gt;"",VALUE(T220),""),"")</f>
        <v/>
      </c>
      <c r="AW220" s="46" t="str">
        <f aca="false">IFERROR(IF(N220="","",IF(OR(ISNUMBER(SEARCH("grant",N220)),ISNUMBER(SEARCH("B",AC220))),"Granted",IF(OR(ISNUMBER(SEARCH("pend",N220)),ISNUMBER(SEARCH("A",AC220))),"Pending",IF(ISNUMBER(SEARCH("expir",N220)),"Expired",N220)))),"")</f>
        <v/>
      </c>
      <c r="AX220" s="47"/>
      <c r="AY220" s="46" t="str">
        <f aca="true">IFERROR(IF(M220&lt;&gt;"",ROUND(VALUE(M220),1),IF(L220&lt;&gt;"",ROUND(MAX(0,(DATEVALUE(TEXT(L220,"YYYY-MM-DD"))-TODAY())/365.25),1),"")),"")</f>
        <v/>
      </c>
      <c r="AZ220" s="46" t="str">
        <f aca="false">IFERROR(IF(O220&lt;&gt;"",O220,""),"")</f>
        <v/>
      </c>
      <c r="BA220" s="46" t="str">
        <f aca="false">IFERROR(IF(U220&lt;&gt;"",SUBSTITUTE(SUBSTITUTE(U220,"; ",", "),";",","),""),"")</f>
        <v/>
      </c>
      <c r="BB220" s="47"/>
      <c r="BC220" s="47"/>
      <c r="BD220" s="47"/>
      <c r="BE220" s="47"/>
      <c r="BF220" s="47"/>
      <c r="BG220" s="47"/>
      <c r="BH220" s="47"/>
      <c r="BI220" s="47"/>
      <c r="BJ220" s="47"/>
      <c r="BK220" s="46" t="str">
        <f aca="false">IFERROR(IF(W220&lt;&gt;"",VALUE(W220),""),"")</f>
        <v/>
      </c>
      <c r="BL220" s="46" t="str">
        <f aca="false">IFERROR(IF(X220&lt;&gt;"",VALUE(X220),""),"")</f>
        <v/>
      </c>
      <c r="BM220" s="46" t="str">
        <f aca="false">IFERROR(IF(AD220="","None",IF(ISNUMBER(SEARCH("surv",AD220)),"Survived",IF(ISNUMBER(SEARCH("pend",AD220)),"Pending",IF(ISNUMBER(SEARCH("yes",AD220)),"Pending","None")))),"None")</f>
        <v>None</v>
      </c>
      <c r="BN220" s="47"/>
      <c r="BO220" s="47"/>
      <c r="BP220" s="47"/>
      <c r="BQ220" s="47"/>
      <c r="BR220" s="47"/>
      <c r="BS220" s="47"/>
      <c r="BT220" s="47"/>
      <c r="BU220" s="48" t="n">
        <f aca="false">IFERROR(COUNTA(AE220:BT220)/42,0)</f>
        <v>0.30952380952381</v>
      </c>
      <c r="BV220" s="49"/>
      <c r="BW220" s="50" t="b">
        <f aca="false">IF(Configuration!$C$10="No","",IFERROR(IF(AG220&lt;&gt;"",TRUE(),FALSE()),FALSE()))</f>
        <v>0</v>
      </c>
      <c r="BX220" s="50" t="b">
        <f aca="false">IF(Configuration!$C$11="No","",IFERROR(IF(AND(N(AL220)&gt;=Configuration!$C$44,AM220&lt;&gt;""),TRUE(),FALSE()),FALSE()))</f>
        <v>0</v>
      </c>
      <c r="BY220" s="50" t="b">
        <f aca="false">IF(Configuration!$C$12="No","",IFERROR(IF(AJ220&lt;&gt;"",TRUE(),FALSE()),FALSE()))</f>
        <v>0</v>
      </c>
      <c r="BZ220" s="50" t="b">
        <f aca="false">IF(Configuration!$C$13="No","",IFERROR(IF(AI220&lt;&gt;"",TRUE(),FALSE()),FALSE()))</f>
        <v>0</v>
      </c>
      <c r="CA220" s="50" t="b">
        <f aca="false">IF(Configuration!$C$14="No","",IFERROR(IF(AK220&lt;&gt;"",TRUE(),FALSE()),FALSE()))</f>
        <v>0</v>
      </c>
      <c r="CB220" s="50" t="b">
        <f aca="false">IF(Configuration!$C$15="No","",IFERROR(IF(AND(OR(ISNUMBER(SEARCH("process",AG220)),ISNUMBER(SEARCH("fab",AG220)),ISNUMBER(SEARCH("manufac",AG220))),AO220="Method"),TRUE(),FALSE()),FALSE()))</f>
        <v>0</v>
      </c>
      <c r="CC220" s="50" t="b">
        <f aca="false">IF(Configuration!$C$16="No","",IFERROR(IF(AND(OR(ISNUMBER(SEARCH("material",AG220)),ISNUMBER(SEARCH("chem",AG220)),ISNUMBER(SEARCH("battery",AG220)),ISNUMBER(SEARCH("electrolyte",AG220)),ISNUMBER(SEARCH("polymer",AG220))),OR(AO220="Apparatus",AO220="Method")),TRUE(),FALSE()),FALSE()))</f>
        <v>0</v>
      </c>
      <c r="CD220" s="50" t="b">
        <f aca="false">IF(Configuration!$C$17="No","",IFERROR(IF(AND(OR(AI220="App",AI220="Middleware",AI220="Cloud"),OR(AO220="Method",AO220="CRM")),TRUE(),FALSE()),FALSE()))</f>
        <v>0</v>
      </c>
      <c r="CE220" s="50" t="b">
        <f aca="false">IF(Configuration!$C$18="No","",IFERROR(IF(N(AN220)&gt;=Configuration!$C$45,TRUE(),FALSE()),FALSE()))</f>
        <v>0</v>
      </c>
      <c r="CF220" s="50" t="b">
        <f aca="false">IF(Configuration!$C$19="No","",IFERROR(IF(BE220&lt;&gt;"",TRUE(),FALSE()),FALSE()))</f>
        <v>0</v>
      </c>
      <c r="CG220" s="50" t="b">
        <f aca="false">IF(Configuration!$C$20="No","",IFERROR(IF(AO220&lt;&gt;"",TRUE(),FALSE()),FALSE()))</f>
        <v>0</v>
      </c>
      <c r="CH220" s="50" t="b">
        <f aca="false">IF(Configuration!$C$21="No","",IFERROR(IF(OR(N(AS220)&gt;=Configuration!$C$46,N(AT220)&gt;=Configuration!$C$47),TRUE(),FALSE()),FALSE()))</f>
        <v>0</v>
      </c>
      <c r="CI220" s="50" t="b">
        <f aca="false">IF(Configuration!$C$22="No","",IFERROR(IF(BB220="Yes",TRUE(),FALSE()),FALSE()))</f>
        <v>0</v>
      </c>
      <c r="CJ220" s="50" t="b">
        <f aca="false">IF(Configuration!$C$23="No","",IFERROR(IF(N(AV220)&gt;=Configuration!$C$48,TRUE(),FALSE()),FALSE()))</f>
        <v>0</v>
      </c>
      <c r="CK220" s="50" t="b">
        <f aca="false">IF(Configuration!$C$24="No","",IFERROR(IF(N(AY220)&gt;0,TRUE(),FALSE()),FALSE()))</f>
        <v>0</v>
      </c>
      <c r="CL220" s="50" t="b">
        <f aca="false">IF(Configuration!$C$25="No","",IFERROR(IF(OR(N(AP220)=3,N(AP220)&lt;=1),TRUE(),FALSE()),FALSE()))</f>
        <v>1</v>
      </c>
      <c r="CM220" s="50" t="b">
        <f aca="false">IF(Configuration!$C$26="No","",IFERROR(IF(N(BF220)&gt;=Configuration!$C$49,TRUE(),FALSE()),FALSE()))</f>
        <v>0</v>
      </c>
      <c r="CN220" s="50" t="b">
        <f aca="false">IF(Configuration!$C$27="No","",IFERROR(IF(BD220&lt;&gt;"",TRUE(),FALSE()),FALSE()))</f>
        <v>0</v>
      </c>
      <c r="CO220" s="50" t="b">
        <f aca="false">IF(Configuration!$C$28="No","",IFERROR(IF(N(AU220)&gt;=Configuration!$C$50,TRUE(),FALSE()),FALSE()))</f>
        <v>0</v>
      </c>
      <c r="CP220" s="50" t="b">
        <f aca="false">IF(Configuration!$C$29="No","",IFERROR(IF(AND(N(AR220)&gt;=Configuration!$C$51,AG220&lt;&gt;""),TRUE(),FALSE()),FALSE()))</f>
        <v>0</v>
      </c>
      <c r="CQ220" s="50" t="b">
        <f aca="false">IF(Configuration!$C$30="No","",IFERROR(IF(OR(AW220="Pending",AX220="Yes"),TRUE(),FALSE()),FALSE()))</f>
        <v>0</v>
      </c>
      <c r="CR220" s="50" t="b">
        <f aca="false">IF(Configuration!$C$31="No","",IFERROR(IF(AND(N(BG220)&gt;=Configuration!$C$52,N(AP220)&gt;=1),TRUE(),FALSE()),FALSE()))</f>
        <v>0</v>
      </c>
      <c r="CS220" s="50" t="b">
        <f aca="false">IF(Configuration!$C$32="No","",IFERROR(IF(AND(N(AR220)&gt;=1,OR(AG220&lt;&gt;"",AM220&lt;&gt;"")),TRUE(),FALSE()),FALSE()))</f>
        <v>0</v>
      </c>
      <c r="CT220" s="50" t="b">
        <f aca="false">IF(Configuration!$C$33="No","",IFERROR(IF(AG220&lt;&gt;"",TRUE(),FALSE()),FALSE()))</f>
        <v>0</v>
      </c>
      <c r="CU220" s="50" t="b">
        <f aca="false">IF(Configuration!$C$34="No","",IFERROR(IF(AX220="Yes",TRUE(),FALSE()),FALSE()))</f>
        <v>0</v>
      </c>
      <c r="CV220" s="50" t="b">
        <f aca="false">IF(Configuration!$C$35="No","",IFERROR(IF(OR(BO220="Partial",BO220="Full"),TRUE(),FALSE()),FALSE()))</f>
        <v>0</v>
      </c>
      <c r="CW220" s="50" t="b">
        <f aca="false">IF(Configuration!$C$36="No","",IFERROR(IF(BM220="Survived",TRUE(),FALSE()),FALSE()))</f>
        <v>0</v>
      </c>
      <c r="CX220" s="50" t="b">
        <f aca="false">IF(Configuration!$C$37="No","",IFERROR(IF(AND(BN220="Clean",BP220="None"),TRUE(),FALSE()),FALSE()))</f>
        <v>0</v>
      </c>
      <c r="CY220" s="50" t="b">
        <f aca="false">IF(Configuration!$C$38="No","",IFERROR(IF(N(BK220)&gt;=Configuration!$C$53,TRUE(),FALSE()),FALSE()))</f>
        <v>0</v>
      </c>
      <c r="CZ220" s="50" t="b">
        <f aca="false">IF(Configuration!$C$39="No","",IFERROR(IF(AND(N(BS220)&gt;=2,N(BF220)&gt;=2),TRUE(),FALSE()),FALSE()))</f>
        <v>0</v>
      </c>
      <c r="DA220" s="50" t="b">
        <f aca="false">IF(Configuration!$C$40="No","",IFERROR(IF(OR(N(BG220)&lt;=Configuration!$C$56,N(AY220)&lt;Configuration!$C$57,N(BH220)&lt;=Configuration!$C$58),TRUE(),FALSE()),FALSE()))</f>
        <v>1</v>
      </c>
      <c r="DB220" s="50" t="b">
        <f aca="false">IF(Configuration!$C$41="No","",IFERROR(IF(AND(N(AY220)&gt;=Configuration!$C$54,N(AY220)&lt;=Configuration!$C$55),TRUE(),FALSE()),FALSE()))</f>
        <v>0</v>
      </c>
      <c r="DC220" s="50" t="b">
        <f aca="false">IF(Configuration!$C$42="No","",IFERROR(IF(AND(AG220&lt;&gt;"",AJ220&lt;&gt;""),TRUE(),FALSE()),FALSE()))</f>
        <v>0</v>
      </c>
      <c r="DD220" s="51" t="n">
        <f aca="false">COUNTIF(BW220:DC220,TRUE())</f>
        <v>2</v>
      </c>
    </row>
    <row r="221" customFormat="false" ht="15" hidden="false" customHeight="true" outlineLevel="0" collapsed="false">
      <c r="A221" s="18" t="n">
        <v>182</v>
      </c>
      <c r="B221" s="44"/>
      <c r="C221" s="44"/>
      <c r="D221" s="44"/>
      <c r="E221" s="44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6" t="str">
        <f aca="false">IFERROR(IF(F221&lt;&gt;"",F221,""),"")</f>
        <v/>
      </c>
      <c r="AF221" s="46" t="str">
        <f aca="false">IFERROR(IF(G221&lt;&gt;"",G221,""),"")</f>
        <v/>
      </c>
      <c r="AG221" s="46" t="str">
        <f aca="false">IFERROR(IF(AA221&lt;&gt;"",AA221,IF(R221&lt;&gt;"",R221,"")),"")</f>
        <v/>
      </c>
      <c r="AH221" s="46" t="str">
        <f aca="false">IFERROR(IF(AB221&lt;&gt;"",AB221,IF(S221&lt;&gt;"",S221,"")),"")</f>
        <v/>
      </c>
      <c r="AI221" s="47"/>
      <c r="AJ221" s="47"/>
      <c r="AK221" s="47"/>
      <c r="AL221" s="47"/>
      <c r="AM221" s="47"/>
      <c r="AN221" s="47"/>
      <c r="AO221" s="47"/>
      <c r="AP221" s="47"/>
      <c r="AQ221" s="46" t="str">
        <f aca="false">IFERROR(IF(Y221&lt;&gt;"",VALUE(Y221),""),"")</f>
        <v/>
      </c>
      <c r="AR221" s="47"/>
      <c r="AS221" s="47"/>
      <c r="AT221" s="47"/>
      <c r="AU221" s="47"/>
      <c r="AV221" s="46" t="str">
        <f aca="false">IFERROR(IF(T221&lt;&gt;"",VALUE(T221),""),"")</f>
        <v/>
      </c>
      <c r="AW221" s="46" t="str">
        <f aca="false">IFERROR(IF(N221="","",IF(OR(ISNUMBER(SEARCH("grant",N221)),ISNUMBER(SEARCH("B",AC221))),"Granted",IF(OR(ISNUMBER(SEARCH("pend",N221)),ISNUMBER(SEARCH("A",AC221))),"Pending",IF(ISNUMBER(SEARCH("expir",N221)),"Expired",N221)))),"")</f>
        <v/>
      </c>
      <c r="AX221" s="47"/>
      <c r="AY221" s="46" t="str">
        <f aca="true">IFERROR(IF(M221&lt;&gt;"",ROUND(VALUE(M221),1),IF(L221&lt;&gt;"",ROUND(MAX(0,(DATEVALUE(TEXT(L221,"YYYY-MM-DD"))-TODAY())/365.25),1),"")),"")</f>
        <v/>
      </c>
      <c r="AZ221" s="46" t="str">
        <f aca="false">IFERROR(IF(O221&lt;&gt;"",O221,""),"")</f>
        <v/>
      </c>
      <c r="BA221" s="46" t="str">
        <f aca="false">IFERROR(IF(U221&lt;&gt;"",SUBSTITUTE(SUBSTITUTE(U221,"; ",", "),";",","),""),"")</f>
        <v/>
      </c>
      <c r="BB221" s="47"/>
      <c r="BC221" s="47"/>
      <c r="BD221" s="47"/>
      <c r="BE221" s="47"/>
      <c r="BF221" s="47"/>
      <c r="BG221" s="47"/>
      <c r="BH221" s="47"/>
      <c r="BI221" s="47"/>
      <c r="BJ221" s="47"/>
      <c r="BK221" s="46" t="str">
        <f aca="false">IFERROR(IF(W221&lt;&gt;"",VALUE(W221),""),"")</f>
        <v/>
      </c>
      <c r="BL221" s="46" t="str">
        <f aca="false">IFERROR(IF(X221&lt;&gt;"",VALUE(X221),""),"")</f>
        <v/>
      </c>
      <c r="BM221" s="46" t="str">
        <f aca="false">IFERROR(IF(AD221="","None",IF(ISNUMBER(SEARCH("surv",AD221)),"Survived",IF(ISNUMBER(SEARCH("pend",AD221)),"Pending",IF(ISNUMBER(SEARCH("yes",AD221)),"Pending","None")))),"None")</f>
        <v>None</v>
      </c>
      <c r="BN221" s="47"/>
      <c r="BO221" s="47"/>
      <c r="BP221" s="47"/>
      <c r="BQ221" s="47"/>
      <c r="BR221" s="47"/>
      <c r="BS221" s="47"/>
      <c r="BT221" s="47"/>
      <c r="BU221" s="48" t="n">
        <f aca="false">IFERROR(COUNTA(AE221:BT221)/42,0)</f>
        <v>0.30952380952381</v>
      </c>
      <c r="BV221" s="49"/>
      <c r="BW221" s="50" t="b">
        <f aca="false">IF(Configuration!$C$10="No","",IFERROR(IF(AG221&lt;&gt;"",TRUE(),FALSE()),FALSE()))</f>
        <v>0</v>
      </c>
      <c r="BX221" s="50" t="b">
        <f aca="false">IF(Configuration!$C$11="No","",IFERROR(IF(AND(N(AL221)&gt;=Configuration!$C$44,AM221&lt;&gt;""),TRUE(),FALSE()),FALSE()))</f>
        <v>0</v>
      </c>
      <c r="BY221" s="50" t="b">
        <f aca="false">IF(Configuration!$C$12="No","",IFERROR(IF(AJ221&lt;&gt;"",TRUE(),FALSE()),FALSE()))</f>
        <v>0</v>
      </c>
      <c r="BZ221" s="50" t="b">
        <f aca="false">IF(Configuration!$C$13="No","",IFERROR(IF(AI221&lt;&gt;"",TRUE(),FALSE()),FALSE()))</f>
        <v>0</v>
      </c>
      <c r="CA221" s="50" t="b">
        <f aca="false">IF(Configuration!$C$14="No","",IFERROR(IF(AK221&lt;&gt;"",TRUE(),FALSE()),FALSE()))</f>
        <v>0</v>
      </c>
      <c r="CB221" s="50" t="b">
        <f aca="false">IF(Configuration!$C$15="No","",IFERROR(IF(AND(OR(ISNUMBER(SEARCH("process",AG221)),ISNUMBER(SEARCH("fab",AG221)),ISNUMBER(SEARCH("manufac",AG221))),AO221="Method"),TRUE(),FALSE()),FALSE()))</f>
        <v>0</v>
      </c>
      <c r="CC221" s="50" t="b">
        <f aca="false">IF(Configuration!$C$16="No","",IFERROR(IF(AND(OR(ISNUMBER(SEARCH("material",AG221)),ISNUMBER(SEARCH("chem",AG221)),ISNUMBER(SEARCH("battery",AG221)),ISNUMBER(SEARCH("electrolyte",AG221)),ISNUMBER(SEARCH("polymer",AG221))),OR(AO221="Apparatus",AO221="Method")),TRUE(),FALSE()),FALSE()))</f>
        <v>0</v>
      </c>
      <c r="CD221" s="50" t="b">
        <f aca="false">IF(Configuration!$C$17="No","",IFERROR(IF(AND(OR(AI221="App",AI221="Middleware",AI221="Cloud"),OR(AO221="Method",AO221="CRM")),TRUE(),FALSE()),FALSE()))</f>
        <v>0</v>
      </c>
      <c r="CE221" s="50" t="b">
        <f aca="false">IF(Configuration!$C$18="No","",IFERROR(IF(N(AN221)&gt;=Configuration!$C$45,TRUE(),FALSE()),FALSE()))</f>
        <v>0</v>
      </c>
      <c r="CF221" s="50" t="b">
        <f aca="false">IF(Configuration!$C$19="No","",IFERROR(IF(BE221&lt;&gt;"",TRUE(),FALSE()),FALSE()))</f>
        <v>0</v>
      </c>
      <c r="CG221" s="50" t="b">
        <f aca="false">IF(Configuration!$C$20="No","",IFERROR(IF(AO221&lt;&gt;"",TRUE(),FALSE()),FALSE()))</f>
        <v>0</v>
      </c>
      <c r="CH221" s="50" t="b">
        <f aca="false">IF(Configuration!$C$21="No","",IFERROR(IF(OR(N(AS221)&gt;=Configuration!$C$46,N(AT221)&gt;=Configuration!$C$47),TRUE(),FALSE()),FALSE()))</f>
        <v>0</v>
      </c>
      <c r="CI221" s="50" t="b">
        <f aca="false">IF(Configuration!$C$22="No","",IFERROR(IF(BB221="Yes",TRUE(),FALSE()),FALSE()))</f>
        <v>0</v>
      </c>
      <c r="CJ221" s="50" t="b">
        <f aca="false">IF(Configuration!$C$23="No","",IFERROR(IF(N(AV221)&gt;=Configuration!$C$48,TRUE(),FALSE()),FALSE()))</f>
        <v>0</v>
      </c>
      <c r="CK221" s="50" t="b">
        <f aca="false">IF(Configuration!$C$24="No","",IFERROR(IF(N(AY221)&gt;0,TRUE(),FALSE()),FALSE()))</f>
        <v>0</v>
      </c>
      <c r="CL221" s="50" t="b">
        <f aca="false">IF(Configuration!$C$25="No","",IFERROR(IF(OR(N(AP221)=3,N(AP221)&lt;=1),TRUE(),FALSE()),FALSE()))</f>
        <v>1</v>
      </c>
      <c r="CM221" s="50" t="b">
        <f aca="false">IF(Configuration!$C$26="No","",IFERROR(IF(N(BF221)&gt;=Configuration!$C$49,TRUE(),FALSE()),FALSE()))</f>
        <v>0</v>
      </c>
      <c r="CN221" s="50" t="b">
        <f aca="false">IF(Configuration!$C$27="No","",IFERROR(IF(BD221&lt;&gt;"",TRUE(),FALSE()),FALSE()))</f>
        <v>0</v>
      </c>
      <c r="CO221" s="50" t="b">
        <f aca="false">IF(Configuration!$C$28="No","",IFERROR(IF(N(AU221)&gt;=Configuration!$C$50,TRUE(),FALSE()),FALSE()))</f>
        <v>0</v>
      </c>
      <c r="CP221" s="50" t="b">
        <f aca="false">IF(Configuration!$C$29="No","",IFERROR(IF(AND(N(AR221)&gt;=Configuration!$C$51,AG221&lt;&gt;""),TRUE(),FALSE()),FALSE()))</f>
        <v>0</v>
      </c>
      <c r="CQ221" s="50" t="b">
        <f aca="false">IF(Configuration!$C$30="No","",IFERROR(IF(OR(AW221="Pending",AX221="Yes"),TRUE(),FALSE()),FALSE()))</f>
        <v>0</v>
      </c>
      <c r="CR221" s="50" t="b">
        <f aca="false">IF(Configuration!$C$31="No","",IFERROR(IF(AND(N(BG221)&gt;=Configuration!$C$52,N(AP221)&gt;=1),TRUE(),FALSE()),FALSE()))</f>
        <v>0</v>
      </c>
      <c r="CS221" s="50" t="b">
        <f aca="false">IF(Configuration!$C$32="No","",IFERROR(IF(AND(N(AR221)&gt;=1,OR(AG221&lt;&gt;"",AM221&lt;&gt;"")),TRUE(),FALSE()),FALSE()))</f>
        <v>0</v>
      </c>
      <c r="CT221" s="50" t="b">
        <f aca="false">IF(Configuration!$C$33="No","",IFERROR(IF(AG221&lt;&gt;"",TRUE(),FALSE()),FALSE()))</f>
        <v>0</v>
      </c>
      <c r="CU221" s="50" t="b">
        <f aca="false">IF(Configuration!$C$34="No","",IFERROR(IF(AX221="Yes",TRUE(),FALSE()),FALSE()))</f>
        <v>0</v>
      </c>
      <c r="CV221" s="50" t="b">
        <f aca="false">IF(Configuration!$C$35="No","",IFERROR(IF(OR(BO221="Partial",BO221="Full"),TRUE(),FALSE()),FALSE()))</f>
        <v>0</v>
      </c>
      <c r="CW221" s="50" t="b">
        <f aca="false">IF(Configuration!$C$36="No","",IFERROR(IF(BM221="Survived",TRUE(),FALSE()),FALSE()))</f>
        <v>0</v>
      </c>
      <c r="CX221" s="50" t="b">
        <f aca="false">IF(Configuration!$C$37="No","",IFERROR(IF(AND(BN221="Clean",BP221="None"),TRUE(),FALSE()),FALSE()))</f>
        <v>0</v>
      </c>
      <c r="CY221" s="50" t="b">
        <f aca="false">IF(Configuration!$C$38="No","",IFERROR(IF(N(BK221)&gt;=Configuration!$C$53,TRUE(),FALSE()),FALSE()))</f>
        <v>0</v>
      </c>
      <c r="CZ221" s="50" t="b">
        <f aca="false">IF(Configuration!$C$39="No","",IFERROR(IF(AND(N(BS221)&gt;=2,N(BF221)&gt;=2),TRUE(),FALSE()),FALSE()))</f>
        <v>0</v>
      </c>
      <c r="DA221" s="50" t="b">
        <f aca="false">IF(Configuration!$C$40="No","",IFERROR(IF(OR(N(BG221)&lt;=Configuration!$C$56,N(AY221)&lt;Configuration!$C$57,N(BH221)&lt;=Configuration!$C$58),TRUE(),FALSE()),FALSE()))</f>
        <v>1</v>
      </c>
      <c r="DB221" s="50" t="b">
        <f aca="false">IF(Configuration!$C$41="No","",IFERROR(IF(AND(N(AY221)&gt;=Configuration!$C$54,N(AY221)&lt;=Configuration!$C$55),TRUE(),FALSE()),FALSE()))</f>
        <v>0</v>
      </c>
      <c r="DC221" s="50" t="b">
        <f aca="false">IF(Configuration!$C$42="No","",IFERROR(IF(AND(AG221&lt;&gt;"",AJ221&lt;&gt;""),TRUE(),FALSE()),FALSE()))</f>
        <v>0</v>
      </c>
      <c r="DD221" s="51" t="n">
        <f aca="false">COUNTIF(BW221:DC221,TRUE())</f>
        <v>2</v>
      </c>
    </row>
    <row r="222" customFormat="false" ht="15" hidden="false" customHeight="true" outlineLevel="0" collapsed="false">
      <c r="A222" s="18" t="n">
        <v>183</v>
      </c>
      <c r="B222" s="44"/>
      <c r="C222" s="44"/>
      <c r="D222" s="44"/>
      <c r="E222" s="44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6" t="str">
        <f aca="false">IFERROR(IF(F222&lt;&gt;"",F222,""),"")</f>
        <v/>
      </c>
      <c r="AF222" s="46" t="str">
        <f aca="false">IFERROR(IF(G222&lt;&gt;"",G222,""),"")</f>
        <v/>
      </c>
      <c r="AG222" s="46" t="str">
        <f aca="false">IFERROR(IF(AA222&lt;&gt;"",AA222,IF(R222&lt;&gt;"",R222,"")),"")</f>
        <v/>
      </c>
      <c r="AH222" s="46" t="str">
        <f aca="false">IFERROR(IF(AB222&lt;&gt;"",AB222,IF(S222&lt;&gt;"",S222,"")),"")</f>
        <v/>
      </c>
      <c r="AI222" s="47"/>
      <c r="AJ222" s="47"/>
      <c r="AK222" s="47"/>
      <c r="AL222" s="47"/>
      <c r="AM222" s="47"/>
      <c r="AN222" s="47"/>
      <c r="AO222" s="47"/>
      <c r="AP222" s="47"/>
      <c r="AQ222" s="46" t="str">
        <f aca="false">IFERROR(IF(Y222&lt;&gt;"",VALUE(Y222),""),"")</f>
        <v/>
      </c>
      <c r="AR222" s="47"/>
      <c r="AS222" s="47"/>
      <c r="AT222" s="47"/>
      <c r="AU222" s="47"/>
      <c r="AV222" s="46" t="str">
        <f aca="false">IFERROR(IF(T222&lt;&gt;"",VALUE(T222),""),"")</f>
        <v/>
      </c>
      <c r="AW222" s="46" t="str">
        <f aca="false">IFERROR(IF(N222="","",IF(OR(ISNUMBER(SEARCH("grant",N222)),ISNUMBER(SEARCH("B",AC222))),"Granted",IF(OR(ISNUMBER(SEARCH("pend",N222)),ISNUMBER(SEARCH("A",AC222))),"Pending",IF(ISNUMBER(SEARCH("expir",N222)),"Expired",N222)))),"")</f>
        <v/>
      </c>
      <c r="AX222" s="47"/>
      <c r="AY222" s="46" t="str">
        <f aca="true">IFERROR(IF(M222&lt;&gt;"",ROUND(VALUE(M222),1),IF(L222&lt;&gt;"",ROUND(MAX(0,(DATEVALUE(TEXT(L222,"YYYY-MM-DD"))-TODAY())/365.25),1),"")),"")</f>
        <v/>
      </c>
      <c r="AZ222" s="46" t="str">
        <f aca="false">IFERROR(IF(O222&lt;&gt;"",O222,""),"")</f>
        <v/>
      </c>
      <c r="BA222" s="46" t="str">
        <f aca="false">IFERROR(IF(U222&lt;&gt;"",SUBSTITUTE(SUBSTITUTE(U222,"; ",", "),";",","),""),"")</f>
        <v/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6" t="str">
        <f aca="false">IFERROR(IF(W222&lt;&gt;"",VALUE(W222),""),"")</f>
        <v/>
      </c>
      <c r="BL222" s="46" t="str">
        <f aca="false">IFERROR(IF(X222&lt;&gt;"",VALUE(X222),""),"")</f>
        <v/>
      </c>
      <c r="BM222" s="46" t="str">
        <f aca="false">IFERROR(IF(AD222="","None",IF(ISNUMBER(SEARCH("surv",AD222)),"Survived",IF(ISNUMBER(SEARCH("pend",AD222)),"Pending",IF(ISNUMBER(SEARCH("yes",AD222)),"Pending","None")))),"None")</f>
        <v>None</v>
      </c>
      <c r="BN222" s="47"/>
      <c r="BO222" s="47"/>
      <c r="BP222" s="47"/>
      <c r="BQ222" s="47"/>
      <c r="BR222" s="47"/>
      <c r="BS222" s="47"/>
      <c r="BT222" s="47"/>
      <c r="BU222" s="48" t="n">
        <f aca="false">IFERROR(COUNTA(AE222:BT222)/42,0)</f>
        <v>0.30952380952381</v>
      </c>
      <c r="BV222" s="49"/>
      <c r="BW222" s="50" t="b">
        <f aca="false">IF(Configuration!$C$10="No","",IFERROR(IF(AG222&lt;&gt;"",TRUE(),FALSE()),FALSE()))</f>
        <v>0</v>
      </c>
      <c r="BX222" s="50" t="b">
        <f aca="false">IF(Configuration!$C$11="No","",IFERROR(IF(AND(N(AL222)&gt;=Configuration!$C$44,AM222&lt;&gt;""),TRUE(),FALSE()),FALSE()))</f>
        <v>0</v>
      </c>
      <c r="BY222" s="50" t="b">
        <f aca="false">IF(Configuration!$C$12="No","",IFERROR(IF(AJ222&lt;&gt;"",TRUE(),FALSE()),FALSE()))</f>
        <v>0</v>
      </c>
      <c r="BZ222" s="50" t="b">
        <f aca="false">IF(Configuration!$C$13="No","",IFERROR(IF(AI222&lt;&gt;"",TRUE(),FALSE()),FALSE()))</f>
        <v>0</v>
      </c>
      <c r="CA222" s="50" t="b">
        <f aca="false">IF(Configuration!$C$14="No","",IFERROR(IF(AK222&lt;&gt;"",TRUE(),FALSE()),FALSE()))</f>
        <v>0</v>
      </c>
      <c r="CB222" s="50" t="b">
        <f aca="false">IF(Configuration!$C$15="No","",IFERROR(IF(AND(OR(ISNUMBER(SEARCH("process",AG222)),ISNUMBER(SEARCH("fab",AG222)),ISNUMBER(SEARCH("manufac",AG222))),AO222="Method"),TRUE(),FALSE()),FALSE()))</f>
        <v>0</v>
      </c>
      <c r="CC222" s="50" t="b">
        <f aca="false">IF(Configuration!$C$16="No","",IFERROR(IF(AND(OR(ISNUMBER(SEARCH("material",AG222)),ISNUMBER(SEARCH("chem",AG222)),ISNUMBER(SEARCH("battery",AG222)),ISNUMBER(SEARCH("electrolyte",AG222)),ISNUMBER(SEARCH("polymer",AG222))),OR(AO222="Apparatus",AO222="Method")),TRUE(),FALSE()),FALSE()))</f>
        <v>0</v>
      </c>
      <c r="CD222" s="50" t="b">
        <f aca="false">IF(Configuration!$C$17="No","",IFERROR(IF(AND(OR(AI222="App",AI222="Middleware",AI222="Cloud"),OR(AO222="Method",AO222="CRM")),TRUE(),FALSE()),FALSE()))</f>
        <v>0</v>
      </c>
      <c r="CE222" s="50" t="b">
        <f aca="false">IF(Configuration!$C$18="No","",IFERROR(IF(N(AN222)&gt;=Configuration!$C$45,TRUE(),FALSE()),FALSE()))</f>
        <v>0</v>
      </c>
      <c r="CF222" s="50" t="b">
        <f aca="false">IF(Configuration!$C$19="No","",IFERROR(IF(BE222&lt;&gt;"",TRUE(),FALSE()),FALSE()))</f>
        <v>0</v>
      </c>
      <c r="CG222" s="50" t="b">
        <f aca="false">IF(Configuration!$C$20="No","",IFERROR(IF(AO222&lt;&gt;"",TRUE(),FALSE()),FALSE()))</f>
        <v>0</v>
      </c>
      <c r="CH222" s="50" t="b">
        <f aca="false">IF(Configuration!$C$21="No","",IFERROR(IF(OR(N(AS222)&gt;=Configuration!$C$46,N(AT222)&gt;=Configuration!$C$47),TRUE(),FALSE()),FALSE()))</f>
        <v>0</v>
      </c>
      <c r="CI222" s="50" t="b">
        <f aca="false">IF(Configuration!$C$22="No","",IFERROR(IF(BB222="Yes",TRUE(),FALSE()),FALSE()))</f>
        <v>0</v>
      </c>
      <c r="CJ222" s="50" t="b">
        <f aca="false">IF(Configuration!$C$23="No","",IFERROR(IF(N(AV222)&gt;=Configuration!$C$48,TRUE(),FALSE()),FALSE()))</f>
        <v>0</v>
      </c>
      <c r="CK222" s="50" t="b">
        <f aca="false">IF(Configuration!$C$24="No","",IFERROR(IF(N(AY222)&gt;0,TRUE(),FALSE()),FALSE()))</f>
        <v>0</v>
      </c>
      <c r="CL222" s="50" t="b">
        <f aca="false">IF(Configuration!$C$25="No","",IFERROR(IF(OR(N(AP222)=3,N(AP222)&lt;=1),TRUE(),FALSE()),FALSE()))</f>
        <v>1</v>
      </c>
      <c r="CM222" s="50" t="b">
        <f aca="false">IF(Configuration!$C$26="No","",IFERROR(IF(N(BF222)&gt;=Configuration!$C$49,TRUE(),FALSE()),FALSE()))</f>
        <v>0</v>
      </c>
      <c r="CN222" s="50" t="b">
        <f aca="false">IF(Configuration!$C$27="No","",IFERROR(IF(BD222&lt;&gt;"",TRUE(),FALSE()),FALSE()))</f>
        <v>0</v>
      </c>
      <c r="CO222" s="50" t="b">
        <f aca="false">IF(Configuration!$C$28="No","",IFERROR(IF(N(AU222)&gt;=Configuration!$C$50,TRUE(),FALSE()),FALSE()))</f>
        <v>0</v>
      </c>
      <c r="CP222" s="50" t="b">
        <f aca="false">IF(Configuration!$C$29="No","",IFERROR(IF(AND(N(AR222)&gt;=Configuration!$C$51,AG222&lt;&gt;""),TRUE(),FALSE()),FALSE()))</f>
        <v>0</v>
      </c>
      <c r="CQ222" s="50" t="b">
        <f aca="false">IF(Configuration!$C$30="No","",IFERROR(IF(OR(AW222="Pending",AX222="Yes"),TRUE(),FALSE()),FALSE()))</f>
        <v>0</v>
      </c>
      <c r="CR222" s="50" t="b">
        <f aca="false">IF(Configuration!$C$31="No","",IFERROR(IF(AND(N(BG222)&gt;=Configuration!$C$52,N(AP222)&gt;=1),TRUE(),FALSE()),FALSE()))</f>
        <v>0</v>
      </c>
      <c r="CS222" s="50" t="b">
        <f aca="false">IF(Configuration!$C$32="No","",IFERROR(IF(AND(N(AR222)&gt;=1,OR(AG222&lt;&gt;"",AM222&lt;&gt;"")),TRUE(),FALSE()),FALSE()))</f>
        <v>0</v>
      </c>
      <c r="CT222" s="50" t="b">
        <f aca="false">IF(Configuration!$C$33="No","",IFERROR(IF(AG222&lt;&gt;"",TRUE(),FALSE()),FALSE()))</f>
        <v>0</v>
      </c>
      <c r="CU222" s="50" t="b">
        <f aca="false">IF(Configuration!$C$34="No","",IFERROR(IF(AX222="Yes",TRUE(),FALSE()),FALSE()))</f>
        <v>0</v>
      </c>
      <c r="CV222" s="50" t="b">
        <f aca="false">IF(Configuration!$C$35="No","",IFERROR(IF(OR(BO222="Partial",BO222="Full"),TRUE(),FALSE()),FALSE()))</f>
        <v>0</v>
      </c>
      <c r="CW222" s="50" t="b">
        <f aca="false">IF(Configuration!$C$36="No","",IFERROR(IF(BM222="Survived",TRUE(),FALSE()),FALSE()))</f>
        <v>0</v>
      </c>
      <c r="CX222" s="50" t="b">
        <f aca="false">IF(Configuration!$C$37="No","",IFERROR(IF(AND(BN222="Clean",BP222="None"),TRUE(),FALSE()),FALSE()))</f>
        <v>0</v>
      </c>
      <c r="CY222" s="50" t="b">
        <f aca="false">IF(Configuration!$C$38="No","",IFERROR(IF(N(BK222)&gt;=Configuration!$C$53,TRUE(),FALSE()),FALSE()))</f>
        <v>0</v>
      </c>
      <c r="CZ222" s="50" t="b">
        <f aca="false">IF(Configuration!$C$39="No","",IFERROR(IF(AND(N(BS222)&gt;=2,N(BF222)&gt;=2),TRUE(),FALSE()),FALSE()))</f>
        <v>0</v>
      </c>
      <c r="DA222" s="50" t="b">
        <f aca="false">IF(Configuration!$C$40="No","",IFERROR(IF(OR(N(BG222)&lt;=Configuration!$C$56,N(AY222)&lt;Configuration!$C$57,N(BH222)&lt;=Configuration!$C$58),TRUE(),FALSE()),FALSE()))</f>
        <v>1</v>
      </c>
      <c r="DB222" s="50" t="b">
        <f aca="false">IF(Configuration!$C$41="No","",IFERROR(IF(AND(N(AY222)&gt;=Configuration!$C$54,N(AY222)&lt;=Configuration!$C$55),TRUE(),FALSE()),FALSE()))</f>
        <v>0</v>
      </c>
      <c r="DC222" s="50" t="b">
        <f aca="false">IF(Configuration!$C$42="No","",IFERROR(IF(AND(AG222&lt;&gt;"",AJ222&lt;&gt;""),TRUE(),FALSE()),FALSE()))</f>
        <v>0</v>
      </c>
      <c r="DD222" s="51" t="n">
        <f aca="false">COUNTIF(BW222:DC222,TRUE())</f>
        <v>2</v>
      </c>
    </row>
    <row r="223" customFormat="false" ht="15" hidden="false" customHeight="true" outlineLevel="0" collapsed="false">
      <c r="A223" s="18" t="n">
        <v>184</v>
      </c>
      <c r="B223" s="44"/>
      <c r="C223" s="44"/>
      <c r="D223" s="44"/>
      <c r="E223" s="44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6" t="str">
        <f aca="false">IFERROR(IF(F223&lt;&gt;"",F223,""),"")</f>
        <v/>
      </c>
      <c r="AF223" s="46" t="str">
        <f aca="false">IFERROR(IF(G223&lt;&gt;"",G223,""),"")</f>
        <v/>
      </c>
      <c r="AG223" s="46" t="str">
        <f aca="false">IFERROR(IF(AA223&lt;&gt;"",AA223,IF(R223&lt;&gt;"",R223,"")),"")</f>
        <v/>
      </c>
      <c r="AH223" s="46" t="str">
        <f aca="false">IFERROR(IF(AB223&lt;&gt;"",AB223,IF(S223&lt;&gt;"",S223,"")),"")</f>
        <v/>
      </c>
      <c r="AI223" s="47"/>
      <c r="AJ223" s="47"/>
      <c r="AK223" s="47"/>
      <c r="AL223" s="47"/>
      <c r="AM223" s="47"/>
      <c r="AN223" s="47"/>
      <c r="AO223" s="47"/>
      <c r="AP223" s="47"/>
      <c r="AQ223" s="46" t="str">
        <f aca="false">IFERROR(IF(Y223&lt;&gt;"",VALUE(Y223),""),"")</f>
        <v/>
      </c>
      <c r="AR223" s="47"/>
      <c r="AS223" s="47"/>
      <c r="AT223" s="47"/>
      <c r="AU223" s="47"/>
      <c r="AV223" s="46" t="str">
        <f aca="false">IFERROR(IF(T223&lt;&gt;"",VALUE(T223),""),"")</f>
        <v/>
      </c>
      <c r="AW223" s="46" t="str">
        <f aca="false">IFERROR(IF(N223="","",IF(OR(ISNUMBER(SEARCH("grant",N223)),ISNUMBER(SEARCH("B",AC223))),"Granted",IF(OR(ISNUMBER(SEARCH("pend",N223)),ISNUMBER(SEARCH("A",AC223))),"Pending",IF(ISNUMBER(SEARCH("expir",N223)),"Expired",N223)))),"")</f>
        <v/>
      </c>
      <c r="AX223" s="47"/>
      <c r="AY223" s="46" t="str">
        <f aca="true">IFERROR(IF(M223&lt;&gt;"",ROUND(VALUE(M223),1),IF(L223&lt;&gt;"",ROUND(MAX(0,(DATEVALUE(TEXT(L223,"YYYY-MM-DD"))-TODAY())/365.25),1),"")),"")</f>
        <v/>
      </c>
      <c r="AZ223" s="46" t="str">
        <f aca="false">IFERROR(IF(O223&lt;&gt;"",O223,""),"")</f>
        <v/>
      </c>
      <c r="BA223" s="46" t="str">
        <f aca="false">IFERROR(IF(U223&lt;&gt;"",SUBSTITUTE(SUBSTITUTE(U223,"; ",", "),";",","),""),"")</f>
        <v/>
      </c>
      <c r="BB223" s="47"/>
      <c r="BC223" s="47"/>
      <c r="BD223" s="47"/>
      <c r="BE223" s="47"/>
      <c r="BF223" s="47"/>
      <c r="BG223" s="47"/>
      <c r="BH223" s="47"/>
      <c r="BI223" s="47"/>
      <c r="BJ223" s="47"/>
      <c r="BK223" s="46" t="str">
        <f aca="false">IFERROR(IF(W223&lt;&gt;"",VALUE(W223),""),"")</f>
        <v/>
      </c>
      <c r="BL223" s="46" t="str">
        <f aca="false">IFERROR(IF(X223&lt;&gt;"",VALUE(X223),""),"")</f>
        <v/>
      </c>
      <c r="BM223" s="46" t="str">
        <f aca="false">IFERROR(IF(AD223="","None",IF(ISNUMBER(SEARCH("surv",AD223)),"Survived",IF(ISNUMBER(SEARCH("pend",AD223)),"Pending",IF(ISNUMBER(SEARCH("yes",AD223)),"Pending","None")))),"None")</f>
        <v>None</v>
      </c>
      <c r="BN223" s="47"/>
      <c r="BO223" s="47"/>
      <c r="BP223" s="47"/>
      <c r="BQ223" s="47"/>
      <c r="BR223" s="47"/>
      <c r="BS223" s="47"/>
      <c r="BT223" s="47"/>
      <c r="BU223" s="48" t="n">
        <f aca="false">IFERROR(COUNTA(AE223:BT223)/42,0)</f>
        <v>0.30952380952381</v>
      </c>
      <c r="BV223" s="49"/>
      <c r="BW223" s="50" t="b">
        <f aca="false">IF(Configuration!$C$10="No","",IFERROR(IF(AG223&lt;&gt;"",TRUE(),FALSE()),FALSE()))</f>
        <v>0</v>
      </c>
      <c r="BX223" s="50" t="b">
        <f aca="false">IF(Configuration!$C$11="No","",IFERROR(IF(AND(N(AL223)&gt;=Configuration!$C$44,AM223&lt;&gt;""),TRUE(),FALSE()),FALSE()))</f>
        <v>0</v>
      </c>
      <c r="BY223" s="50" t="b">
        <f aca="false">IF(Configuration!$C$12="No","",IFERROR(IF(AJ223&lt;&gt;"",TRUE(),FALSE()),FALSE()))</f>
        <v>0</v>
      </c>
      <c r="BZ223" s="50" t="b">
        <f aca="false">IF(Configuration!$C$13="No","",IFERROR(IF(AI223&lt;&gt;"",TRUE(),FALSE()),FALSE()))</f>
        <v>0</v>
      </c>
      <c r="CA223" s="50" t="b">
        <f aca="false">IF(Configuration!$C$14="No","",IFERROR(IF(AK223&lt;&gt;"",TRUE(),FALSE()),FALSE()))</f>
        <v>0</v>
      </c>
      <c r="CB223" s="50" t="b">
        <f aca="false">IF(Configuration!$C$15="No","",IFERROR(IF(AND(OR(ISNUMBER(SEARCH("process",AG223)),ISNUMBER(SEARCH("fab",AG223)),ISNUMBER(SEARCH("manufac",AG223))),AO223="Method"),TRUE(),FALSE()),FALSE()))</f>
        <v>0</v>
      </c>
      <c r="CC223" s="50" t="b">
        <f aca="false">IF(Configuration!$C$16="No","",IFERROR(IF(AND(OR(ISNUMBER(SEARCH("material",AG223)),ISNUMBER(SEARCH("chem",AG223)),ISNUMBER(SEARCH("battery",AG223)),ISNUMBER(SEARCH("electrolyte",AG223)),ISNUMBER(SEARCH("polymer",AG223))),OR(AO223="Apparatus",AO223="Method")),TRUE(),FALSE()),FALSE()))</f>
        <v>0</v>
      </c>
      <c r="CD223" s="50" t="b">
        <f aca="false">IF(Configuration!$C$17="No","",IFERROR(IF(AND(OR(AI223="App",AI223="Middleware",AI223="Cloud"),OR(AO223="Method",AO223="CRM")),TRUE(),FALSE()),FALSE()))</f>
        <v>0</v>
      </c>
      <c r="CE223" s="50" t="b">
        <f aca="false">IF(Configuration!$C$18="No","",IFERROR(IF(N(AN223)&gt;=Configuration!$C$45,TRUE(),FALSE()),FALSE()))</f>
        <v>0</v>
      </c>
      <c r="CF223" s="50" t="b">
        <f aca="false">IF(Configuration!$C$19="No","",IFERROR(IF(BE223&lt;&gt;"",TRUE(),FALSE()),FALSE()))</f>
        <v>0</v>
      </c>
      <c r="CG223" s="50" t="b">
        <f aca="false">IF(Configuration!$C$20="No","",IFERROR(IF(AO223&lt;&gt;"",TRUE(),FALSE()),FALSE()))</f>
        <v>0</v>
      </c>
      <c r="CH223" s="50" t="b">
        <f aca="false">IF(Configuration!$C$21="No","",IFERROR(IF(OR(N(AS223)&gt;=Configuration!$C$46,N(AT223)&gt;=Configuration!$C$47),TRUE(),FALSE()),FALSE()))</f>
        <v>0</v>
      </c>
      <c r="CI223" s="50" t="b">
        <f aca="false">IF(Configuration!$C$22="No","",IFERROR(IF(BB223="Yes",TRUE(),FALSE()),FALSE()))</f>
        <v>0</v>
      </c>
      <c r="CJ223" s="50" t="b">
        <f aca="false">IF(Configuration!$C$23="No","",IFERROR(IF(N(AV223)&gt;=Configuration!$C$48,TRUE(),FALSE()),FALSE()))</f>
        <v>0</v>
      </c>
      <c r="CK223" s="50" t="b">
        <f aca="false">IF(Configuration!$C$24="No","",IFERROR(IF(N(AY223)&gt;0,TRUE(),FALSE()),FALSE()))</f>
        <v>0</v>
      </c>
      <c r="CL223" s="50" t="b">
        <f aca="false">IF(Configuration!$C$25="No","",IFERROR(IF(OR(N(AP223)=3,N(AP223)&lt;=1),TRUE(),FALSE()),FALSE()))</f>
        <v>1</v>
      </c>
      <c r="CM223" s="50" t="b">
        <f aca="false">IF(Configuration!$C$26="No","",IFERROR(IF(N(BF223)&gt;=Configuration!$C$49,TRUE(),FALSE()),FALSE()))</f>
        <v>0</v>
      </c>
      <c r="CN223" s="50" t="b">
        <f aca="false">IF(Configuration!$C$27="No","",IFERROR(IF(BD223&lt;&gt;"",TRUE(),FALSE()),FALSE()))</f>
        <v>0</v>
      </c>
      <c r="CO223" s="50" t="b">
        <f aca="false">IF(Configuration!$C$28="No","",IFERROR(IF(N(AU223)&gt;=Configuration!$C$50,TRUE(),FALSE()),FALSE()))</f>
        <v>0</v>
      </c>
      <c r="CP223" s="50" t="b">
        <f aca="false">IF(Configuration!$C$29="No","",IFERROR(IF(AND(N(AR223)&gt;=Configuration!$C$51,AG223&lt;&gt;""),TRUE(),FALSE()),FALSE()))</f>
        <v>0</v>
      </c>
      <c r="CQ223" s="50" t="b">
        <f aca="false">IF(Configuration!$C$30="No","",IFERROR(IF(OR(AW223="Pending",AX223="Yes"),TRUE(),FALSE()),FALSE()))</f>
        <v>0</v>
      </c>
      <c r="CR223" s="50" t="b">
        <f aca="false">IF(Configuration!$C$31="No","",IFERROR(IF(AND(N(BG223)&gt;=Configuration!$C$52,N(AP223)&gt;=1),TRUE(),FALSE()),FALSE()))</f>
        <v>0</v>
      </c>
      <c r="CS223" s="50" t="b">
        <f aca="false">IF(Configuration!$C$32="No","",IFERROR(IF(AND(N(AR223)&gt;=1,OR(AG223&lt;&gt;"",AM223&lt;&gt;"")),TRUE(),FALSE()),FALSE()))</f>
        <v>0</v>
      </c>
      <c r="CT223" s="50" t="b">
        <f aca="false">IF(Configuration!$C$33="No","",IFERROR(IF(AG223&lt;&gt;"",TRUE(),FALSE()),FALSE()))</f>
        <v>0</v>
      </c>
      <c r="CU223" s="50" t="b">
        <f aca="false">IF(Configuration!$C$34="No","",IFERROR(IF(AX223="Yes",TRUE(),FALSE()),FALSE()))</f>
        <v>0</v>
      </c>
      <c r="CV223" s="50" t="b">
        <f aca="false">IF(Configuration!$C$35="No","",IFERROR(IF(OR(BO223="Partial",BO223="Full"),TRUE(),FALSE()),FALSE()))</f>
        <v>0</v>
      </c>
      <c r="CW223" s="50" t="b">
        <f aca="false">IF(Configuration!$C$36="No","",IFERROR(IF(BM223="Survived",TRUE(),FALSE()),FALSE()))</f>
        <v>0</v>
      </c>
      <c r="CX223" s="50" t="b">
        <f aca="false">IF(Configuration!$C$37="No","",IFERROR(IF(AND(BN223="Clean",BP223="None"),TRUE(),FALSE()),FALSE()))</f>
        <v>0</v>
      </c>
      <c r="CY223" s="50" t="b">
        <f aca="false">IF(Configuration!$C$38="No","",IFERROR(IF(N(BK223)&gt;=Configuration!$C$53,TRUE(),FALSE()),FALSE()))</f>
        <v>0</v>
      </c>
      <c r="CZ223" s="50" t="b">
        <f aca="false">IF(Configuration!$C$39="No","",IFERROR(IF(AND(N(BS223)&gt;=2,N(BF223)&gt;=2),TRUE(),FALSE()),FALSE()))</f>
        <v>0</v>
      </c>
      <c r="DA223" s="50" t="b">
        <f aca="false">IF(Configuration!$C$40="No","",IFERROR(IF(OR(N(BG223)&lt;=Configuration!$C$56,N(AY223)&lt;Configuration!$C$57,N(BH223)&lt;=Configuration!$C$58),TRUE(),FALSE()),FALSE()))</f>
        <v>1</v>
      </c>
      <c r="DB223" s="50" t="b">
        <f aca="false">IF(Configuration!$C$41="No","",IFERROR(IF(AND(N(AY223)&gt;=Configuration!$C$54,N(AY223)&lt;=Configuration!$C$55),TRUE(),FALSE()),FALSE()))</f>
        <v>0</v>
      </c>
      <c r="DC223" s="50" t="b">
        <f aca="false">IF(Configuration!$C$42="No","",IFERROR(IF(AND(AG223&lt;&gt;"",AJ223&lt;&gt;""),TRUE(),FALSE()),FALSE()))</f>
        <v>0</v>
      </c>
      <c r="DD223" s="51" t="n">
        <f aca="false">COUNTIF(BW223:DC223,TRUE())</f>
        <v>2</v>
      </c>
    </row>
    <row r="224" customFormat="false" ht="15" hidden="false" customHeight="true" outlineLevel="0" collapsed="false">
      <c r="A224" s="18" t="n">
        <v>185</v>
      </c>
      <c r="B224" s="44"/>
      <c r="C224" s="44"/>
      <c r="D224" s="44"/>
      <c r="E224" s="44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6" t="str">
        <f aca="false">IFERROR(IF(F224&lt;&gt;"",F224,""),"")</f>
        <v/>
      </c>
      <c r="AF224" s="46" t="str">
        <f aca="false">IFERROR(IF(G224&lt;&gt;"",G224,""),"")</f>
        <v/>
      </c>
      <c r="AG224" s="46" t="str">
        <f aca="false">IFERROR(IF(AA224&lt;&gt;"",AA224,IF(R224&lt;&gt;"",R224,"")),"")</f>
        <v/>
      </c>
      <c r="AH224" s="46" t="str">
        <f aca="false">IFERROR(IF(AB224&lt;&gt;"",AB224,IF(S224&lt;&gt;"",S224,"")),"")</f>
        <v/>
      </c>
      <c r="AI224" s="47"/>
      <c r="AJ224" s="47"/>
      <c r="AK224" s="47"/>
      <c r="AL224" s="47"/>
      <c r="AM224" s="47"/>
      <c r="AN224" s="47"/>
      <c r="AO224" s="47"/>
      <c r="AP224" s="47"/>
      <c r="AQ224" s="46" t="str">
        <f aca="false">IFERROR(IF(Y224&lt;&gt;"",VALUE(Y224),""),"")</f>
        <v/>
      </c>
      <c r="AR224" s="47"/>
      <c r="AS224" s="47"/>
      <c r="AT224" s="47"/>
      <c r="AU224" s="47"/>
      <c r="AV224" s="46" t="str">
        <f aca="false">IFERROR(IF(T224&lt;&gt;"",VALUE(T224),""),"")</f>
        <v/>
      </c>
      <c r="AW224" s="46" t="str">
        <f aca="false">IFERROR(IF(N224="","",IF(OR(ISNUMBER(SEARCH("grant",N224)),ISNUMBER(SEARCH("B",AC224))),"Granted",IF(OR(ISNUMBER(SEARCH("pend",N224)),ISNUMBER(SEARCH("A",AC224))),"Pending",IF(ISNUMBER(SEARCH("expir",N224)),"Expired",N224)))),"")</f>
        <v/>
      </c>
      <c r="AX224" s="47"/>
      <c r="AY224" s="46" t="str">
        <f aca="true">IFERROR(IF(M224&lt;&gt;"",ROUND(VALUE(M224),1),IF(L224&lt;&gt;"",ROUND(MAX(0,(DATEVALUE(TEXT(L224,"YYYY-MM-DD"))-TODAY())/365.25),1),"")),"")</f>
        <v/>
      </c>
      <c r="AZ224" s="46" t="str">
        <f aca="false">IFERROR(IF(O224&lt;&gt;"",O224,""),"")</f>
        <v/>
      </c>
      <c r="BA224" s="46" t="str">
        <f aca="false">IFERROR(IF(U224&lt;&gt;"",SUBSTITUTE(SUBSTITUTE(U224,"; ",", "),";",","),""),"")</f>
        <v/>
      </c>
      <c r="BB224" s="47"/>
      <c r="BC224" s="47"/>
      <c r="BD224" s="47"/>
      <c r="BE224" s="47"/>
      <c r="BF224" s="47"/>
      <c r="BG224" s="47"/>
      <c r="BH224" s="47"/>
      <c r="BI224" s="47"/>
      <c r="BJ224" s="47"/>
      <c r="BK224" s="46" t="str">
        <f aca="false">IFERROR(IF(W224&lt;&gt;"",VALUE(W224),""),"")</f>
        <v/>
      </c>
      <c r="BL224" s="46" t="str">
        <f aca="false">IFERROR(IF(X224&lt;&gt;"",VALUE(X224),""),"")</f>
        <v/>
      </c>
      <c r="BM224" s="46" t="str">
        <f aca="false">IFERROR(IF(AD224="","None",IF(ISNUMBER(SEARCH("surv",AD224)),"Survived",IF(ISNUMBER(SEARCH("pend",AD224)),"Pending",IF(ISNUMBER(SEARCH("yes",AD224)),"Pending","None")))),"None")</f>
        <v>None</v>
      </c>
      <c r="BN224" s="47"/>
      <c r="BO224" s="47"/>
      <c r="BP224" s="47"/>
      <c r="BQ224" s="47"/>
      <c r="BR224" s="47"/>
      <c r="BS224" s="47"/>
      <c r="BT224" s="47"/>
      <c r="BU224" s="48" t="n">
        <f aca="false">IFERROR(COUNTA(AE224:BT224)/42,0)</f>
        <v>0.30952380952381</v>
      </c>
      <c r="BV224" s="49"/>
      <c r="BW224" s="50" t="b">
        <f aca="false">IF(Configuration!$C$10="No","",IFERROR(IF(AG224&lt;&gt;"",TRUE(),FALSE()),FALSE()))</f>
        <v>0</v>
      </c>
      <c r="BX224" s="50" t="b">
        <f aca="false">IF(Configuration!$C$11="No","",IFERROR(IF(AND(N(AL224)&gt;=Configuration!$C$44,AM224&lt;&gt;""),TRUE(),FALSE()),FALSE()))</f>
        <v>0</v>
      </c>
      <c r="BY224" s="50" t="b">
        <f aca="false">IF(Configuration!$C$12="No","",IFERROR(IF(AJ224&lt;&gt;"",TRUE(),FALSE()),FALSE()))</f>
        <v>0</v>
      </c>
      <c r="BZ224" s="50" t="b">
        <f aca="false">IF(Configuration!$C$13="No","",IFERROR(IF(AI224&lt;&gt;"",TRUE(),FALSE()),FALSE()))</f>
        <v>0</v>
      </c>
      <c r="CA224" s="50" t="b">
        <f aca="false">IF(Configuration!$C$14="No","",IFERROR(IF(AK224&lt;&gt;"",TRUE(),FALSE()),FALSE()))</f>
        <v>0</v>
      </c>
      <c r="CB224" s="50" t="b">
        <f aca="false">IF(Configuration!$C$15="No","",IFERROR(IF(AND(OR(ISNUMBER(SEARCH("process",AG224)),ISNUMBER(SEARCH("fab",AG224)),ISNUMBER(SEARCH("manufac",AG224))),AO224="Method"),TRUE(),FALSE()),FALSE()))</f>
        <v>0</v>
      </c>
      <c r="CC224" s="50" t="b">
        <f aca="false">IF(Configuration!$C$16="No","",IFERROR(IF(AND(OR(ISNUMBER(SEARCH("material",AG224)),ISNUMBER(SEARCH("chem",AG224)),ISNUMBER(SEARCH("battery",AG224)),ISNUMBER(SEARCH("electrolyte",AG224)),ISNUMBER(SEARCH("polymer",AG224))),OR(AO224="Apparatus",AO224="Method")),TRUE(),FALSE()),FALSE()))</f>
        <v>0</v>
      </c>
      <c r="CD224" s="50" t="b">
        <f aca="false">IF(Configuration!$C$17="No","",IFERROR(IF(AND(OR(AI224="App",AI224="Middleware",AI224="Cloud"),OR(AO224="Method",AO224="CRM")),TRUE(),FALSE()),FALSE()))</f>
        <v>0</v>
      </c>
      <c r="CE224" s="50" t="b">
        <f aca="false">IF(Configuration!$C$18="No","",IFERROR(IF(N(AN224)&gt;=Configuration!$C$45,TRUE(),FALSE()),FALSE()))</f>
        <v>0</v>
      </c>
      <c r="CF224" s="50" t="b">
        <f aca="false">IF(Configuration!$C$19="No","",IFERROR(IF(BE224&lt;&gt;"",TRUE(),FALSE()),FALSE()))</f>
        <v>0</v>
      </c>
      <c r="CG224" s="50" t="b">
        <f aca="false">IF(Configuration!$C$20="No","",IFERROR(IF(AO224&lt;&gt;"",TRUE(),FALSE()),FALSE()))</f>
        <v>0</v>
      </c>
      <c r="CH224" s="50" t="b">
        <f aca="false">IF(Configuration!$C$21="No","",IFERROR(IF(OR(N(AS224)&gt;=Configuration!$C$46,N(AT224)&gt;=Configuration!$C$47),TRUE(),FALSE()),FALSE()))</f>
        <v>0</v>
      </c>
      <c r="CI224" s="50" t="b">
        <f aca="false">IF(Configuration!$C$22="No","",IFERROR(IF(BB224="Yes",TRUE(),FALSE()),FALSE()))</f>
        <v>0</v>
      </c>
      <c r="CJ224" s="50" t="b">
        <f aca="false">IF(Configuration!$C$23="No","",IFERROR(IF(N(AV224)&gt;=Configuration!$C$48,TRUE(),FALSE()),FALSE()))</f>
        <v>0</v>
      </c>
      <c r="CK224" s="50" t="b">
        <f aca="false">IF(Configuration!$C$24="No","",IFERROR(IF(N(AY224)&gt;0,TRUE(),FALSE()),FALSE()))</f>
        <v>0</v>
      </c>
      <c r="CL224" s="50" t="b">
        <f aca="false">IF(Configuration!$C$25="No","",IFERROR(IF(OR(N(AP224)=3,N(AP224)&lt;=1),TRUE(),FALSE()),FALSE()))</f>
        <v>1</v>
      </c>
      <c r="CM224" s="50" t="b">
        <f aca="false">IF(Configuration!$C$26="No","",IFERROR(IF(N(BF224)&gt;=Configuration!$C$49,TRUE(),FALSE()),FALSE()))</f>
        <v>0</v>
      </c>
      <c r="CN224" s="50" t="b">
        <f aca="false">IF(Configuration!$C$27="No","",IFERROR(IF(BD224&lt;&gt;"",TRUE(),FALSE()),FALSE()))</f>
        <v>0</v>
      </c>
      <c r="CO224" s="50" t="b">
        <f aca="false">IF(Configuration!$C$28="No","",IFERROR(IF(N(AU224)&gt;=Configuration!$C$50,TRUE(),FALSE()),FALSE()))</f>
        <v>0</v>
      </c>
      <c r="CP224" s="50" t="b">
        <f aca="false">IF(Configuration!$C$29="No","",IFERROR(IF(AND(N(AR224)&gt;=Configuration!$C$51,AG224&lt;&gt;""),TRUE(),FALSE()),FALSE()))</f>
        <v>0</v>
      </c>
      <c r="CQ224" s="50" t="b">
        <f aca="false">IF(Configuration!$C$30="No","",IFERROR(IF(OR(AW224="Pending",AX224="Yes"),TRUE(),FALSE()),FALSE()))</f>
        <v>0</v>
      </c>
      <c r="CR224" s="50" t="b">
        <f aca="false">IF(Configuration!$C$31="No","",IFERROR(IF(AND(N(BG224)&gt;=Configuration!$C$52,N(AP224)&gt;=1),TRUE(),FALSE()),FALSE()))</f>
        <v>0</v>
      </c>
      <c r="CS224" s="50" t="b">
        <f aca="false">IF(Configuration!$C$32="No","",IFERROR(IF(AND(N(AR224)&gt;=1,OR(AG224&lt;&gt;"",AM224&lt;&gt;"")),TRUE(),FALSE()),FALSE()))</f>
        <v>0</v>
      </c>
      <c r="CT224" s="50" t="b">
        <f aca="false">IF(Configuration!$C$33="No","",IFERROR(IF(AG224&lt;&gt;"",TRUE(),FALSE()),FALSE()))</f>
        <v>0</v>
      </c>
      <c r="CU224" s="50" t="b">
        <f aca="false">IF(Configuration!$C$34="No","",IFERROR(IF(AX224="Yes",TRUE(),FALSE()),FALSE()))</f>
        <v>0</v>
      </c>
      <c r="CV224" s="50" t="b">
        <f aca="false">IF(Configuration!$C$35="No","",IFERROR(IF(OR(BO224="Partial",BO224="Full"),TRUE(),FALSE()),FALSE()))</f>
        <v>0</v>
      </c>
      <c r="CW224" s="50" t="b">
        <f aca="false">IF(Configuration!$C$36="No","",IFERROR(IF(BM224="Survived",TRUE(),FALSE()),FALSE()))</f>
        <v>0</v>
      </c>
      <c r="CX224" s="50" t="b">
        <f aca="false">IF(Configuration!$C$37="No","",IFERROR(IF(AND(BN224="Clean",BP224="None"),TRUE(),FALSE()),FALSE()))</f>
        <v>0</v>
      </c>
      <c r="CY224" s="50" t="b">
        <f aca="false">IF(Configuration!$C$38="No","",IFERROR(IF(N(BK224)&gt;=Configuration!$C$53,TRUE(),FALSE()),FALSE()))</f>
        <v>0</v>
      </c>
      <c r="CZ224" s="50" t="b">
        <f aca="false">IF(Configuration!$C$39="No","",IFERROR(IF(AND(N(BS224)&gt;=2,N(BF224)&gt;=2),TRUE(),FALSE()),FALSE()))</f>
        <v>0</v>
      </c>
      <c r="DA224" s="50" t="b">
        <f aca="false">IF(Configuration!$C$40="No","",IFERROR(IF(OR(N(BG224)&lt;=Configuration!$C$56,N(AY224)&lt;Configuration!$C$57,N(BH224)&lt;=Configuration!$C$58),TRUE(),FALSE()),FALSE()))</f>
        <v>1</v>
      </c>
      <c r="DB224" s="50" t="b">
        <f aca="false">IF(Configuration!$C$41="No","",IFERROR(IF(AND(N(AY224)&gt;=Configuration!$C$54,N(AY224)&lt;=Configuration!$C$55),TRUE(),FALSE()),FALSE()))</f>
        <v>0</v>
      </c>
      <c r="DC224" s="50" t="b">
        <f aca="false">IF(Configuration!$C$42="No","",IFERROR(IF(AND(AG224&lt;&gt;"",AJ224&lt;&gt;""),TRUE(),FALSE()),FALSE()))</f>
        <v>0</v>
      </c>
      <c r="DD224" s="51" t="n">
        <f aca="false">COUNTIF(BW224:DC224,TRUE())</f>
        <v>2</v>
      </c>
    </row>
    <row r="225" customFormat="false" ht="15" hidden="false" customHeight="true" outlineLevel="0" collapsed="false">
      <c r="A225" s="18" t="n">
        <v>186</v>
      </c>
      <c r="B225" s="44"/>
      <c r="C225" s="44"/>
      <c r="D225" s="44"/>
      <c r="E225" s="44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6" t="str">
        <f aca="false">IFERROR(IF(F225&lt;&gt;"",F225,""),"")</f>
        <v/>
      </c>
      <c r="AF225" s="46" t="str">
        <f aca="false">IFERROR(IF(G225&lt;&gt;"",G225,""),"")</f>
        <v/>
      </c>
      <c r="AG225" s="46" t="str">
        <f aca="false">IFERROR(IF(AA225&lt;&gt;"",AA225,IF(R225&lt;&gt;"",R225,"")),"")</f>
        <v/>
      </c>
      <c r="AH225" s="46" t="str">
        <f aca="false">IFERROR(IF(AB225&lt;&gt;"",AB225,IF(S225&lt;&gt;"",S225,"")),"")</f>
        <v/>
      </c>
      <c r="AI225" s="47"/>
      <c r="AJ225" s="47"/>
      <c r="AK225" s="47"/>
      <c r="AL225" s="47"/>
      <c r="AM225" s="47"/>
      <c r="AN225" s="47"/>
      <c r="AO225" s="47"/>
      <c r="AP225" s="47"/>
      <c r="AQ225" s="46" t="str">
        <f aca="false">IFERROR(IF(Y225&lt;&gt;"",VALUE(Y225),""),"")</f>
        <v/>
      </c>
      <c r="AR225" s="47"/>
      <c r="AS225" s="47"/>
      <c r="AT225" s="47"/>
      <c r="AU225" s="47"/>
      <c r="AV225" s="46" t="str">
        <f aca="false">IFERROR(IF(T225&lt;&gt;"",VALUE(T225),""),"")</f>
        <v/>
      </c>
      <c r="AW225" s="46" t="str">
        <f aca="false">IFERROR(IF(N225="","",IF(OR(ISNUMBER(SEARCH("grant",N225)),ISNUMBER(SEARCH("B",AC225))),"Granted",IF(OR(ISNUMBER(SEARCH("pend",N225)),ISNUMBER(SEARCH("A",AC225))),"Pending",IF(ISNUMBER(SEARCH("expir",N225)),"Expired",N225)))),"")</f>
        <v/>
      </c>
      <c r="AX225" s="47"/>
      <c r="AY225" s="46" t="str">
        <f aca="true">IFERROR(IF(M225&lt;&gt;"",ROUND(VALUE(M225),1),IF(L225&lt;&gt;"",ROUND(MAX(0,(DATEVALUE(TEXT(L225,"YYYY-MM-DD"))-TODAY())/365.25),1),"")),"")</f>
        <v/>
      </c>
      <c r="AZ225" s="46" t="str">
        <f aca="false">IFERROR(IF(O225&lt;&gt;"",O225,""),"")</f>
        <v/>
      </c>
      <c r="BA225" s="46" t="str">
        <f aca="false">IFERROR(IF(U225&lt;&gt;"",SUBSTITUTE(SUBSTITUTE(U225,"; ",", "),";",","),""),"")</f>
        <v/>
      </c>
      <c r="BB225" s="47"/>
      <c r="BC225" s="47"/>
      <c r="BD225" s="47"/>
      <c r="BE225" s="47"/>
      <c r="BF225" s="47"/>
      <c r="BG225" s="47"/>
      <c r="BH225" s="47"/>
      <c r="BI225" s="47"/>
      <c r="BJ225" s="47"/>
      <c r="BK225" s="46" t="str">
        <f aca="false">IFERROR(IF(W225&lt;&gt;"",VALUE(W225),""),"")</f>
        <v/>
      </c>
      <c r="BL225" s="46" t="str">
        <f aca="false">IFERROR(IF(X225&lt;&gt;"",VALUE(X225),""),"")</f>
        <v/>
      </c>
      <c r="BM225" s="46" t="str">
        <f aca="false">IFERROR(IF(AD225="","None",IF(ISNUMBER(SEARCH("surv",AD225)),"Survived",IF(ISNUMBER(SEARCH("pend",AD225)),"Pending",IF(ISNUMBER(SEARCH("yes",AD225)),"Pending","None")))),"None")</f>
        <v>None</v>
      </c>
      <c r="BN225" s="47"/>
      <c r="BO225" s="47"/>
      <c r="BP225" s="47"/>
      <c r="BQ225" s="47"/>
      <c r="BR225" s="47"/>
      <c r="BS225" s="47"/>
      <c r="BT225" s="47"/>
      <c r="BU225" s="48" t="n">
        <f aca="false">IFERROR(COUNTA(AE225:BT225)/42,0)</f>
        <v>0.30952380952381</v>
      </c>
      <c r="BV225" s="49"/>
      <c r="BW225" s="50" t="b">
        <f aca="false">IF(Configuration!$C$10="No","",IFERROR(IF(AG225&lt;&gt;"",TRUE(),FALSE()),FALSE()))</f>
        <v>0</v>
      </c>
      <c r="BX225" s="50" t="b">
        <f aca="false">IF(Configuration!$C$11="No","",IFERROR(IF(AND(N(AL225)&gt;=Configuration!$C$44,AM225&lt;&gt;""),TRUE(),FALSE()),FALSE()))</f>
        <v>0</v>
      </c>
      <c r="BY225" s="50" t="b">
        <f aca="false">IF(Configuration!$C$12="No","",IFERROR(IF(AJ225&lt;&gt;"",TRUE(),FALSE()),FALSE()))</f>
        <v>0</v>
      </c>
      <c r="BZ225" s="50" t="b">
        <f aca="false">IF(Configuration!$C$13="No","",IFERROR(IF(AI225&lt;&gt;"",TRUE(),FALSE()),FALSE()))</f>
        <v>0</v>
      </c>
      <c r="CA225" s="50" t="b">
        <f aca="false">IF(Configuration!$C$14="No","",IFERROR(IF(AK225&lt;&gt;"",TRUE(),FALSE()),FALSE()))</f>
        <v>0</v>
      </c>
      <c r="CB225" s="50" t="b">
        <f aca="false">IF(Configuration!$C$15="No","",IFERROR(IF(AND(OR(ISNUMBER(SEARCH("process",AG225)),ISNUMBER(SEARCH("fab",AG225)),ISNUMBER(SEARCH("manufac",AG225))),AO225="Method"),TRUE(),FALSE()),FALSE()))</f>
        <v>0</v>
      </c>
      <c r="CC225" s="50" t="b">
        <f aca="false">IF(Configuration!$C$16="No","",IFERROR(IF(AND(OR(ISNUMBER(SEARCH("material",AG225)),ISNUMBER(SEARCH("chem",AG225)),ISNUMBER(SEARCH("battery",AG225)),ISNUMBER(SEARCH("electrolyte",AG225)),ISNUMBER(SEARCH("polymer",AG225))),OR(AO225="Apparatus",AO225="Method")),TRUE(),FALSE()),FALSE()))</f>
        <v>0</v>
      </c>
      <c r="CD225" s="50" t="b">
        <f aca="false">IF(Configuration!$C$17="No","",IFERROR(IF(AND(OR(AI225="App",AI225="Middleware",AI225="Cloud"),OR(AO225="Method",AO225="CRM")),TRUE(),FALSE()),FALSE()))</f>
        <v>0</v>
      </c>
      <c r="CE225" s="50" t="b">
        <f aca="false">IF(Configuration!$C$18="No","",IFERROR(IF(N(AN225)&gt;=Configuration!$C$45,TRUE(),FALSE()),FALSE()))</f>
        <v>0</v>
      </c>
      <c r="CF225" s="50" t="b">
        <f aca="false">IF(Configuration!$C$19="No","",IFERROR(IF(BE225&lt;&gt;"",TRUE(),FALSE()),FALSE()))</f>
        <v>0</v>
      </c>
      <c r="CG225" s="50" t="b">
        <f aca="false">IF(Configuration!$C$20="No","",IFERROR(IF(AO225&lt;&gt;"",TRUE(),FALSE()),FALSE()))</f>
        <v>0</v>
      </c>
      <c r="CH225" s="50" t="b">
        <f aca="false">IF(Configuration!$C$21="No","",IFERROR(IF(OR(N(AS225)&gt;=Configuration!$C$46,N(AT225)&gt;=Configuration!$C$47),TRUE(),FALSE()),FALSE()))</f>
        <v>0</v>
      </c>
      <c r="CI225" s="50" t="b">
        <f aca="false">IF(Configuration!$C$22="No","",IFERROR(IF(BB225="Yes",TRUE(),FALSE()),FALSE()))</f>
        <v>0</v>
      </c>
      <c r="CJ225" s="50" t="b">
        <f aca="false">IF(Configuration!$C$23="No","",IFERROR(IF(N(AV225)&gt;=Configuration!$C$48,TRUE(),FALSE()),FALSE()))</f>
        <v>0</v>
      </c>
      <c r="CK225" s="50" t="b">
        <f aca="false">IF(Configuration!$C$24="No","",IFERROR(IF(N(AY225)&gt;0,TRUE(),FALSE()),FALSE()))</f>
        <v>0</v>
      </c>
      <c r="CL225" s="50" t="b">
        <f aca="false">IF(Configuration!$C$25="No","",IFERROR(IF(OR(N(AP225)=3,N(AP225)&lt;=1),TRUE(),FALSE()),FALSE()))</f>
        <v>1</v>
      </c>
      <c r="CM225" s="50" t="b">
        <f aca="false">IF(Configuration!$C$26="No","",IFERROR(IF(N(BF225)&gt;=Configuration!$C$49,TRUE(),FALSE()),FALSE()))</f>
        <v>0</v>
      </c>
      <c r="CN225" s="50" t="b">
        <f aca="false">IF(Configuration!$C$27="No","",IFERROR(IF(BD225&lt;&gt;"",TRUE(),FALSE()),FALSE()))</f>
        <v>0</v>
      </c>
      <c r="CO225" s="50" t="b">
        <f aca="false">IF(Configuration!$C$28="No","",IFERROR(IF(N(AU225)&gt;=Configuration!$C$50,TRUE(),FALSE()),FALSE()))</f>
        <v>0</v>
      </c>
      <c r="CP225" s="50" t="b">
        <f aca="false">IF(Configuration!$C$29="No","",IFERROR(IF(AND(N(AR225)&gt;=Configuration!$C$51,AG225&lt;&gt;""),TRUE(),FALSE()),FALSE()))</f>
        <v>0</v>
      </c>
      <c r="CQ225" s="50" t="b">
        <f aca="false">IF(Configuration!$C$30="No","",IFERROR(IF(OR(AW225="Pending",AX225="Yes"),TRUE(),FALSE()),FALSE()))</f>
        <v>0</v>
      </c>
      <c r="CR225" s="50" t="b">
        <f aca="false">IF(Configuration!$C$31="No","",IFERROR(IF(AND(N(BG225)&gt;=Configuration!$C$52,N(AP225)&gt;=1),TRUE(),FALSE()),FALSE()))</f>
        <v>0</v>
      </c>
      <c r="CS225" s="50" t="b">
        <f aca="false">IF(Configuration!$C$32="No","",IFERROR(IF(AND(N(AR225)&gt;=1,OR(AG225&lt;&gt;"",AM225&lt;&gt;"")),TRUE(),FALSE()),FALSE()))</f>
        <v>0</v>
      </c>
      <c r="CT225" s="50" t="b">
        <f aca="false">IF(Configuration!$C$33="No","",IFERROR(IF(AG225&lt;&gt;"",TRUE(),FALSE()),FALSE()))</f>
        <v>0</v>
      </c>
      <c r="CU225" s="50" t="b">
        <f aca="false">IF(Configuration!$C$34="No","",IFERROR(IF(AX225="Yes",TRUE(),FALSE()),FALSE()))</f>
        <v>0</v>
      </c>
      <c r="CV225" s="50" t="b">
        <f aca="false">IF(Configuration!$C$35="No","",IFERROR(IF(OR(BO225="Partial",BO225="Full"),TRUE(),FALSE()),FALSE()))</f>
        <v>0</v>
      </c>
      <c r="CW225" s="50" t="b">
        <f aca="false">IF(Configuration!$C$36="No","",IFERROR(IF(BM225="Survived",TRUE(),FALSE()),FALSE()))</f>
        <v>0</v>
      </c>
      <c r="CX225" s="50" t="b">
        <f aca="false">IF(Configuration!$C$37="No","",IFERROR(IF(AND(BN225="Clean",BP225="None"),TRUE(),FALSE()),FALSE()))</f>
        <v>0</v>
      </c>
      <c r="CY225" s="50" t="b">
        <f aca="false">IF(Configuration!$C$38="No","",IFERROR(IF(N(BK225)&gt;=Configuration!$C$53,TRUE(),FALSE()),FALSE()))</f>
        <v>0</v>
      </c>
      <c r="CZ225" s="50" t="b">
        <f aca="false">IF(Configuration!$C$39="No","",IFERROR(IF(AND(N(BS225)&gt;=2,N(BF225)&gt;=2),TRUE(),FALSE()),FALSE()))</f>
        <v>0</v>
      </c>
      <c r="DA225" s="50" t="b">
        <f aca="false">IF(Configuration!$C$40="No","",IFERROR(IF(OR(N(BG225)&lt;=Configuration!$C$56,N(AY225)&lt;Configuration!$C$57,N(BH225)&lt;=Configuration!$C$58),TRUE(),FALSE()),FALSE()))</f>
        <v>1</v>
      </c>
      <c r="DB225" s="50" t="b">
        <f aca="false">IF(Configuration!$C$41="No","",IFERROR(IF(AND(N(AY225)&gt;=Configuration!$C$54,N(AY225)&lt;=Configuration!$C$55),TRUE(),FALSE()),FALSE()))</f>
        <v>0</v>
      </c>
      <c r="DC225" s="50" t="b">
        <f aca="false">IF(Configuration!$C$42="No","",IFERROR(IF(AND(AG225&lt;&gt;"",AJ225&lt;&gt;""),TRUE(),FALSE()),FALSE()))</f>
        <v>0</v>
      </c>
      <c r="DD225" s="51" t="n">
        <f aca="false">COUNTIF(BW225:DC225,TRUE())</f>
        <v>2</v>
      </c>
    </row>
    <row r="226" customFormat="false" ht="15" hidden="false" customHeight="true" outlineLevel="0" collapsed="false">
      <c r="A226" s="18" t="n">
        <v>187</v>
      </c>
      <c r="B226" s="44"/>
      <c r="C226" s="44"/>
      <c r="D226" s="44"/>
      <c r="E226" s="44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6" t="str">
        <f aca="false">IFERROR(IF(F226&lt;&gt;"",F226,""),"")</f>
        <v/>
      </c>
      <c r="AF226" s="46" t="str">
        <f aca="false">IFERROR(IF(G226&lt;&gt;"",G226,""),"")</f>
        <v/>
      </c>
      <c r="AG226" s="46" t="str">
        <f aca="false">IFERROR(IF(AA226&lt;&gt;"",AA226,IF(R226&lt;&gt;"",R226,"")),"")</f>
        <v/>
      </c>
      <c r="AH226" s="46" t="str">
        <f aca="false">IFERROR(IF(AB226&lt;&gt;"",AB226,IF(S226&lt;&gt;"",S226,"")),"")</f>
        <v/>
      </c>
      <c r="AI226" s="47"/>
      <c r="AJ226" s="47"/>
      <c r="AK226" s="47"/>
      <c r="AL226" s="47"/>
      <c r="AM226" s="47"/>
      <c r="AN226" s="47"/>
      <c r="AO226" s="47"/>
      <c r="AP226" s="47"/>
      <c r="AQ226" s="46" t="str">
        <f aca="false">IFERROR(IF(Y226&lt;&gt;"",VALUE(Y226),""),"")</f>
        <v/>
      </c>
      <c r="AR226" s="47"/>
      <c r="AS226" s="47"/>
      <c r="AT226" s="47"/>
      <c r="AU226" s="47"/>
      <c r="AV226" s="46" t="str">
        <f aca="false">IFERROR(IF(T226&lt;&gt;"",VALUE(T226),""),"")</f>
        <v/>
      </c>
      <c r="AW226" s="46" t="str">
        <f aca="false">IFERROR(IF(N226="","",IF(OR(ISNUMBER(SEARCH("grant",N226)),ISNUMBER(SEARCH("B",AC226))),"Granted",IF(OR(ISNUMBER(SEARCH("pend",N226)),ISNUMBER(SEARCH("A",AC226))),"Pending",IF(ISNUMBER(SEARCH("expir",N226)),"Expired",N226)))),"")</f>
        <v/>
      </c>
      <c r="AX226" s="47"/>
      <c r="AY226" s="46" t="str">
        <f aca="true">IFERROR(IF(M226&lt;&gt;"",ROUND(VALUE(M226),1),IF(L226&lt;&gt;"",ROUND(MAX(0,(DATEVALUE(TEXT(L226,"YYYY-MM-DD"))-TODAY())/365.25),1),"")),"")</f>
        <v/>
      </c>
      <c r="AZ226" s="46" t="str">
        <f aca="false">IFERROR(IF(O226&lt;&gt;"",O226,""),"")</f>
        <v/>
      </c>
      <c r="BA226" s="46" t="str">
        <f aca="false">IFERROR(IF(U226&lt;&gt;"",SUBSTITUTE(SUBSTITUTE(U226,"; ",", "),";",","),""),"")</f>
        <v/>
      </c>
      <c r="BB226" s="47"/>
      <c r="BC226" s="47"/>
      <c r="BD226" s="47"/>
      <c r="BE226" s="47"/>
      <c r="BF226" s="47"/>
      <c r="BG226" s="47"/>
      <c r="BH226" s="47"/>
      <c r="BI226" s="47"/>
      <c r="BJ226" s="47"/>
      <c r="BK226" s="46" t="str">
        <f aca="false">IFERROR(IF(W226&lt;&gt;"",VALUE(W226),""),"")</f>
        <v/>
      </c>
      <c r="BL226" s="46" t="str">
        <f aca="false">IFERROR(IF(X226&lt;&gt;"",VALUE(X226),""),"")</f>
        <v/>
      </c>
      <c r="BM226" s="46" t="str">
        <f aca="false">IFERROR(IF(AD226="","None",IF(ISNUMBER(SEARCH("surv",AD226)),"Survived",IF(ISNUMBER(SEARCH("pend",AD226)),"Pending",IF(ISNUMBER(SEARCH("yes",AD226)),"Pending","None")))),"None")</f>
        <v>None</v>
      </c>
      <c r="BN226" s="47"/>
      <c r="BO226" s="47"/>
      <c r="BP226" s="47"/>
      <c r="BQ226" s="47"/>
      <c r="BR226" s="47"/>
      <c r="BS226" s="47"/>
      <c r="BT226" s="47"/>
      <c r="BU226" s="48" t="n">
        <f aca="false">IFERROR(COUNTA(AE226:BT226)/42,0)</f>
        <v>0.30952380952381</v>
      </c>
      <c r="BV226" s="49"/>
      <c r="BW226" s="50" t="b">
        <f aca="false">IF(Configuration!$C$10="No","",IFERROR(IF(AG226&lt;&gt;"",TRUE(),FALSE()),FALSE()))</f>
        <v>0</v>
      </c>
      <c r="BX226" s="50" t="b">
        <f aca="false">IF(Configuration!$C$11="No","",IFERROR(IF(AND(N(AL226)&gt;=Configuration!$C$44,AM226&lt;&gt;""),TRUE(),FALSE()),FALSE()))</f>
        <v>0</v>
      </c>
      <c r="BY226" s="50" t="b">
        <f aca="false">IF(Configuration!$C$12="No","",IFERROR(IF(AJ226&lt;&gt;"",TRUE(),FALSE()),FALSE()))</f>
        <v>0</v>
      </c>
      <c r="BZ226" s="50" t="b">
        <f aca="false">IF(Configuration!$C$13="No","",IFERROR(IF(AI226&lt;&gt;"",TRUE(),FALSE()),FALSE()))</f>
        <v>0</v>
      </c>
      <c r="CA226" s="50" t="b">
        <f aca="false">IF(Configuration!$C$14="No","",IFERROR(IF(AK226&lt;&gt;"",TRUE(),FALSE()),FALSE()))</f>
        <v>0</v>
      </c>
      <c r="CB226" s="50" t="b">
        <f aca="false">IF(Configuration!$C$15="No","",IFERROR(IF(AND(OR(ISNUMBER(SEARCH("process",AG226)),ISNUMBER(SEARCH("fab",AG226)),ISNUMBER(SEARCH("manufac",AG226))),AO226="Method"),TRUE(),FALSE()),FALSE()))</f>
        <v>0</v>
      </c>
      <c r="CC226" s="50" t="b">
        <f aca="false">IF(Configuration!$C$16="No","",IFERROR(IF(AND(OR(ISNUMBER(SEARCH("material",AG226)),ISNUMBER(SEARCH("chem",AG226)),ISNUMBER(SEARCH("battery",AG226)),ISNUMBER(SEARCH("electrolyte",AG226)),ISNUMBER(SEARCH("polymer",AG226))),OR(AO226="Apparatus",AO226="Method")),TRUE(),FALSE()),FALSE()))</f>
        <v>0</v>
      </c>
      <c r="CD226" s="50" t="b">
        <f aca="false">IF(Configuration!$C$17="No","",IFERROR(IF(AND(OR(AI226="App",AI226="Middleware",AI226="Cloud"),OR(AO226="Method",AO226="CRM")),TRUE(),FALSE()),FALSE()))</f>
        <v>0</v>
      </c>
      <c r="CE226" s="50" t="b">
        <f aca="false">IF(Configuration!$C$18="No","",IFERROR(IF(N(AN226)&gt;=Configuration!$C$45,TRUE(),FALSE()),FALSE()))</f>
        <v>0</v>
      </c>
      <c r="CF226" s="50" t="b">
        <f aca="false">IF(Configuration!$C$19="No","",IFERROR(IF(BE226&lt;&gt;"",TRUE(),FALSE()),FALSE()))</f>
        <v>0</v>
      </c>
      <c r="CG226" s="50" t="b">
        <f aca="false">IF(Configuration!$C$20="No","",IFERROR(IF(AO226&lt;&gt;"",TRUE(),FALSE()),FALSE()))</f>
        <v>0</v>
      </c>
      <c r="CH226" s="50" t="b">
        <f aca="false">IF(Configuration!$C$21="No","",IFERROR(IF(OR(N(AS226)&gt;=Configuration!$C$46,N(AT226)&gt;=Configuration!$C$47),TRUE(),FALSE()),FALSE()))</f>
        <v>0</v>
      </c>
      <c r="CI226" s="50" t="b">
        <f aca="false">IF(Configuration!$C$22="No","",IFERROR(IF(BB226="Yes",TRUE(),FALSE()),FALSE()))</f>
        <v>0</v>
      </c>
      <c r="CJ226" s="50" t="b">
        <f aca="false">IF(Configuration!$C$23="No","",IFERROR(IF(N(AV226)&gt;=Configuration!$C$48,TRUE(),FALSE()),FALSE()))</f>
        <v>0</v>
      </c>
      <c r="CK226" s="50" t="b">
        <f aca="false">IF(Configuration!$C$24="No","",IFERROR(IF(N(AY226)&gt;0,TRUE(),FALSE()),FALSE()))</f>
        <v>0</v>
      </c>
      <c r="CL226" s="50" t="b">
        <f aca="false">IF(Configuration!$C$25="No","",IFERROR(IF(OR(N(AP226)=3,N(AP226)&lt;=1),TRUE(),FALSE()),FALSE()))</f>
        <v>1</v>
      </c>
      <c r="CM226" s="50" t="b">
        <f aca="false">IF(Configuration!$C$26="No","",IFERROR(IF(N(BF226)&gt;=Configuration!$C$49,TRUE(),FALSE()),FALSE()))</f>
        <v>0</v>
      </c>
      <c r="CN226" s="50" t="b">
        <f aca="false">IF(Configuration!$C$27="No","",IFERROR(IF(BD226&lt;&gt;"",TRUE(),FALSE()),FALSE()))</f>
        <v>0</v>
      </c>
      <c r="CO226" s="50" t="b">
        <f aca="false">IF(Configuration!$C$28="No","",IFERROR(IF(N(AU226)&gt;=Configuration!$C$50,TRUE(),FALSE()),FALSE()))</f>
        <v>0</v>
      </c>
      <c r="CP226" s="50" t="b">
        <f aca="false">IF(Configuration!$C$29="No","",IFERROR(IF(AND(N(AR226)&gt;=Configuration!$C$51,AG226&lt;&gt;""),TRUE(),FALSE()),FALSE()))</f>
        <v>0</v>
      </c>
      <c r="CQ226" s="50" t="b">
        <f aca="false">IF(Configuration!$C$30="No","",IFERROR(IF(OR(AW226="Pending",AX226="Yes"),TRUE(),FALSE()),FALSE()))</f>
        <v>0</v>
      </c>
      <c r="CR226" s="50" t="b">
        <f aca="false">IF(Configuration!$C$31="No","",IFERROR(IF(AND(N(BG226)&gt;=Configuration!$C$52,N(AP226)&gt;=1),TRUE(),FALSE()),FALSE()))</f>
        <v>0</v>
      </c>
      <c r="CS226" s="50" t="b">
        <f aca="false">IF(Configuration!$C$32="No","",IFERROR(IF(AND(N(AR226)&gt;=1,OR(AG226&lt;&gt;"",AM226&lt;&gt;"")),TRUE(),FALSE()),FALSE()))</f>
        <v>0</v>
      </c>
      <c r="CT226" s="50" t="b">
        <f aca="false">IF(Configuration!$C$33="No","",IFERROR(IF(AG226&lt;&gt;"",TRUE(),FALSE()),FALSE()))</f>
        <v>0</v>
      </c>
      <c r="CU226" s="50" t="b">
        <f aca="false">IF(Configuration!$C$34="No","",IFERROR(IF(AX226="Yes",TRUE(),FALSE()),FALSE()))</f>
        <v>0</v>
      </c>
      <c r="CV226" s="50" t="b">
        <f aca="false">IF(Configuration!$C$35="No","",IFERROR(IF(OR(BO226="Partial",BO226="Full"),TRUE(),FALSE()),FALSE()))</f>
        <v>0</v>
      </c>
      <c r="CW226" s="50" t="b">
        <f aca="false">IF(Configuration!$C$36="No","",IFERROR(IF(BM226="Survived",TRUE(),FALSE()),FALSE()))</f>
        <v>0</v>
      </c>
      <c r="CX226" s="50" t="b">
        <f aca="false">IF(Configuration!$C$37="No","",IFERROR(IF(AND(BN226="Clean",BP226="None"),TRUE(),FALSE()),FALSE()))</f>
        <v>0</v>
      </c>
      <c r="CY226" s="50" t="b">
        <f aca="false">IF(Configuration!$C$38="No","",IFERROR(IF(N(BK226)&gt;=Configuration!$C$53,TRUE(),FALSE()),FALSE()))</f>
        <v>0</v>
      </c>
      <c r="CZ226" s="50" t="b">
        <f aca="false">IF(Configuration!$C$39="No","",IFERROR(IF(AND(N(BS226)&gt;=2,N(BF226)&gt;=2),TRUE(),FALSE()),FALSE()))</f>
        <v>0</v>
      </c>
      <c r="DA226" s="50" t="b">
        <f aca="false">IF(Configuration!$C$40="No","",IFERROR(IF(OR(N(BG226)&lt;=Configuration!$C$56,N(AY226)&lt;Configuration!$C$57,N(BH226)&lt;=Configuration!$C$58),TRUE(),FALSE()),FALSE()))</f>
        <v>1</v>
      </c>
      <c r="DB226" s="50" t="b">
        <f aca="false">IF(Configuration!$C$41="No","",IFERROR(IF(AND(N(AY226)&gt;=Configuration!$C$54,N(AY226)&lt;=Configuration!$C$55),TRUE(),FALSE()),FALSE()))</f>
        <v>0</v>
      </c>
      <c r="DC226" s="50" t="b">
        <f aca="false">IF(Configuration!$C$42="No","",IFERROR(IF(AND(AG226&lt;&gt;"",AJ226&lt;&gt;""),TRUE(),FALSE()),FALSE()))</f>
        <v>0</v>
      </c>
      <c r="DD226" s="51" t="n">
        <f aca="false">COUNTIF(BW226:DC226,TRUE())</f>
        <v>2</v>
      </c>
    </row>
    <row r="227" customFormat="false" ht="15" hidden="false" customHeight="true" outlineLevel="0" collapsed="false">
      <c r="A227" s="18" t="n">
        <v>188</v>
      </c>
      <c r="B227" s="44"/>
      <c r="C227" s="44"/>
      <c r="D227" s="44"/>
      <c r="E227" s="44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6" t="str">
        <f aca="false">IFERROR(IF(F227&lt;&gt;"",F227,""),"")</f>
        <v/>
      </c>
      <c r="AF227" s="46" t="str">
        <f aca="false">IFERROR(IF(G227&lt;&gt;"",G227,""),"")</f>
        <v/>
      </c>
      <c r="AG227" s="46" t="str">
        <f aca="false">IFERROR(IF(AA227&lt;&gt;"",AA227,IF(R227&lt;&gt;"",R227,"")),"")</f>
        <v/>
      </c>
      <c r="AH227" s="46" t="str">
        <f aca="false">IFERROR(IF(AB227&lt;&gt;"",AB227,IF(S227&lt;&gt;"",S227,"")),"")</f>
        <v/>
      </c>
      <c r="AI227" s="47"/>
      <c r="AJ227" s="47"/>
      <c r="AK227" s="47"/>
      <c r="AL227" s="47"/>
      <c r="AM227" s="47"/>
      <c r="AN227" s="47"/>
      <c r="AO227" s="47"/>
      <c r="AP227" s="47"/>
      <c r="AQ227" s="46" t="str">
        <f aca="false">IFERROR(IF(Y227&lt;&gt;"",VALUE(Y227),""),"")</f>
        <v/>
      </c>
      <c r="AR227" s="47"/>
      <c r="AS227" s="47"/>
      <c r="AT227" s="47"/>
      <c r="AU227" s="47"/>
      <c r="AV227" s="46" t="str">
        <f aca="false">IFERROR(IF(T227&lt;&gt;"",VALUE(T227),""),"")</f>
        <v/>
      </c>
      <c r="AW227" s="46" t="str">
        <f aca="false">IFERROR(IF(N227="","",IF(OR(ISNUMBER(SEARCH("grant",N227)),ISNUMBER(SEARCH("B",AC227))),"Granted",IF(OR(ISNUMBER(SEARCH("pend",N227)),ISNUMBER(SEARCH("A",AC227))),"Pending",IF(ISNUMBER(SEARCH("expir",N227)),"Expired",N227)))),"")</f>
        <v/>
      </c>
      <c r="AX227" s="47"/>
      <c r="AY227" s="46" t="str">
        <f aca="true">IFERROR(IF(M227&lt;&gt;"",ROUND(VALUE(M227),1),IF(L227&lt;&gt;"",ROUND(MAX(0,(DATEVALUE(TEXT(L227,"YYYY-MM-DD"))-TODAY())/365.25),1),"")),"")</f>
        <v/>
      </c>
      <c r="AZ227" s="46" t="str">
        <f aca="false">IFERROR(IF(O227&lt;&gt;"",O227,""),"")</f>
        <v/>
      </c>
      <c r="BA227" s="46" t="str">
        <f aca="false">IFERROR(IF(U227&lt;&gt;"",SUBSTITUTE(SUBSTITUTE(U227,"; ",", "),";",","),""),"")</f>
        <v/>
      </c>
      <c r="BB227" s="47"/>
      <c r="BC227" s="47"/>
      <c r="BD227" s="47"/>
      <c r="BE227" s="47"/>
      <c r="BF227" s="47"/>
      <c r="BG227" s="47"/>
      <c r="BH227" s="47"/>
      <c r="BI227" s="47"/>
      <c r="BJ227" s="47"/>
      <c r="BK227" s="46" t="str">
        <f aca="false">IFERROR(IF(W227&lt;&gt;"",VALUE(W227),""),"")</f>
        <v/>
      </c>
      <c r="BL227" s="46" t="str">
        <f aca="false">IFERROR(IF(X227&lt;&gt;"",VALUE(X227),""),"")</f>
        <v/>
      </c>
      <c r="BM227" s="46" t="str">
        <f aca="false">IFERROR(IF(AD227="","None",IF(ISNUMBER(SEARCH("surv",AD227)),"Survived",IF(ISNUMBER(SEARCH("pend",AD227)),"Pending",IF(ISNUMBER(SEARCH("yes",AD227)),"Pending","None")))),"None")</f>
        <v>None</v>
      </c>
      <c r="BN227" s="47"/>
      <c r="BO227" s="47"/>
      <c r="BP227" s="47"/>
      <c r="BQ227" s="47"/>
      <c r="BR227" s="47"/>
      <c r="BS227" s="47"/>
      <c r="BT227" s="47"/>
      <c r="BU227" s="48" t="n">
        <f aca="false">IFERROR(COUNTA(AE227:BT227)/42,0)</f>
        <v>0.30952380952381</v>
      </c>
      <c r="BV227" s="49"/>
      <c r="BW227" s="50" t="b">
        <f aca="false">IF(Configuration!$C$10="No","",IFERROR(IF(AG227&lt;&gt;"",TRUE(),FALSE()),FALSE()))</f>
        <v>0</v>
      </c>
      <c r="BX227" s="50" t="b">
        <f aca="false">IF(Configuration!$C$11="No","",IFERROR(IF(AND(N(AL227)&gt;=Configuration!$C$44,AM227&lt;&gt;""),TRUE(),FALSE()),FALSE()))</f>
        <v>0</v>
      </c>
      <c r="BY227" s="50" t="b">
        <f aca="false">IF(Configuration!$C$12="No","",IFERROR(IF(AJ227&lt;&gt;"",TRUE(),FALSE()),FALSE()))</f>
        <v>0</v>
      </c>
      <c r="BZ227" s="50" t="b">
        <f aca="false">IF(Configuration!$C$13="No","",IFERROR(IF(AI227&lt;&gt;"",TRUE(),FALSE()),FALSE()))</f>
        <v>0</v>
      </c>
      <c r="CA227" s="50" t="b">
        <f aca="false">IF(Configuration!$C$14="No","",IFERROR(IF(AK227&lt;&gt;"",TRUE(),FALSE()),FALSE()))</f>
        <v>0</v>
      </c>
      <c r="CB227" s="50" t="b">
        <f aca="false">IF(Configuration!$C$15="No","",IFERROR(IF(AND(OR(ISNUMBER(SEARCH("process",AG227)),ISNUMBER(SEARCH("fab",AG227)),ISNUMBER(SEARCH("manufac",AG227))),AO227="Method"),TRUE(),FALSE()),FALSE()))</f>
        <v>0</v>
      </c>
      <c r="CC227" s="50" t="b">
        <f aca="false">IF(Configuration!$C$16="No","",IFERROR(IF(AND(OR(ISNUMBER(SEARCH("material",AG227)),ISNUMBER(SEARCH("chem",AG227)),ISNUMBER(SEARCH("battery",AG227)),ISNUMBER(SEARCH("electrolyte",AG227)),ISNUMBER(SEARCH("polymer",AG227))),OR(AO227="Apparatus",AO227="Method")),TRUE(),FALSE()),FALSE()))</f>
        <v>0</v>
      </c>
      <c r="CD227" s="50" t="b">
        <f aca="false">IF(Configuration!$C$17="No","",IFERROR(IF(AND(OR(AI227="App",AI227="Middleware",AI227="Cloud"),OR(AO227="Method",AO227="CRM")),TRUE(),FALSE()),FALSE()))</f>
        <v>0</v>
      </c>
      <c r="CE227" s="50" t="b">
        <f aca="false">IF(Configuration!$C$18="No","",IFERROR(IF(N(AN227)&gt;=Configuration!$C$45,TRUE(),FALSE()),FALSE()))</f>
        <v>0</v>
      </c>
      <c r="CF227" s="50" t="b">
        <f aca="false">IF(Configuration!$C$19="No","",IFERROR(IF(BE227&lt;&gt;"",TRUE(),FALSE()),FALSE()))</f>
        <v>0</v>
      </c>
      <c r="CG227" s="50" t="b">
        <f aca="false">IF(Configuration!$C$20="No","",IFERROR(IF(AO227&lt;&gt;"",TRUE(),FALSE()),FALSE()))</f>
        <v>0</v>
      </c>
      <c r="CH227" s="50" t="b">
        <f aca="false">IF(Configuration!$C$21="No","",IFERROR(IF(OR(N(AS227)&gt;=Configuration!$C$46,N(AT227)&gt;=Configuration!$C$47),TRUE(),FALSE()),FALSE()))</f>
        <v>0</v>
      </c>
      <c r="CI227" s="50" t="b">
        <f aca="false">IF(Configuration!$C$22="No","",IFERROR(IF(BB227="Yes",TRUE(),FALSE()),FALSE()))</f>
        <v>0</v>
      </c>
      <c r="CJ227" s="50" t="b">
        <f aca="false">IF(Configuration!$C$23="No","",IFERROR(IF(N(AV227)&gt;=Configuration!$C$48,TRUE(),FALSE()),FALSE()))</f>
        <v>0</v>
      </c>
      <c r="CK227" s="50" t="b">
        <f aca="false">IF(Configuration!$C$24="No","",IFERROR(IF(N(AY227)&gt;0,TRUE(),FALSE()),FALSE()))</f>
        <v>0</v>
      </c>
      <c r="CL227" s="50" t="b">
        <f aca="false">IF(Configuration!$C$25="No","",IFERROR(IF(OR(N(AP227)=3,N(AP227)&lt;=1),TRUE(),FALSE()),FALSE()))</f>
        <v>1</v>
      </c>
      <c r="CM227" s="50" t="b">
        <f aca="false">IF(Configuration!$C$26="No","",IFERROR(IF(N(BF227)&gt;=Configuration!$C$49,TRUE(),FALSE()),FALSE()))</f>
        <v>0</v>
      </c>
      <c r="CN227" s="50" t="b">
        <f aca="false">IF(Configuration!$C$27="No","",IFERROR(IF(BD227&lt;&gt;"",TRUE(),FALSE()),FALSE()))</f>
        <v>0</v>
      </c>
      <c r="CO227" s="50" t="b">
        <f aca="false">IF(Configuration!$C$28="No","",IFERROR(IF(N(AU227)&gt;=Configuration!$C$50,TRUE(),FALSE()),FALSE()))</f>
        <v>0</v>
      </c>
      <c r="CP227" s="50" t="b">
        <f aca="false">IF(Configuration!$C$29="No","",IFERROR(IF(AND(N(AR227)&gt;=Configuration!$C$51,AG227&lt;&gt;""),TRUE(),FALSE()),FALSE()))</f>
        <v>0</v>
      </c>
      <c r="CQ227" s="50" t="b">
        <f aca="false">IF(Configuration!$C$30="No","",IFERROR(IF(OR(AW227="Pending",AX227="Yes"),TRUE(),FALSE()),FALSE()))</f>
        <v>0</v>
      </c>
      <c r="CR227" s="50" t="b">
        <f aca="false">IF(Configuration!$C$31="No","",IFERROR(IF(AND(N(BG227)&gt;=Configuration!$C$52,N(AP227)&gt;=1),TRUE(),FALSE()),FALSE()))</f>
        <v>0</v>
      </c>
      <c r="CS227" s="50" t="b">
        <f aca="false">IF(Configuration!$C$32="No","",IFERROR(IF(AND(N(AR227)&gt;=1,OR(AG227&lt;&gt;"",AM227&lt;&gt;"")),TRUE(),FALSE()),FALSE()))</f>
        <v>0</v>
      </c>
      <c r="CT227" s="50" t="b">
        <f aca="false">IF(Configuration!$C$33="No","",IFERROR(IF(AG227&lt;&gt;"",TRUE(),FALSE()),FALSE()))</f>
        <v>0</v>
      </c>
      <c r="CU227" s="50" t="b">
        <f aca="false">IF(Configuration!$C$34="No","",IFERROR(IF(AX227="Yes",TRUE(),FALSE()),FALSE()))</f>
        <v>0</v>
      </c>
      <c r="CV227" s="50" t="b">
        <f aca="false">IF(Configuration!$C$35="No","",IFERROR(IF(OR(BO227="Partial",BO227="Full"),TRUE(),FALSE()),FALSE()))</f>
        <v>0</v>
      </c>
      <c r="CW227" s="50" t="b">
        <f aca="false">IF(Configuration!$C$36="No","",IFERROR(IF(BM227="Survived",TRUE(),FALSE()),FALSE()))</f>
        <v>0</v>
      </c>
      <c r="CX227" s="50" t="b">
        <f aca="false">IF(Configuration!$C$37="No","",IFERROR(IF(AND(BN227="Clean",BP227="None"),TRUE(),FALSE()),FALSE()))</f>
        <v>0</v>
      </c>
      <c r="CY227" s="50" t="b">
        <f aca="false">IF(Configuration!$C$38="No","",IFERROR(IF(N(BK227)&gt;=Configuration!$C$53,TRUE(),FALSE()),FALSE()))</f>
        <v>0</v>
      </c>
      <c r="CZ227" s="50" t="b">
        <f aca="false">IF(Configuration!$C$39="No","",IFERROR(IF(AND(N(BS227)&gt;=2,N(BF227)&gt;=2),TRUE(),FALSE()),FALSE()))</f>
        <v>0</v>
      </c>
      <c r="DA227" s="50" t="b">
        <f aca="false">IF(Configuration!$C$40="No","",IFERROR(IF(OR(N(BG227)&lt;=Configuration!$C$56,N(AY227)&lt;Configuration!$C$57,N(BH227)&lt;=Configuration!$C$58),TRUE(),FALSE()),FALSE()))</f>
        <v>1</v>
      </c>
      <c r="DB227" s="50" t="b">
        <f aca="false">IF(Configuration!$C$41="No","",IFERROR(IF(AND(N(AY227)&gt;=Configuration!$C$54,N(AY227)&lt;=Configuration!$C$55),TRUE(),FALSE()),FALSE()))</f>
        <v>0</v>
      </c>
      <c r="DC227" s="50" t="b">
        <f aca="false">IF(Configuration!$C$42="No","",IFERROR(IF(AND(AG227&lt;&gt;"",AJ227&lt;&gt;""),TRUE(),FALSE()),FALSE()))</f>
        <v>0</v>
      </c>
      <c r="DD227" s="51" t="n">
        <f aca="false">COUNTIF(BW227:DC227,TRUE())</f>
        <v>2</v>
      </c>
    </row>
    <row r="228" customFormat="false" ht="15" hidden="false" customHeight="true" outlineLevel="0" collapsed="false">
      <c r="A228" s="18" t="n">
        <v>189</v>
      </c>
      <c r="B228" s="44"/>
      <c r="C228" s="44"/>
      <c r="D228" s="44"/>
      <c r="E228" s="44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6" t="str">
        <f aca="false">IFERROR(IF(F228&lt;&gt;"",F228,""),"")</f>
        <v/>
      </c>
      <c r="AF228" s="46" t="str">
        <f aca="false">IFERROR(IF(G228&lt;&gt;"",G228,""),"")</f>
        <v/>
      </c>
      <c r="AG228" s="46" t="str">
        <f aca="false">IFERROR(IF(AA228&lt;&gt;"",AA228,IF(R228&lt;&gt;"",R228,"")),"")</f>
        <v/>
      </c>
      <c r="AH228" s="46" t="str">
        <f aca="false">IFERROR(IF(AB228&lt;&gt;"",AB228,IF(S228&lt;&gt;"",S228,"")),"")</f>
        <v/>
      </c>
      <c r="AI228" s="47"/>
      <c r="AJ228" s="47"/>
      <c r="AK228" s="47"/>
      <c r="AL228" s="47"/>
      <c r="AM228" s="47"/>
      <c r="AN228" s="47"/>
      <c r="AO228" s="47"/>
      <c r="AP228" s="47"/>
      <c r="AQ228" s="46" t="str">
        <f aca="false">IFERROR(IF(Y228&lt;&gt;"",VALUE(Y228),""),"")</f>
        <v/>
      </c>
      <c r="AR228" s="47"/>
      <c r="AS228" s="47"/>
      <c r="AT228" s="47"/>
      <c r="AU228" s="47"/>
      <c r="AV228" s="46" t="str">
        <f aca="false">IFERROR(IF(T228&lt;&gt;"",VALUE(T228),""),"")</f>
        <v/>
      </c>
      <c r="AW228" s="46" t="str">
        <f aca="false">IFERROR(IF(N228="","",IF(OR(ISNUMBER(SEARCH("grant",N228)),ISNUMBER(SEARCH("B",AC228))),"Granted",IF(OR(ISNUMBER(SEARCH("pend",N228)),ISNUMBER(SEARCH("A",AC228))),"Pending",IF(ISNUMBER(SEARCH("expir",N228)),"Expired",N228)))),"")</f>
        <v/>
      </c>
      <c r="AX228" s="47"/>
      <c r="AY228" s="46" t="str">
        <f aca="true">IFERROR(IF(M228&lt;&gt;"",ROUND(VALUE(M228),1),IF(L228&lt;&gt;"",ROUND(MAX(0,(DATEVALUE(TEXT(L228,"YYYY-MM-DD"))-TODAY())/365.25),1),"")),"")</f>
        <v/>
      </c>
      <c r="AZ228" s="46" t="str">
        <f aca="false">IFERROR(IF(O228&lt;&gt;"",O228,""),"")</f>
        <v/>
      </c>
      <c r="BA228" s="46" t="str">
        <f aca="false">IFERROR(IF(U228&lt;&gt;"",SUBSTITUTE(SUBSTITUTE(U228,"; ",", "),";",","),""),"")</f>
        <v/>
      </c>
      <c r="BB228" s="47"/>
      <c r="BC228" s="47"/>
      <c r="BD228" s="47"/>
      <c r="BE228" s="47"/>
      <c r="BF228" s="47"/>
      <c r="BG228" s="47"/>
      <c r="BH228" s="47"/>
      <c r="BI228" s="47"/>
      <c r="BJ228" s="47"/>
      <c r="BK228" s="46" t="str">
        <f aca="false">IFERROR(IF(W228&lt;&gt;"",VALUE(W228),""),"")</f>
        <v/>
      </c>
      <c r="BL228" s="46" t="str">
        <f aca="false">IFERROR(IF(X228&lt;&gt;"",VALUE(X228),""),"")</f>
        <v/>
      </c>
      <c r="BM228" s="46" t="str">
        <f aca="false">IFERROR(IF(AD228="","None",IF(ISNUMBER(SEARCH("surv",AD228)),"Survived",IF(ISNUMBER(SEARCH("pend",AD228)),"Pending",IF(ISNUMBER(SEARCH("yes",AD228)),"Pending","None")))),"None")</f>
        <v>None</v>
      </c>
      <c r="BN228" s="47"/>
      <c r="BO228" s="47"/>
      <c r="BP228" s="47"/>
      <c r="BQ228" s="47"/>
      <c r="BR228" s="47"/>
      <c r="BS228" s="47"/>
      <c r="BT228" s="47"/>
      <c r="BU228" s="48" t="n">
        <f aca="false">IFERROR(COUNTA(AE228:BT228)/42,0)</f>
        <v>0.30952380952381</v>
      </c>
      <c r="BV228" s="49"/>
      <c r="BW228" s="50" t="b">
        <f aca="false">IF(Configuration!$C$10="No","",IFERROR(IF(AG228&lt;&gt;"",TRUE(),FALSE()),FALSE()))</f>
        <v>0</v>
      </c>
      <c r="BX228" s="50" t="b">
        <f aca="false">IF(Configuration!$C$11="No","",IFERROR(IF(AND(N(AL228)&gt;=Configuration!$C$44,AM228&lt;&gt;""),TRUE(),FALSE()),FALSE()))</f>
        <v>0</v>
      </c>
      <c r="BY228" s="50" t="b">
        <f aca="false">IF(Configuration!$C$12="No","",IFERROR(IF(AJ228&lt;&gt;"",TRUE(),FALSE()),FALSE()))</f>
        <v>0</v>
      </c>
      <c r="BZ228" s="50" t="b">
        <f aca="false">IF(Configuration!$C$13="No","",IFERROR(IF(AI228&lt;&gt;"",TRUE(),FALSE()),FALSE()))</f>
        <v>0</v>
      </c>
      <c r="CA228" s="50" t="b">
        <f aca="false">IF(Configuration!$C$14="No","",IFERROR(IF(AK228&lt;&gt;"",TRUE(),FALSE()),FALSE()))</f>
        <v>0</v>
      </c>
      <c r="CB228" s="50" t="b">
        <f aca="false">IF(Configuration!$C$15="No","",IFERROR(IF(AND(OR(ISNUMBER(SEARCH("process",AG228)),ISNUMBER(SEARCH("fab",AG228)),ISNUMBER(SEARCH("manufac",AG228))),AO228="Method"),TRUE(),FALSE()),FALSE()))</f>
        <v>0</v>
      </c>
      <c r="CC228" s="50" t="b">
        <f aca="false">IF(Configuration!$C$16="No","",IFERROR(IF(AND(OR(ISNUMBER(SEARCH("material",AG228)),ISNUMBER(SEARCH("chem",AG228)),ISNUMBER(SEARCH("battery",AG228)),ISNUMBER(SEARCH("electrolyte",AG228)),ISNUMBER(SEARCH("polymer",AG228))),OR(AO228="Apparatus",AO228="Method")),TRUE(),FALSE()),FALSE()))</f>
        <v>0</v>
      </c>
      <c r="CD228" s="50" t="b">
        <f aca="false">IF(Configuration!$C$17="No","",IFERROR(IF(AND(OR(AI228="App",AI228="Middleware",AI228="Cloud"),OR(AO228="Method",AO228="CRM")),TRUE(),FALSE()),FALSE()))</f>
        <v>0</v>
      </c>
      <c r="CE228" s="50" t="b">
        <f aca="false">IF(Configuration!$C$18="No","",IFERROR(IF(N(AN228)&gt;=Configuration!$C$45,TRUE(),FALSE()),FALSE()))</f>
        <v>0</v>
      </c>
      <c r="CF228" s="50" t="b">
        <f aca="false">IF(Configuration!$C$19="No","",IFERROR(IF(BE228&lt;&gt;"",TRUE(),FALSE()),FALSE()))</f>
        <v>0</v>
      </c>
      <c r="CG228" s="50" t="b">
        <f aca="false">IF(Configuration!$C$20="No","",IFERROR(IF(AO228&lt;&gt;"",TRUE(),FALSE()),FALSE()))</f>
        <v>0</v>
      </c>
      <c r="CH228" s="50" t="b">
        <f aca="false">IF(Configuration!$C$21="No","",IFERROR(IF(OR(N(AS228)&gt;=Configuration!$C$46,N(AT228)&gt;=Configuration!$C$47),TRUE(),FALSE()),FALSE()))</f>
        <v>0</v>
      </c>
      <c r="CI228" s="50" t="b">
        <f aca="false">IF(Configuration!$C$22="No","",IFERROR(IF(BB228="Yes",TRUE(),FALSE()),FALSE()))</f>
        <v>0</v>
      </c>
      <c r="CJ228" s="50" t="b">
        <f aca="false">IF(Configuration!$C$23="No","",IFERROR(IF(N(AV228)&gt;=Configuration!$C$48,TRUE(),FALSE()),FALSE()))</f>
        <v>0</v>
      </c>
      <c r="CK228" s="50" t="b">
        <f aca="false">IF(Configuration!$C$24="No","",IFERROR(IF(N(AY228)&gt;0,TRUE(),FALSE()),FALSE()))</f>
        <v>0</v>
      </c>
      <c r="CL228" s="50" t="b">
        <f aca="false">IF(Configuration!$C$25="No","",IFERROR(IF(OR(N(AP228)=3,N(AP228)&lt;=1),TRUE(),FALSE()),FALSE()))</f>
        <v>1</v>
      </c>
      <c r="CM228" s="50" t="b">
        <f aca="false">IF(Configuration!$C$26="No","",IFERROR(IF(N(BF228)&gt;=Configuration!$C$49,TRUE(),FALSE()),FALSE()))</f>
        <v>0</v>
      </c>
      <c r="CN228" s="50" t="b">
        <f aca="false">IF(Configuration!$C$27="No","",IFERROR(IF(BD228&lt;&gt;"",TRUE(),FALSE()),FALSE()))</f>
        <v>0</v>
      </c>
      <c r="CO228" s="50" t="b">
        <f aca="false">IF(Configuration!$C$28="No","",IFERROR(IF(N(AU228)&gt;=Configuration!$C$50,TRUE(),FALSE()),FALSE()))</f>
        <v>0</v>
      </c>
      <c r="CP228" s="50" t="b">
        <f aca="false">IF(Configuration!$C$29="No","",IFERROR(IF(AND(N(AR228)&gt;=Configuration!$C$51,AG228&lt;&gt;""),TRUE(),FALSE()),FALSE()))</f>
        <v>0</v>
      </c>
      <c r="CQ228" s="50" t="b">
        <f aca="false">IF(Configuration!$C$30="No","",IFERROR(IF(OR(AW228="Pending",AX228="Yes"),TRUE(),FALSE()),FALSE()))</f>
        <v>0</v>
      </c>
      <c r="CR228" s="50" t="b">
        <f aca="false">IF(Configuration!$C$31="No","",IFERROR(IF(AND(N(BG228)&gt;=Configuration!$C$52,N(AP228)&gt;=1),TRUE(),FALSE()),FALSE()))</f>
        <v>0</v>
      </c>
      <c r="CS228" s="50" t="b">
        <f aca="false">IF(Configuration!$C$32="No","",IFERROR(IF(AND(N(AR228)&gt;=1,OR(AG228&lt;&gt;"",AM228&lt;&gt;"")),TRUE(),FALSE()),FALSE()))</f>
        <v>0</v>
      </c>
      <c r="CT228" s="50" t="b">
        <f aca="false">IF(Configuration!$C$33="No","",IFERROR(IF(AG228&lt;&gt;"",TRUE(),FALSE()),FALSE()))</f>
        <v>0</v>
      </c>
      <c r="CU228" s="50" t="b">
        <f aca="false">IF(Configuration!$C$34="No","",IFERROR(IF(AX228="Yes",TRUE(),FALSE()),FALSE()))</f>
        <v>0</v>
      </c>
      <c r="CV228" s="50" t="b">
        <f aca="false">IF(Configuration!$C$35="No","",IFERROR(IF(OR(BO228="Partial",BO228="Full"),TRUE(),FALSE()),FALSE()))</f>
        <v>0</v>
      </c>
      <c r="CW228" s="50" t="b">
        <f aca="false">IF(Configuration!$C$36="No","",IFERROR(IF(BM228="Survived",TRUE(),FALSE()),FALSE()))</f>
        <v>0</v>
      </c>
      <c r="CX228" s="50" t="b">
        <f aca="false">IF(Configuration!$C$37="No","",IFERROR(IF(AND(BN228="Clean",BP228="None"),TRUE(),FALSE()),FALSE()))</f>
        <v>0</v>
      </c>
      <c r="CY228" s="50" t="b">
        <f aca="false">IF(Configuration!$C$38="No","",IFERROR(IF(N(BK228)&gt;=Configuration!$C$53,TRUE(),FALSE()),FALSE()))</f>
        <v>0</v>
      </c>
      <c r="CZ228" s="50" t="b">
        <f aca="false">IF(Configuration!$C$39="No","",IFERROR(IF(AND(N(BS228)&gt;=2,N(BF228)&gt;=2),TRUE(),FALSE()),FALSE()))</f>
        <v>0</v>
      </c>
      <c r="DA228" s="50" t="b">
        <f aca="false">IF(Configuration!$C$40="No","",IFERROR(IF(OR(N(BG228)&lt;=Configuration!$C$56,N(AY228)&lt;Configuration!$C$57,N(BH228)&lt;=Configuration!$C$58),TRUE(),FALSE()),FALSE()))</f>
        <v>1</v>
      </c>
      <c r="DB228" s="50" t="b">
        <f aca="false">IF(Configuration!$C$41="No","",IFERROR(IF(AND(N(AY228)&gt;=Configuration!$C$54,N(AY228)&lt;=Configuration!$C$55),TRUE(),FALSE()),FALSE()))</f>
        <v>0</v>
      </c>
      <c r="DC228" s="50" t="b">
        <f aca="false">IF(Configuration!$C$42="No","",IFERROR(IF(AND(AG228&lt;&gt;"",AJ228&lt;&gt;""),TRUE(),FALSE()),FALSE()))</f>
        <v>0</v>
      </c>
      <c r="DD228" s="51" t="n">
        <f aca="false">COUNTIF(BW228:DC228,TRUE())</f>
        <v>2</v>
      </c>
    </row>
    <row r="229" customFormat="false" ht="15" hidden="false" customHeight="true" outlineLevel="0" collapsed="false">
      <c r="A229" s="18" t="n">
        <v>190</v>
      </c>
      <c r="B229" s="44"/>
      <c r="C229" s="44"/>
      <c r="D229" s="44"/>
      <c r="E229" s="44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6" t="str">
        <f aca="false">IFERROR(IF(F229&lt;&gt;"",F229,""),"")</f>
        <v/>
      </c>
      <c r="AF229" s="46" t="str">
        <f aca="false">IFERROR(IF(G229&lt;&gt;"",G229,""),"")</f>
        <v/>
      </c>
      <c r="AG229" s="46" t="str">
        <f aca="false">IFERROR(IF(AA229&lt;&gt;"",AA229,IF(R229&lt;&gt;"",R229,"")),"")</f>
        <v/>
      </c>
      <c r="AH229" s="46" t="str">
        <f aca="false">IFERROR(IF(AB229&lt;&gt;"",AB229,IF(S229&lt;&gt;"",S229,"")),"")</f>
        <v/>
      </c>
      <c r="AI229" s="47"/>
      <c r="AJ229" s="47"/>
      <c r="AK229" s="47"/>
      <c r="AL229" s="47"/>
      <c r="AM229" s="47"/>
      <c r="AN229" s="47"/>
      <c r="AO229" s="47"/>
      <c r="AP229" s="47"/>
      <c r="AQ229" s="46" t="str">
        <f aca="false">IFERROR(IF(Y229&lt;&gt;"",VALUE(Y229),""),"")</f>
        <v/>
      </c>
      <c r="AR229" s="47"/>
      <c r="AS229" s="47"/>
      <c r="AT229" s="47"/>
      <c r="AU229" s="47"/>
      <c r="AV229" s="46" t="str">
        <f aca="false">IFERROR(IF(T229&lt;&gt;"",VALUE(T229),""),"")</f>
        <v/>
      </c>
      <c r="AW229" s="46" t="str">
        <f aca="false">IFERROR(IF(N229="","",IF(OR(ISNUMBER(SEARCH("grant",N229)),ISNUMBER(SEARCH("B",AC229))),"Granted",IF(OR(ISNUMBER(SEARCH("pend",N229)),ISNUMBER(SEARCH("A",AC229))),"Pending",IF(ISNUMBER(SEARCH("expir",N229)),"Expired",N229)))),"")</f>
        <v/>
      </c>
      <c r="AX229" s="47"/>
      <c r="AY229" s="46" t="str">
        <f aca="true">IFERROR(IF(M229&lt;&gt;"",ROUND(VALUE(M229),1),IF(L229&lt;&gt;"",ROUND(MAX(0,(DATEVALUE(TEXT(L229,"YYYY-MM-DD"))-TODAY())/365.25),1),"")),"")</f>
        <v/>
      </c>
      <c r="AZ229" s="46" t="str">
        <f aca="false">IFERROR(IF(O229&lt;&gt;"",O229,""),"")</f>
        <v/>
      </c>
      <c r="BA229" s="46" t="str">
        <f aca="false">IFERROR(IF(U229&lt;&gt;"",SUBSTITUTE(SUBSTITUTE(U229,"; ",", "),";",","),""),"")</f>
        <v/>
      </c>
      <c r="BB229" s="47"/>
      <c r="BC229" s="47"/>
      <c r="BD229" s="47"/>
      <c r="BE229" s="47"/>
      <c r="BF229" s="47"/>
      <c r="BG229" s="47"/>
      <c r="BH229" s="47"/>
      <c r="BI229" s="47"/>
      <c r="BJ229" s="47"/>
      <c r="BK229" s="46" t="str">
        <f aca="false">IFERROR(IF(W229&lt;&gt;"",VALUE(W229),""),"")</f>
        <v/>
      </c>
      <c r="BL229" s="46" t="str">
        <f aca="false">IFERROR(IF(X229&lt;&gt;"",VALUE(X229),""),"")</f>
        <v/>
      </c>
      <c r="BM229" s="46" t="str">
        <f aca="false">IFERROR(IF(AD229="","None",IF(ISNUMBER(SEARCH("surv",AD229)),"Survived",IF(ISNUMBER(SEARCH("pend",AD229)),"Pending",IF(ISNUMBER(SEARCH("yes",AD229)),"Pending","None")))),"None")</f>
        <v>None</v>
      </c>
      <c r="BN229" s="47"/>
      <c r="BO229" s="47"/>
      <c r="BP229" s="47"/>
      <c r="BQ229" s="47"/>
      <c r="BR229" s="47"/>
      <c r="BS229" s="47"/>
      <c r="BT229" s="47"/>
      <c r="BU229" s="48" t="n">
        <f aca="false">IFERROR(COUNTA(AE229:BT229)/42,0)</f>
        <v>0.30952380952381</v>
      </c>
      <c r="BV229" s="49"/>
      <c r="BW229" s="50" t="b">
        <f aca="false">IF(Configuration!$C$10="No","",IFERROR(IF(AG229&lt;&gt;"",TRUE(),FALSE()),FALSE()))</f>
        <v>0</v>
      </c>
      <c r="BX229" s="50" t="b">
        <f aca="false">IF(Configuration!$C$11="No","",IFERROR(IF(AND(N(AL229)&gt;=Configuration!$C$44,AM229&lt;&gt;""),TRUE(),FALSE()),FALSE()))</f>
        <v>0</v>
      </c>
      <c r="BY229" s="50" t="b">
        <f aca="false">IF(Configuration!$C$12="No","",IFERROR(IF(AJ229&lt;&gt;"",TRUE(),FALSE()),FALSE()))</f>
        <v>0</v>
      </c>
      <c r="BZ229" s="50" t="b">
        <f aca="false">IF(Configuration!$C$13="No","",IFERROR(IF(AI229&lt;&gt;"",TRUE(),FALSE()),FALSE()))</f>
        <v>0</v>
      </c>
      <c r="CA229" s="50" t="b">
        <f aca="false">IF(Configuration!$C$14="No","",IFERROR(IF(AK229&lt;&gt;"",TRUE(),FALSE()),FALSE()))</f>
        <v>0</v>
      </c>
      <c r="CB229" s="50" t="b">
        <f aca="false">IF(Configuration!$C$15="No","",IFERROR(IF(AND(OR(ISNUMBER(SEARCH("process",AG229)),ISNUMBER(SEARCH("fab",AG229)),ISNUMBER(SEARCH("manufac",AG229))),AO229="Method"),TRUE(),FALSE()),FALSE()))</f>
        <v>0</v>
      </c>
      <c r="CC229" s="50" t="b">
        <f aca="false">IF(Configuration!$C$16="No","",IFERROR(IF(AND(OR(ISNUMBER(SEARCH("material",AG229)),ISNUMBER(SEARCH("chem",AG229)),ISNUMBER(SEARCH("battery",AG229)),ISNUMBER(SEARCH("electrolyte",AG229)),ISNUMBER(SEARCH("polymer",AG229))),OR(AO229="Apparatus",AO229="Method")),TRUE(),FALSE()),FALSE()))</f>
        <v>0</v>
      </c>
      <c r="CD229" s="50" t="b">
        <f aca="false">IF(Configuration!$C$17="No","",IFERROR(IF(AND(OR(AI229="App",AI229="Middleware",AI229="Cloud"),OR(AO229="Method",AO229="CRM")),TRUE(),FALSE()),FALSE()))</f>
        <v>0</v>
      </c>
      <c r="CE229" s="50" t="b">
        <f aca="false">IF(Configuration!$C$18="No","",IFERROR(IF(N(AN229)&gt;=Configuration!$C$45,TRUE(),FALSE()),FALSE()))</f>
        <v>0</v>
      </c>
      <c r="CF229" s="50" t="b">
        <f aca="false">IF(Configuration!$C$19="No","",IFERROR(IF(BE229&lt;&gt;"",TRUE(),FALSE()),FALSE()))</f>
        <v>0</v>
      </c>
      <c r="CG229" s="50" t="b">
        <f aca="false">IF(Configuration!$C$20="No","",IFERROR(IF(AO229&lt;&gt;"",TRUE(),FALSE()),FALSE()))</f>
        <v>0</v>
      </c>
      <c r="CH229" s="50" t="b">
        <f aca="false">IF(Configuration!$C$21="No","",IFERROR(IF(OR(N(AS229)&gt;=Configuration!$C$46,N(AT229)&gt;=Configuration!$C$47),TRUE(),FALSE()),FALSE()))</f>
        <v>0</v>
      </c>
      <c r="CI229" s="50" t="b">
        <f aca="false">IF(Configuration!$C$22="No","",IFERROR(IF(BB229="Yes",TRUE(),FALSE()),FALSE()))</f>
        <v>0</v>
      </c>
      <c r="CJ229" s="50" t="b">
        <f aca="false">IF(Configuration!$C$23="No","",IFERROR(IF(N(AV229)&gt;=Configuration!$C$48,TRUE(),FALSE()),FALSE()))</f>
        <v>0</v>
      </c>
      <c r="CK229" s="50" t="b">
        <f aca="false">IF(Configuration!$C$24="No","",IFERROR(IF(N(AY229)&gt;0,TRUE(),FALSE()),FALSE()))</f>
        <v>0</v>
      </c>
      <c r="CL229" s="50" t="b">
        <f aca="false">IF(Configuration!$C$25="No","",IFERROR(IF(OR(N(AP229)=3,N(AP229)&lt;=1),TRUE(),FALSE()),FALSE()))</f>
        <v>1</v>
      </c>
      <c r="CM229" s="50" t="b">
        <f aca="false">IF(Configuration!$C$26="No","",IFERROR(IF(N(BF229)&gt;=Configuration!$C$49,TRUE(),FALSE()),FALSE()))</f>
        <v>0</v>
      </c>
      <c r="CN229" s="50" t="b">
        <f aca="false">IF(Configuration!$C$27="No","",IFERROR(IF(BD229&lt;&gt;"",TRUE(),FALSE()),FALSE()))</f>
        <v>0</v>
      </c>
      <c r="CO229" s="50" t="b">
        <f aca="false">IF(Configuration!$C$28="No","",IFERROR(IF(N(AU229)&gt;=Configuration!$C$50,TRUE(),FALSE()),FALSE()))</f>
        <v>0</v>
      </c>
      <c r="CP229" s="50" t="b">
        <f aca="false">IF(Configuration!$C$29="No","",IFERROR(IF(AND(N(AR229)&gt;=Configuration!$C$51,AG229&lt;&gt;""),TRUE(),FALSE()),FALSE()))</f>
        <v>0</v>
      </c>
      <c r="CQ229" s="50" t="b">
        <f aca="false">IF(Configuration!$C$30="No","",IFERROR(IF(OR(AW229="Pending",AX229="Yes"),TRUE(),FALSE()),FALSE()))</f>
        <v>0</v>
      </c>
      <c r="CR229" s="50" t="b">
        <f aca="false">IF(Configuration!$C$31="No","",IFERROR(IF(AND(N(BG229)&gt;=Configuration!$C$52,N(AP229)&gt;=1),TRUE(),FALSE()),FALSE()))</f>
        <v>0</v>
      </c>
      <c r="CS229" s="50" t="b">
        <f aca="false">IF(Configuration!$C$32="No","",IFERROR(IF(AND(N(AR229)&gt;=1,OR(AG229&lt;&gt;"",AM229&lt;&gt;"")),TRUE(),FALSE()),FALSE()))</f>
        <v>0</v>
      </c>
      <c r="CT229" s="50" t="b">
        <f aca="false">IF(Configuration!$C$33="No","",IFERROR(IF(AG229&lt;&gt;"",TRUE(),FALSE()),FALSE()))</f>
        <v>0</v>
      </c>
      <c r="CU229" s="50" t="b">
        <f aca="false">IF(Configuration!$C$34="No","",IFERROR(IF(AX229="Yes",TRUE(),FALSE()),FALSE()))</f>
        <v>0</v>
      </c>
      <c r="CV229" s="50" t="b">
        <f aca="false">IF(Configuration!$C$35="No","",IFERROR(IF(OR(BO229="Partial",BO229="Full"),TRUE(),FALSE()),FALSE()))</f>
        <v>0</v>
      </c>
      <c r="CW229" s="50" t="b">
        <f aca="false">IF(Configuration!$C$36="No","",IFERROR(IF(BM229="Survived",TRUE(),FALSE()),FALSE()))</f>
        <v>0</v>
      </c>
      <c r="CX229" s="50" t="b">
        <f aca="false">IF(Configuration!$C$37="No","",IFERROR(IF(AND(BN229="Clean",BP229="None"),TRUE(),FALSE()),FALSE()))</f>
        <v>0</v>
      </c>
      <c r="CY229" s="50" t="b">
        <f aca="false">IF(Configuration!$C$38="No","",IFERROR(IF(N(BK229)&gt;=Configuration!$C$53,TRUE(),FALSE()),FALSE()))</f>
        <v>0</v>
      </c>
      <c r="CZ229" s="50" t="b">
        <f aca="false">IF(Configuration!$C$39="No","",IFERROR(IF(AND(N(BS229)&gt;=2,N(BF229)&gt;=2),TRUE(),FALSE()),FALSE()))</f>
        <v>0</v>
      </c>
      <c r="DA229" s="50" t="b">
        <f aca="false">IF(Configuration!$C$40="No","",IFERROR(IF(OR(N(BG229)&lt;=Configuration!$C$56,N(AY229)&lt;Configuration!$C$57,N(BH229)&lt;=Configuration!$C$58),TRUE(),FALSE()),FALSE()))</f>
        <v>1</v>
      </c>
      <c r="DB229" s="50" t="b">
        <f aca="false">IF(Configuration!$C$41="No","",IFERROR(IF(AND(N(AY229)&gt;=Configuration!$C$54,N(AY229)&lt;=Configuration!$C$55),TRUE(),FALSE()),FALSE()))</f>
        <v>0</v>
      </c>
      <c r="DC229" s="50" t="b">
        <f aca="false">IF(Configuration!$C$42="No","",IFERROR(IF(AND(AG229&lt;&gt;"",AJ229&lt;&gt;""),TRUE(),FALSE()),FALSE()))</f>
        <v>0</v>
      </c>
      <c r="DD229" s="51" t="n">
        <f aca="false">COUNTIF(BW229:DC229,TRUE())</f>
        <v>2</v>
      </c>
    </row>
    <row r="230" customFormat="false" ht="15" hidden="false" customHeight="true" outlineLevel="0" collapsed="false">
      <c r="A230" s="18" t="n">
        <v>191</v>
      </c>
      <c r="B230" s="44"/>
      <c r="C230" s="44"/>
      <c r="D230" s="44"/>
      <c r="E230" s="44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6" t="str">
        <f aca="false">IFERROR(IF(F230&lt;&gt;"",F230,""),"")</f>
        <v/>
      </c>
      <c r="AF230" s="46" t="str">
        <f aca="false">IFERROR(IF(G230&lt;&gt;"",G230,""),"")</f>
        <v/>
      </c>
      <c r="AG230" s="46" t="str">
        <f aca="false">IFERROR(IF(AA230&lt;&gt;"",AA230,IF(R230&lt;&gt;"",R230,"")),"")</f>
        <v/>
      </c>
      <c r="AH230" s="46" t="str">
        <f aca="false">IFERROR(IF(AB230&lt;&gt;"",AB230,IF(S230&lt;&gt;"",S230,"")),"")</f>
        <v/>
      </c>
      <c r="AI230" s="47"/>
      <c r="AJ230" s="47"/>
      <c r="AK230" s="47"/>
      <c r="AL230" s="47"/>
      <c r="AM230" s="47"/>
      <c r="AN230" s="47"/>
      <c r="AO230" s="47"/>
      <c r="AP230" s="47"/>
      <c r="AQ230" s="46" t="str">
        <f aca="false">IFERROR(IF(Y230&lt;&gt;"",VALUE(Y230),""),"")</f>
        <v/>
      </c>
      <c r="AR230" s="47"/>
      <c r="AS230" s="47"/>
      <c r="AT230" s="47"/>
      <c r="AU230" s="47"/>
      <c r="AV230" s="46" t="str">
        <f aca="false">IFERROR(IF(T230&lt;&gt;"",VALUE(T230),""),"")</f>
        <v/>
      </c>
      <c r="AW230" s="46" t="str">
        <f aca="false">IFERROR(IF(N230="","",IF(OR(ISNUMBER(SEARCH("grant",N230)),ISNUMBER(SEARCH("B",AC230))),"Granted",IF(OR(ISNUMBER(SEARCH("pend",N230)),ISNUMBER(SEARCH("A",AC230))),"Pending",IF(ISNUMBER(SEARCH("expir",N230)),"Expired",N230)))),"")</f>
        <v/>
      </c>
      <c r="AX230" s="47"/>
      <c r="AY230" s="46" t="str">
        <f aca="true">IFERROR(IF(M230&lt;&gt;"",ROUND(VALUE(M230),1),IF(L230&lt;&gt;"",ROUND(MAX(0,(DATEVALUE(TEXT(L230,"YYYY-MM-DD"))-TODAY())/365.25),1),"")),"")</f>
        <v/>
      </c>
      <c r="AZ230" s="46" t="str">
        <f aca="false">IFERROR(IF(O230&lt;&gt;"",O230,""),"")</f>
        <v/>
      </c>
      <c r="BA230" s="46" t="str">
        <f aca="false">IFERROR(IF(U230&lt;&gt;"",SUBSTITUTE(SUBSTITUTE(U230,"; ",", "),";",","),""),"")</f>
        <v/>
      </c>
      <c r="BB230" s="47"/>
      <c r="BC230" s="47"/>
      <c r="BD230" s="47"/>
      <c r="BE230" s="47"/>
      <c r="BF230" s="47"/>
      <c r="BG230" s="47"/>
      <c r="BH230" s="47"/>
      <c r="BI230" s="47"/>
      <c r="BJ230" s="47"/>
      <c r="BK230" s="46" t="str">
        <f aca="false">IFERROR(IF(W230&lt;&gt;"",VALUE(W230),""),"")</f>
        <v/>
      </c>
      <c r="BL230" s="46" t="str">
        <f aca="false">IFERROR(IF(X230&lt;&gt;"",VALUE(X230),""),"")</f>
        <v/>
      </c>
      <c r="BM230" s="46" t="str">
        <f aca="false">IFERROR(IF(AD230="","None",IF(ISNUMBER(SEARCH("surv",AD230)),"Survived",IF(ISNUMBER(SEARCH("pend",AD230)),"Pending",IF(ISNUMBER(SEARCH("yes",AD230)),"Pending","None")))),"None")</f>
        <v>None</v>
      </c>
      <c r="BN230" s="47"/>
      <c r="BO230" s="47"/>
      <c r="BP230" s="47"/>
      <c r="BQ230" s="47"/>
      <c r="BR230" s="47"/>
      <c r="BS230" s="47"/>
      <c r="BT230" s="47"/>
      <c r="BU230" s="48" t="n">
        <f aca="false">IFERROR(COUNTA(AE230:BT230)/42,0)</f>
        <v>0.30952380952381</v>
      </c>
      <c r="BV230" s="49"/>
      <c r="BW230" s="50" t="b">
        <f aca="false">IF(Configuration!$C$10="No","",IFERROR(IF(AG230&lt;&gt;"",TRUE(),FALSE()),FALSE()))</f>
        <v>0</v>
      </c>
      <c r="BX230" s="50" t="b">
        <f aca="false">IF(Configuration!$C$11="No","",IFERROR(IF(AND(N(AL230)&gt;=Configuration!$C$44,AM230&lt;&gt;""),TRUE(),FALSE()),FALSE()))</f>
        <v>0</v>
      </c>
      <c r="BY230" s="50" t="b">
        <f aca="false">IF(Configuration!$C$12="No","",IFERROR(IF(AJ230&lt;&gt;"",TRUE(),FALSE()),FALSE()))</f>
        <v>0</v>
      </c>
      <c r="BZ230" s="50" t="b">
        <f aca="false">IF(Configuration!$C$13="No","",IFERROR(IF(AI230&lt;&gt;"",TRUE(),FALSE()),FALSE()))</f>
        <v>0</v>
      </c>
      <c r="CA230" s="50" t="b">
        <f aca="false">IF(Configuration!$C$14="No","",IFERROR(IF(AK230&lt;&gt;"",TRUE(),FALSE()),FALSE()))</f>
        <v>0</v>
      </c>
      <c r="CB230" s="50" t="b">
        <f aca="false">IF(Configuration!$C$15="No","",IFERROR(IF(AND(OR(ISNUMBER(SEARCH("process",AG230)),ISNUMBER(SEARCH("fab",AG230)),ISNUMBER(SEARCH("manufac",AG230))),AO230="Method"),TRUE(),FALSE()),FALSE()))</f>
        <v>0</v>
      </c>
      <c r="CC230" s="50" t="b">
        <f aca="false">IF(Configuration!$C$16="No","",IFERROR(IF(AND(OR(ISNUMBER(SEARCH("material",AG230)),ISNUMBER(SEARCH("chem",AG230)),ISNUMBER(SEARCH("battery",AG230)),ISNUMBER(SEARCH("electrolyte",AG230)),ISNUMBER(SEARCH("polymer",AG230))),OR(AO230="Apparatus",AO230="Method")),TRUE(),FALSE()),FALSE()))</f>
        <v>0</v>
      </c>
      <c r="CD230" s="50" t="b">
        <f aca="false">IF(Configuration!$C$17="No","",IFERROR(IF(AND(OR(AI230="App",AI230="Middleware",AI230="Cloud"),OR(AO230="Method",AO230="CRM")),TRUE(),FALSE()),FALSE()))</f>
        <v>0</v>
      </c>
      <c r="CE230" s="50" t="b">
        <f aca="false">IF(Configuration!$C$18="No","",IFERROR(IF(N(AN230)&gt;=Configuration!$C$45,TRUE(),FALSE()),FALSE()))</f>
        <v>0</v>
      </c>
      <c r="CF230" s="50" t="b">
        <f aca="false">IF(Configuration!$C$19="No","",IFERROR(IF(BE230&lt;&gt;"",TRUE(),FALSE()),FALSE()))</f>
        <v>0</v>
      </c>
      <c r="CG230" s="50" t="b">
        <f aca="false">IF(Configuration!$C$20="No","",IFERROR(IF(AO230&lt;&gt;"",TRUE(),FALSE()),FALSE()))</f>
        <v>0</v>
      </c>
      <c r="CH230" s="50" t="b">
        <f aca="false">IF(Configuration!$C$21="No","",IFERROR(IF(OR(N(AS230)&gt;=Configuration!$C$46,N(AT230)&gt;=Configuration!$C$47),TRUE(),FALSE()),FALSE()))</f>
        <v>0</v>
      </c>
      <c r="CI230" s="50" t="b">
        <f aca="false">IF(Configuration!$C$22="No","",IFERROR(IF(BB230="Yes",TRUE(),FALSE()),FALSE()))</f>
        <v>0</v>
      </c>
      <c r="CJ230" s="50" t="b">
        <f aca="false">IF(Configuration!$C$23="No","",IFERROR(IF(N(AV230)&gt;=Configuration!$C$48,TRUE(),FALSE()),FALSE()))</f>
        <v>0</v>
      </c>
      <c r="CK230" s="50" t="b">
        <f aca="false">IF(Configuration!$C$24="No","",IFERROR(IF(N(AY230)&gt;0,TRUE(),FALSE()),FALSE()))</f>
        <v>0</v>
      </c>
      <c r="CL230" s="50" t="b">
        <f aca="false">IF(Configuration!$C$25="No","",IFERROR(IF(OR(N(AP230)=3,N(AP230)&lt;=1),TRUE(),FALSE()),FALSE()))</f>
        <v>1</v>
      </c>
      <c r="CM230" s="50" t="b">
        <f aca="false">IF(Configuration!$C$26="No","",IFERROR(IF(N(BF230)&gt;=Configuration!$C$49,TRUE(),FALSE()),FALSE()))</f>
        <v>0</v>
      </c>
      <c r="CN230" s="50" t="b">
        <f aca="false">IF(Configuration!$C$27="No","",IFERROR(IF(BD230&lt;&gt;"",TRUE(),FALSE()),FALSE()))</f>
        <v>0</v>
      </c>
      <c r="CO230" s="50" t="b">
        <f aca="false">IF(Configuration!$C$28="No","",IFERROR(IF(N(AU230)&gt;=Configuration!$C$50,TRUE(),FALSE()),FALSE()))</f>
        <v>0</v>
      </c>
      <c r="CP230" s="50" t="b">
        <f aca="false">IF(Configuration!$C$29="No","",IFERROR(IF(AND(N(AR230)&gt;=Configuration!$C$51,AG230&lt;&gt;""),TRUE(),FALSE()),FALSE()))</f>
        <v>0</v>
      </c>
      <c r="CQ230" s="50" t="b">
        <f aca="false">IF(Configuration!$C$30="No","",IFERROR(IF(OR(AW230="Pending",AX230="Yes"),TRUE(),FALSE()),FALSE()))</f>
        <v>0</v>
      </c>
      <c r="CR230" s="50" t="b">
        <f aca="false">IF(Configuration!$C$31="No","",IFERROR(IF(AND(N(BG230)&gt;=Configuration!$C$52,N(AP230)&gt;=1),TRUE(),FALSE()),FALSE()))</f>
        <v>0</v>
      </c>
      <c r="CS230" s="50" t="b">
        <f aca="false">IF(Configuration!$C$32="No","",IFERROR(IF(AND(N(AR230)&gt;=1,OR(AG230&lt;&gt;"",AM230&lt;&gt;"")),TRUE(),FALSE()),FALSE()))</f>
        <v>0</v>
      </c>
      <c r="CT230" s="50" t="b">
        <f aca="false">IF(Configuration!$C$33="No","",IFERROR(IF(AG230&lt;&gt;"",TRUE(),FALSE()),FALSE()))</f>
        <v>0</v>
      </c>
      <c r="CU230" s="50" t="b">
        <f aca="false">IF(Configuration!$C$34="No","",IFERROR(IF(AX230="Yes",TRUE(),FALSE()),FALSE()))</f>
        <v>0</v>
      </c>
      <c r="CV230" s="50" t="b">
        <f aca="false">IF(Configuration!$C$35="No","",IFERROR(IF(OR(BO230="Partial",BO230="Full"),TRUE(),FALSE()),FALSE()))</f>
        <v>0</v>
      </c>
      <c r="CW230" s="50" t="b">
        <f aca="false">IF(Configuration!$C$36="No","",IFERROR(IF(BM230="Survived",TRUE(),FALSE()),FALSE()))</f>
        <v>0</v>
      </c>
      <c r="CX230" s="50" t="b">
        <f aca="false">IF(Configuration!$C$37="No","",IFERROR(IF(AND(BN230="Clean",BP230="None"),TRUE(),FALSE()),FALSE()))</f>
        <v>0</v>
      </c>
      <c r="CY230" s="50" t="b">
        <f aca="false">IF(Configuration!$C$38="No","",IFERROR(IF(N(BK230)&gt;=Configuration!$C$53,TRUE(),FALSE()),FALSE()))</f>
        <v>0</v>
      </c>
      <c r="CZ230" s="50" t="b">
        <f aca="false">IF(Configuration!$C$39="No","",IFERROR(IF(AND(N(BS230)&gt;=2,N(BF230)&gt;=2),TRUE(),FALSE()),FALSE()))</f>
        <v>0</v>
      </c>
      <c r="DA230" s="50" t="b">
        <f aca="false">IF(Configuration!$C$40="No","",IFERROR(IF(OR(N(BG230)&lt;=Configuration!$C$56,N(AY230)&lt;Configuration!$C$57,N(BH230)&lt;=Configuration!$C$58),TRUE(),FALSE()),FALSE()))</f>
        <v>1</v>
      </c>
      <c r="DB230" s="50" t="b">
        <f aca="false">IF(Configuration!$C$41="No","",IFERROR(IF(AND(N(AY230)&gt;=Configuration!$C$54,N(AY230)&lt;=Configuration!$C$55),TRUE(),FALSE()),FALSE()))</f>
        <v>0</v>
      </c>
      <c r="DC230" s="50" t="b">
        <f aca="false">IF(Configuration!$C$42="No","",IFERROR(IF(AND(AG230&lt;&gt;"",AJ230&lt;&gt;""),TRUE(),FALSE()),FALSE()))</f>
        <v>0</v>
      </c>
      <c r="DD230" s="51" t="n">
        <f aca="false">COUNTIF(BW230:DC230,TRUE())</f>
        <v>2</v>
      </c>
    </row>
    <row r="231" customFormat="false" ht="15" hidden="false" customHeight="true" outlineLevel="0" collapsed="false">
      <c r="A231" s="18" t="n">
        <v>192</v>
      </c>
      <c r="B231" s="44"/>
      <c r="C231" s="44"/>
      <c r="D231" s="44"/>
      <c r="E231" s="44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6" t="str">
        <f aca="false">IFERROR(IF(F231&lt;&gt;"",F231,""),"")</f>
        <v/>
      </c>
      <c r="AF231" s="46" t="str">
        <f aca="false">IFERROR(IF(G231&lt;&gt;"",G231,""),"")</f>
        <v/>
      </c>
      <c r="AG231" s="46" t="str">
        <f aca="false">IFERROR(IF(AA231&lt;&gt;"",AA231,IF(R231&lt;&gt;"",R231,"")),"")</f>
        <v/>
      </c>
      <c r="AH231" s="46" t="str">
        <f aca="false">IFERROR(IF(AB231&lt;&gt;"",AB231,IF(S231&lt;&gt;"",S231,"")),"")</f>
        <v/>
      </c>
      <c r="AI231" s="47"/>
      <c r="AJ231" s="47"/>
      <c r="AK231" s="47"/>
      <c r="AL231" s="47"/>
      <c r="AM231" s="47"/>
      <c r="AN231" s="47"/>
      <c r="AO231" s="47"/>
      <c r="AP231" s="47"/>
      <c r="AQ231" s="46" t="str">
        <f aca="false">IFERROR(IF(Y231&lt;&gt;"",VALUE(Y231),""),"")</f>
        <v/>
      </c>
      <c r="AR231" s="47"/>
      <c r="AS231" s="47"/>
      <c r="AT231" s="47"/>
      <c r="AU231" s="47"/>
      <c r="AV231" s="46" t="str">
        <f aca="false">IFERROR(IF(T231&lt;&gt;"",VALUE(T231),""),"")</f>
        <v/>
      </c>
      <c r="AW231" s="46" t="str">
        <f aca="false">IFERROR(IF(N231="","",IF(OR(ISNUMBER(SEARCH("grant",N231)),ISNUMBER(SEARCH("B",AC231))),"Granted",IF(OR(ISNUMBER(SEARCH("pend",N231)),ISNUMBER(SEARCH("A",AC231))),"Pending",IF(ISNUMBER(SEARCH("expir",N231)),"Expired",N231)))),"")</f>
        <v/>
      </c>
      <c r="AX231" s="47"/>
      <c r="AY231" s="46" t="str">
        <f aca="true">IFERROR(IF(M231&lt;&gt;"",ROUND(VALUE(M231),1),IF(L231&lt;&gt;"",ROUND(MAX(0,(DATEVALUE(TEXT(L231,"YYYY-MM-DD"))-TODAY())/365.25),1),"")),"")</f>
        <v/>
      </c>
      <c r="AZ231" s="46" t="str">
        <f aca="false">IFERROR(IF(O231&lt;&gt;"",O231,""),"")</f>
        <v/>
      </c>
      <c r="BA231" s="46" t="str">
        <f aca="false">IFERROR(IF(U231&lt;&gt;"",SUBSTITUTE(SUBSTITUTE(U231,"; ",", "),";",","),""),"")</f>
        <v/>
      </c>
      <c r="BB231" s="47"/>
      <c r="BC231" s="47"/>
      <c r="BD231" s="47"/>
      <c r="BE231" s="47"/>
      <c r="BF231" s="47"/>
      <c r="BG231" s="47"/>
      <c r="BH231" s="47"/>
      <c r="BI231" s="47"/>
      <c r="BJ231" s="47"/>
      <c r="BK231" s="46" t="str">
        <f aca="false">IFERROR(IF(W231&lt;&gt;"",VALUE(W231),""),"")</f>
        <v/>
      </c>
      <c r="BL231" s="46" t="str">
        <f aca="false">IFERROR(IF(X231&lt;&gt;"",VALUE(X231),""),"")</f>
        <v/>
      </c>
      <c r="BM231" s="46" t="str">
        <f aca="false">IFERROR(IF(AD231="","None",IF(ISNUMBER(SEARCH("surv",AD231)),"Survived",IF(ISNUMBER(SEARCH("pend",AD231)),"Pending",IF(ISNUMBER(SEARCH("yes",AD231)),"Pending","None")))),"None")</f>
        <v>None</v>
      </c>
      <c r="BN231" s="47"/>
      <c r="BO231" s="47"/>
      <c r="BP231" s="47"/>
      <c r="BQ231" s="47"/>
      <c r="BR231" s="47"/>
      <c r="BS231" s="47"/>
      <c r="BT231" s="47"/>
      <c r="BU231" s="48" t="n">
        <f aca="false">IFERROR(COUNTA(AE231:BT231)/42,0)</f>
        <v>0.30952380952381</v>
      </c>
      <c r="BV231" s="49"/>
      <c r="BW231" s="50" t="b">
        <f aca="false">IF(Configuration!$C$10="No","",IFERROR(IF(AG231&lt;&gt;"",TRUE(),FALSE()),FALSE()))</f>
        <v>0</v>
      </c>
      <c r="BX231" s="50" t="b">
        <f aca="false">IF(Configuration!$C$11="No","",IFERROR(IF(AND(N(AL231)&gt;=Configuration!$C$44,AM231&lt;&gt;""),TRUE(),FALSE()),FALSE()))</f>
        <v>0</v>
      </c>
      <c r="BY231" s="50" t="b">
        <f aca="false">IF(Configuration!$C$12="No","",IFERROR(IF(AJ231&lt;&gt;"",TRUE(),FALSE()),FALSE()))</f>
        <v>0</v>
      </c>
      <c r="BZ231" s="50" t="b">
        <f aca="false">IF(Configuration!$C$13="No","",IFERROR(IF(AI231&lt;&gt;"",TRUE(),FALSE()),FALSE()))</f>
        <v>0</v>
      </c>
      <c r="CA231" s="50" t="b">
        <f aca="false">IF(Configuration!$C$14="No","",IFERROR(IF(AK231&lt;&gt;"",TRUE(),FALSE()),FALSE()))</f>
        <v>0</v>
      </c>
      <c r="CB231" s="50" t="b">
        <f aca="false">IF(Configuration!$C$15="No","",IFERROR(IF(AND(OR(ISNUMBER(SEARCH("process",AG231)),ISNUMBER(SEARCH("fab",AG231)),ISNUMBER(SEARCH("manufac",AG231))),AO231="Method"),TRUE(),FALSE()),FALSE()))</f>
        <v>0</v>
      </c>
      <c r="CC231" s="50" t="b">
        <f aca="false">IF(Configuration!$C$16="No","",IFERROR(IF(AND(OR(ISNUMBER(SEARCH("material",AG231)),ISNUMBER(SEARCH("chem",AG231)),ISNUMBER(SEARCH("battery",AG231)),ISNUMBER(SEARCH("electrolyte",AG231)),ISNUMBER(SEARCH("polymer",AG231))),OR(AO231="Apparatus",AO231="Method")),TRUE(),FALSE()),FALSE()))</f>
        <v>0</v>
      </c>
      <c r="CD231" s="50" t="b">
        <f aca="false">IF(Configuration!$C$17="No","",IFERROR(IF(AND(OR(AI231="App",AI231="Middleware",AI231="Cloud"),OR(AO231="Method",AO231="CRM")),TRUE(),FALSE()),FALSE()))</f>
        <v>0</v>
      </c>
      <c r="CE231" s="50" t="b">
        <f aca="false">IF(Configuration!$C$18="No","",IFERROR(IF(N(AN231)&gt;=Configuration!$C$45,TRUE(),FALSE()),FALSE()))</f>
        <v>0</v>
      </c>
      <c r="CF231" s="50" t="b">
        <f aca="false">IF(Configuration!$C$19="No","",IFERROR(IF(BE231&lt;&gt;"",TRUE(),FALSE()),FALSE()))</f>
        <v>0</v>
      </c>
      <c r="CG231" s="50" t="b">
        <f aca="false">IF(Configuration!$C$20="No","",IFERROR(IF(AO231&lt;&gt;"",TRUE(),FALSE()),FALSE()))</f>
        <v>0</v>
      </c>
      <c r="CH231" s="50" t="b">
        <f aca="false">IF(Configuration!$C$21="No","",IFERROR(IF(OR(N(AS231)&gt;=Configuration!$C$46,N(AT231)&gt;=Configuration!$C$47),TRUE(),FALSE()),FALSE()))</f>
        <v>0</v>
      </c>
      <c r="CI231" s="50" t="b">
        <f aca="false">IF(Configuration!$C$22="No","",IFERROR(IF(BB231="Yes",TRUE(),FALSE()),FALSE()))</f>
        <v>0</v>
      </c>
      <c r="CJ231" s="50" t="b">
        <f aca="false">IF(Configuration!$C$23="No","",IFERROR(IF(N(AV231)&gt;=Configuration!$C$48,TRUE(),FALSE()),FALSE()))</f>
        <v>0</v>
      </c>
      <c r="CK231" s="50" t="b">
        <f aca="false">IF(Configuration!$C$24="No","",IFERROR(IF(N(AY231)&gt;0,TRUE(),FALSE()),FALSE()))</f>
        <v>0</v>
      </c>
      <c r="CL231" s="50" t="b">
        <f aca="false">IF(Configuration!$C$25="No","",IFERROR(IF(OR(N(AP231)=3,N(AP231)&lt;=1),TRUE(),FALSE()),FALSE()))</f>
        <v>1</v>
      </c>
      <c r="CM231" s="50" t="b">
        <f aca="false">IF(Configuration!$C$26="No","",IFERROR(IF(N(BF231)&gt;=Configuration!$C$49,TRUE(),FALSE()),FALSE()))</f>
        <v>0</v>
      </c>
      <c r="CN231" s="50" t="b">
        <f aca="false">IF(Configuration!$C$27="No","",IFERROR(IF(BD231&lt;&gt;"",TRUE(),FALSE()),FALSE()))</f>
        <v>0</v>
      </c>
      <c r="CO231" s="50" t="b">
        <f aca="false">IF(Configuration!$C$28="No","",IFERROR(IF(N(AU231)&gt;=Configuration!$C$50,TRUE(),FALSE()),FALSE()))</f>
        <v>0</v>
      </c>
      <c r="CP231" s="50" t="b">
        <f aca="false">IF(Configuration!$C$29="No","",IFERROR(IF(AND(N(AR231)&gt;=Configuration!$C$51,AG231&lt;&gt;""),TRUE(),FALSE()),FALSE()))</f>
        <v>0</v>
      </c>
      <c r="CQ231" s="50" t="b">
        <f aca="false">IF(Configuration!$C$30="No","",IFERROR(IF(OR(AW231="Pending",AX231="Yes"),TRUE(),FALSE()),FALSE()))</f>
        <v>0</v>
      </c>
      <c r="CR231" s="50" t="b">
        <f aca="false">IF(Configuration!$C$31="No","",IFERROR(IF(AND(N(BG231)&gt;=Configuration!$C$52,N(AP231)&gt;=1),TRUE(),FALSE()),FALSE()))</f>
        <v>0</v>
      </c>
      <c r="CS231" s="50" t="b">
        <f aca="false">IF(Configuration!$C$32="No","",IFERROR(IF(AND(N(AR231)&gt;=1,OR(AG231&lt;&gt;"",AM231&lt;&gt;"")),TRUE(),FALSE()),FALSE()))</f>
        <v>0</v>
      </c>
      <c r="CT231" s="50" t="b">
        <f aca="false">IF(Configuration!$C$33="No","",IFERROR(IF(AG231&lt;&gt;"",TRUE(),FALSE()),FALSE()))</f>
        <v>0</v>
      </c>
      <c r="CU231" s="50" t="b">
        <f aca="false">IF(Configuration!$C$34="No","",IFERROR(IF(AX231="Yes",TRUE(),FALSE()),FALSE()))</f>
        <v>0</v>
      </c>
      <c r="CV231" s="50" t="b">
        <f aca="false">IF(Configuration!$C$35="No","",IFERROR(IF(OR(BO231="Partial",BO231="Full"),TRUE(),FALSE()),FALSE()))</f>
        <v>0</v>
      </c>
      <c r="CW231" s="50" t="b">
        <f aca="false">IF(Configuration!$C$36="No","",IFERROR(IF(BM231="Survived",TRUE(),FALSE()),FALSE()))</f>
        <v>0</v>
      </c>
      <c r="CX231" s="50" t="b">
        <f aca="false">IF(Configuration!$C$37="No","",IFERROR(IF(AND(BN231="Clean",BP231="None"),TRUE(),FALSE()),FALSE()))</f>
        <v>0</v>
      </c>
      <c r="CY231" s="50" t="b">
        <f aca="false">IF(Configuration!$C$38="No","",IFERROR(IF(N(BK231)&gt;=Configuration!$C$53,TRUE(),FALSE()),FALSE()))</f>
        <v>0</v>
      </c>
      <c r="CZ231" s="50" t="b">
        <f aca="false">IF(Configuration!$C$39="No","",IFERROR(IF(AND(N(BS231)&gt;=2,N(BF231)&gt;=2),TRUE(),FALSE()),FALSE()))</f>
        <v>0</v>
      </c>
      <c r="DA231" s="50" t="b">
        <f aca="false">IF(Configuration!$C$40="No","",IFERROR(IF(OR(N(BG231)&lt;=Configuration!$C$56,N(AY231)&lt;Configuration!$C$57,N(BH231)&lt;=Configuration!$C$58),TRUE(),FALSE()),FALSE()))</f>
        <v>1</v>
      </c>
      <c r="DB231" s="50" t="b">
        <f aca="false">IF(Configuration!$C$41="No","",IFERROR(IF(AND(N(AY231)&gt;=Configuration!$C$54,N(AY231)&lt;=Configuration!$C$55),TRUE(),FALSE()),FALSE()))</f>
        <v>0</v>
      </c>
      <c r="DC231" s="50" t="b">
        <f aca="false">IF(Configuration!$C$42="No","",IFERROR(IF(AND(AG231&lt;&gt;"",AJ231&lt;&gt;""),TRUE(),FALSE()),FALSE()))</f>
        <v>0</v>
      </c>
      <c r="DD231" s="51" t="n">
        <f aca="false">COUNTIF(BW231:DC231,TRUE())</f>
        <v>2</v>
      </c>
    </row>
    <row r="232" customFormat="false" ht="15" hidden="false" customHeight="true" outlineLevel="0" collapsed="false">
      <c r="A232" s="18" t="n">
        <v>193</v>
      </c>
      <c r="B232" s="44"/>
      <c r="C232" s="44"/>
      <c r="D232" s="44"/>
      <c r="E232" s="44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6" t="str">
        <f aca="false">IFERROR(IF(F232&lt;&gt;"",F232,""),"")</f>
        <v/>
      </c>
      <c r="AF232" s="46" t="str">
        <f aca="false">IFERROR(IF(G232&lt;&gt;"",G232,""),"")</f>
        <v/>
      </c>
      <c r="AG232" s="46" t="str">
        <f aca="false">IFERROR(IF(AA232&lt;&gt;"",AA232,IF(R232&lt;&gt;"",R232,"")),"")</f>
        <v/>
      </c>
      <c r="AH232" s="46" t="str">
        <f aca="false">IFERROR(IF(AB232&lt;&gt;"",AB232,IF(S232&lt;&gt;"",S232,"")),"")</f>
        <v/>
      </c>
      <c r="AI232" s="47"/>
      <c r="AJ232" s="47"/>
      <c r="AK232" s="47"/>
      <c r="AL232" s="47"/>
      <c r="AM232" s="47"/>
      <c r="AN232" s="47"/>
      <c r="AO232" s="47"/>
      <c r="AP232" s="47"/>
      <c r="AQ232" s="46" t="str">
        <f aca="false">IFERROR(IF(Y232&lt;&gt;"",VALUE(Y232),""),"")</f>
        <v/>
      </c>
      <c r="AR232" s="47"/>
      <c r="AS232" s="47"/>
      <c r="AT232" s="47"/>
      <c r="AU232" s="47"/>
      <c r="AV232" s="46" t="str">
        <f aca="false">IFERROR(IF(T232&lt;&gt;"",VALUE(T232),""),"")</f>
        <v/>
      </c>
      <c r="AW232" s="46" t="str">
        <f aca="false">IFERROR(IF(N232="","",IF(OR(ISNUMBER(SEARCH("grant",N232)),ISNUMBER(SEARCH("B",AC232))),"Granted",IF(OR(ISNUMBER(SEARCH("pend",N232)),ISNUMBER(SEARCH("A",AC232))),"Pending",IF(ISNUMBER(SEARCH("expir",N232)),"Expired",N232)))),"")</f>
        <v/>
      </c>
      <c r="AX232" s="47"/>
      <c r="AY232" s="46" t="str">
        <f aca="true">IFERROR(IF(M232&lt;&gt;"",ROUND(VALUE(M232),1),IF(L232&lt;&gt;"",ROUND(MAX(0,(DATEVALUE(TEXT(L232,"YYYY-MM-DD"))-TODAY())/365.25),1),"")),"")</f>
        <v/>
      </c>
      <c r="AZ232" s="46" t="str">
        <f aca="false">IFERROR(IF(O232&lt;&gt;"",O232,""),"")</f>
        <v/>
      </c>
      <c r="BA232" s="46" t="str">
        <f aca="false">IFERROR(IF(U232&lt;&gt;"",SUBSTITUTE(SUBSTITUTE(U232,"; ",", "),";",","),""),"")</f>
        <v/>
      </c>
      <c r="BB232" s="47"/>
      <c r="BC232" s="47"/>
      <c r="BD232" s="47"/>
      <c r="BE232" s="47"/>
      <c r="BF232" s="47"/>
      <c r="BG232" s="47"/>
      <c r="BH232" s="47"/>
      <c r="BI232" s="47"/>
      <c r="BJ232" s="47"/>
      <c r="BK232" s="46" t="str">
        <f aca="false">IFERROR(IF(W232&lt;&gt;"",VALUE(W232),""),"")</f>
        <v/>
      </c>
      <c r="BL232" s="46" t="str">
        <f aca="false">IFERROR(IF(X232&lt;&gt;"",VALUE(X232),""),"")</f>
        <v/>
      </c>
      <c r="BM232" s="46" t="str">
        <f aca="false">IFERROR(IF(AD232="","None",IF(ISNUMBER(SEARCH("surv",AD232)),"Survived",IF(ISNUMBER(SEARCH("pend",AD232)),"Pending",IF(ISNUMBER(SEARCH("yes",AD232)),"Pending","None")))),"None")</f>
        <v>None</v>
      </c>
      <c r="BN232" s="47"/>
      <c r="BO232" s="47"/>
      <c r="BP232" s="47"/>
      <c r="BQ232" s="47"/>
      <c r="BR232" s="47"/>
      <c r="BS232" s="47"/>
      <c r="BT232" s="47"/>
      <c r="BU232" s="48" t="n">
        <f aca="false">IFERROR(COUNTA(AE232:BT232)/42,0)</f>
        <v>0.30952380952381</v>
      </c>
      <c r="BV232" s="49"/>
      <c r="BW232" s="50" t="b">
        <f aca="false">IF(Configuration!$C$10="No","",IFERROR(IF(AG232&lt;&gt;"",TRUE(),FALSE()),FALSE()))</f>
        <v>0</v>
      </c>
      <c r="BX232" s="50" t="b">
        <f aca="false">IF(Configuration!$C$11="No","",IFERROR(IF(AND(N(AL232)&gt;=Configuration!$C$44,AM232&lt;&gt;""),TRUE(),FALSE()),FALSE()))</f>
        <v>0</v>
      </c>
      <c r="BY232" s="50" t="b">
        <f aca="false">IF(Configuration!$C$12="No","",IFERROR(IF(AJ232&lt;&gt;"",TRUE(),FALSE()),FALSE()))</f>
        <v>0</v>
      </c>
      <c r="BZ232" s="50" t="b">
        <f aca="false">IF(Configuration!$C$13="No","",IFERROR(IF(AI232&lt;&gt;"",TRUE(),FALSE()),FALSE()))</f>
        <v>0</v>
      </c>
      <c r="CA232" s="50" t="b">
        <f aca="false">IF(Configuration!$C$14="No","",IFERROR(IF(AK232&lt;&gt;"",TRUE(),FALSE()),FALSE()))</f>
        <v>0</v>
      </c>
      <c r="CB232" s="50" t="b">
        <f aca="false">IF(Configuration!$C$15="No","",IFERROR(IF(AND(OR(ISNUMBER(SEARCH("process",AG232)),ISNUMBER(SEARCH("fab",AG232)),ISNUMBER(SEARCH("manufac",AG232))),AO232="Method"),TRUE(),FALSE()),FALSE()))</f>
        <v>0</v>
      </c>
      <c r="CC232" s="50" t="b">
        <f aca="false">IF(Configuration!$C$16="No","",IFERROR(IF(AND(OR(ISNUMBER(SEARCH("material",AG232)),ISNUMBER(SEARCH("chem",AG232)),ISNUMBER(SEARCH("battery",AG232)),ISNUMBER(SEARCH("electrolyte",AG232)),ISNUMBER(SEARCH("polymer",AG232))),OR(AO232="Apparatus",AO232="Method")),TRUE(),FALSE()),FALSE()))</f>
        <v>0</v>
      </c>
      <c r="CD232" s="50" t="b">
        <f aca="false">IF(Configuration!$C$17="No","",IFERROR(IF(AND(OR(AI232="App",AI232="Middleware",AI232="Cloud"),OR(AO232="Method",AO232="CRM")),TRUE(),FALSE()),FALSE()))</f>
        <v>0</v>
      </c>
      <c r="CE232" s="50" t="b">
        <f aca="false">IF(Configuration!$C$18="No","",IFERROR(IF(N(AN232)&gt;=Configuration!$C$45,TRUE(),FALSE()),FALSE()))</f>
        <v>0</v>
      </c>
      <c r="CF232" s="50" t="b">
        <f aca="false">IF(Configuration!$C$19="No","",IFERROR(IF(BE232&lt;&gt;"",TRUE(),FALSE()),FALSE()))</f>
        <v>0</v>
      </c>
      <c r="CG232" s="50" t="b">
        <f aca="false">IF(Configuration!$C$20="No","",IFERROR(IF(AO232&lt;&gt;"",TRUE(),FALSE()),FALSE()))</f>
        <v>0</v>
      </c>
      <c r="CH232" s="50" t="b">
        <f aca="false">IF(Configuration!$C$21="No","",IFERROR(IF(OR(N(AS232)&gt;=Configuration!$C$46,N(AT232)&gt;=Configuration!$C$47),TRUE(),FALSE()),FALSE()))</f>
        <v>0</v>
      </c>
      <c r="CI232" s="50" t="b">
        <f aca="false">IF(Configuration!$C$22="No","",IFERROR(IF(BB232="Yes",TRUE(),FALSE()),FALSE()))</f>
        <v>0</v>
      </c>
      <c r="CJ232" s="50" t="b">
        <f aca="false">IF(Configuration!$C$23="No","",IFERROR(IF(N(AV232)&gt;=Configuration!$C$48,TRUE(),FALSE()),FALSE()))</f>
        <v>0</v>
      </c>
      <c r="CK232" s="50" t="b">
        <f aca="false">IF(Configuration!$C$24="No","",IFERROR(IF(N(AY232)&gt;0,TRUE(),FALSE()),FALSE()))</f>
        <v>0</v>
      </c>
      <c r="CL232" s="50" t="b">
        <f aca="false">IF(Configuration!$C$25="No","",IFERROR(IF(OR(N(AP232)=3,N(AP232)&lt;=1),TRUE(),FALSE()),FALSE()))</f>
        <v>1</v>
      </c>
      <c r="CM232" s="50" t="b">
        <f aca="false">IF(Configuration!$C$26="No","",IFERROR(IF(N(BF232)&gt;=Configuration!$C$49,TRUE(),FALSE()),FALSE()))</f>
        <v>0</v>
      </c>
      <c r="CN232" s="50" t="b">
        <f aca="false">IF(Configuration!$C$27="No","",IFERROR(IF(BD232&lt;&gt;"",TRUE(),FALSE()),FALSE()))</f>
        <v>0</v>
      </c>
      <c r="CO232" s="50" t="b">
        <f aca="false">IF(Configuration!$C$28="No","",IFERROR(IF(N(AU232)&gt;=Configuration!$C$50,TRUE(),FALSE()),FALSE()))</f>
        <v>0</v>
      </c>
      <c r="CP232" s="50" t="b">
        <f aca="false">IF(Configuration!$C$29="No","",IFERROR(IF(AND(N(AR232)&gt;=Configuration!$C$51,AG232&lt;&gt;""),TRUE(),FALSE()),FALSE()))</f>
        <v>0</v>
      </c>
      <c r="CQ232" s="50" t="b">
        <f aca="false">IF(Configuration!$C$30="No","",IFERROR(IF(OR(AW232="Pending",AX232="Yes"),TRUE(),FALSE()),FALSE()))</f>
        <v>0</v>
      </c>
      <c r="CR232" s="50" t="b">
        <f aca="false">IF(Configuration!$C$31="No","",IFERROR(IF(AND(N(BG232)&gt;=Configuration!$C$52,N(AP232)&gt;=1),TRUE(),FALSE()),FALSE()))</f>
        <v>0</v>
      </c>
      <c r="CS232" s="50" t="b">
        <f aca="false">IF(Configuration!$C$32="No","",IFERROR(IF(AND(N(AR232)&gt;=1,OR(AG232&lt;&gt;"",AM232&lt;&gt;"")),TRUE(),FALSE()),FALSE()))</f>
        <v>0</v>
      </c>
      <c r="CT232" s="50" t="b">
        <f aca="false">IF(Configuration!$C$33="No","",IFERROR(IF(AG232&lt;&gt;"",TRUE(),FALSE()),FALSE()))</f>
        <v>0</v>
      </c>
      <c r="CU232" s="50" t="b">
        <f aca="false">IF(Configuration!$C$34="No","",IFERROR(IF(AX232="Yes",TRUE(),FALSE()),FALSE()))</f>
        <v>0</v>
      </c>
      <c r="CV232" s="50" t="b">
        <f aca="false">IF(Configuration!$C$35="No","",IFERROR(IF(OR(BO232="Partial",BO232="Full"),TRUE(),FALSE()),FALSE()))</f>
        <v>0</v>
      </c>
      <c r="CW232" s="50" t="b">
        <f aca="false">IF(Configuration!$C$36="No","",IFERROR(IF(BM232="Survived",TRUE(),FALSE()),FALSE()))</f>
        <v>0</v>
      </c>
      <c r="CX232" s="50" t="b">
        <f aca="false">IF(Configuration!$C$37="No","",IFERROR(IF(AND(BN232="Clean",BP232="None"),TRUE(),FALSE()),FALSE()))</f>
        <v>0</v>
      </c>
      <c r="CY232" s="50" t="b">
        <f aca="false">IF(Configuration!$C$38="No","",IFERROR(IF(N(BK232)&gt;=Configuration!$C$53,TRUE(),FALSE()),FALSE()))</f>
        <v>0</v>
      </c>
      <c r="CZ232" s="50" t="b">
        <f aca="false">IF(Configuration!$C$39="No","",IFERROR(IF(AND(N(BS232)&gt;=2,N(BF232)&gt;=2),TRUE(),FALSE()),FALSE()))</f>
        <v>0</v>
      </c>
      <c r="DA232" s="50" t="b">
        <f aca="false">IF(Configuration!$C$40="No","",IFERROR(IF(OR(N(BG232)&lt;=Configuration!$C$56,N(AY232)&lt;Configuration!$C$57,N(BH232)&lt;=Configuration!$C$58),TRUE(),FALSE()),FALSE()))</f>
        <v>1</v>
      </c>
      <c r="DB232" s="50" t="b">
        <f aca="false">IF(Configuration!$C$41="No","",IFERROR(IF(AND(N(AY232)&gt;=Configuration!$C$54,N(AY232)&lt;=Configuration!$C$55),TRUE(),FALSE()),FALSE()))</f>
        <v>0</v>
      </c>
      <c r="DC232" s="50" t="b">
        <f aca="false">IF(Configuration!$C$42="No","",IFERROR(IF(AND(AG232&lt;&gt;"",AJ232&lt;&gt;""),TRUE(),FALSE()),FALSE()))</f>
        <v>0</v>
      </c>
      <c r="DD232" s="51" t="n">
        <f aca="false">COUNTIF(BW232:DC232,TRUE())</f>
        <v>2</v>
      </c>
    </row>
    <row r="233" customFormat="false" ht="15" hidden="false" customHeight="true" outlineLevel="0" collapsed="false">
      <c r="A233" s="18" t="n">
        <v>194</v>
      </c>
      <c r="B233" s="44"/>
      <c r="C233" s="44"/>
      <c r="D233" s="44"/>
      <c r="E233" s="44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6" t="str">
        <f aca="false">IFERROR(IF(F233&lt;&gt;"",F233,""),"")</f>
        <v/>
      </c>
      <c r="AF233" s="46" t="str">
        <f aca="false">IFERROR(IF(G233&lt;&gt;"",G233,""),"")</f>
        <v/>
      </c>
      <c r="AG233" s="46" t="str">
        <f aca="false">IFERROR(IF(AA233&lt;&gt;"",AA233,IF(R233&lt;&gt;"",R233,"")),"")</f>
        <v/>
      </c>
      <c r="AH233" s="46" t="str">
        <f aca="false">IFERROR(IF(AB233&lt;&gt;"",AB233,IF(S233&lt;&gt;"",S233,"")),"")</f>
        <v/>
      </c>
      <c r="AI233" s="47"/>
      <c r="AJ233" s="47"/>
      <c r="AK233" s="47"/>
      <c r="AL233" s="47"/>
      <c r="AM233" s="47"/>
      <c r="AN233" s="47"/>
      <c r="AO233" s="47"/>
      <c r="AP233" s="47"/>
      <c r="AQ233" s="46" t="str">
        <f aca="false">IFERROR(IF(Y233&lt;&gt;"",VALUE(Y233),""),"")</f>
        <v/>
      </c>
      <c r="AR233" s="47"/>
      <c r="AS233" s="47"/>
      <c r="AT233" s="47"/>
      <c r="AU233" s="47"/>
      <c r="AV233" s="46" t="str">
        <f aca="false">IFERROR(IF(T233&lt;&gt;"",VALUE(T233),""),"")</f>
        <v/>
      </c>
      <c r="AW233" s="46" t="str">
        <f aca="false">IFERROR(IF(N233="","",IF(OR(ISNUMBER(SEARCH("grant",N233)),ISNUMBER(SEARCH("B",AC233))),"Granted",IF(OR(ISNUMBER(SEARCH("pend",N233)),ISNUMBER(SEARCH("A",AC233))),"Pending",IF(ISNUMBER(SEARCH("expir",N233)),"Expired",N233)))),"")</f>
        <v/>
      </c>
      <c r="AX233" s="47"/>
      <c r="AY233" s="46" t="str">
        <f aca="true">IFERROR(IF(M233&lt;&gt;"",ROUND(VALUE(M233),1),IF(L233&lt;&gt;"",ROUND(MAX(0,(DATEVALUE(TEXT(L233,"YYYY-MM-DD"))-TODAY())/365.25),1),"")),"")</f>
        <v/>
      </c>
      <c r="AZ233" s="46" t="str">
        <f aca="false">IFERROR(IF(O233&lt;&gt;"",O233,""),"")</f>
        <v/>
      </c>
      <c r="BA233" s="46" t="str">
        <f aca="false">IFERROR(IF(U233&lt;&gt;"",SUBSTITUTE(SUBSTITUTE(U233,"; ",", "),";",","),""),"")</f>
        <v/>
      </c>
      <c r="BB233" s="47"/>
      <c r="BC233" s="47"/>
      <c r="BD233" s="47"/>
      <c r="BE233" s="47"/>
      <c r="BF233" s="47"/>
      <c r="BG233" s="47"/>
      <c r="BH233" s="47"/>
      <c r="BI233" s="47"/>
      <c r="BJ233" s="47"/>
      <c r="BK233" s="46" t="str">
        <f aca="false">IFERROR(IF(W233&lt;&gt;"",VALUE(W233),""),"")</f>
        <v/>
      </c>
      <c r="BL233" s="46" t="str">
        <f aca="false">IFERROR(IF(X233&lt;&gt;"",VALUE(X233),""),"")</f>
        <v/>
      </c>
      <c r="BM233" s="46" t="str">
        <f aca="false">IFERROR(IF(AD233="","None",IF(ISNUMBER(SEARCH("surv",AD233)),"Survived",IF(ISNUMBER(SEARCH("pend",AD233)),"Pending",IF(ISNUMBER(SEARCH("yes",AD233)),"Pending","None")))),"None")</f>
        <v>None</v>
      </c>
      <c r="BN233" s="47"/>
      <c r="BO233" s="47"/>
      <c r="BP233" s="47"/>
      <c r="BQ233" s="47"/>
      <c r="BR233" s="47"/>
      <c r="BS233" s="47"/>
      <c r="BT233" s="47"/>
      <c r="BU233" s="48" t="n">
        <f aca="false">IFERROR(COUNTA(AE233:BT233)/42,0)</f>
        <v>0.30952380952381</v>
      </c>
      <c r="BV233" s="49"/>
      <c r="BW233" s="50" t="b">
        <f aca="false">IF(Configuration!$C$10="No","",IFERROR(IF(AG233&lt;&gt;"",TRUE(),FALSE()),FALSE()))</f>
        <v>0</v>
      </c>
      <c r="BX233" s="50" t="b">
        <f aca="false">IF(Configuration!$C$11="No","",IFERROR(IF(AND(N(AL233)&gt;=Configuration!$C$44,AM233&lt;&gt;""),TRUE(),FALSE()),FALSE()))</f>
        <v>0</v>
      </c>
      <c r="BY233" s="50" t="b">
        <f aca="false">IF(Configuration!$C$12="No","",IFERROR(IF(AJ233&lt;&gt;"",TRUE(),FALSE()),FALSE()))</f>
        <v>0</v>
      </c>
      <c r="BZ233" s="50" t="b">
        <f aca="false">IF(Configuration!$C$13="No","",IFERROR(IF(AI233&lt;&gt;"",TRUE(),FALSE()),FALSE()))</f>
        <v>0</v>
      </c>
      <c r="CA233" s="50" t="b">
        <f aca="false">IF(Configuration!$C$14="No","",IFERROR(IF(AK233&lt;&gt;"",TRUE(),FALSE()),FALSE()))</f>
        <v>0</v>
      </c>
      <c r="CB233" s="50" t="b">
        <f aca="false">IF(Configuration!$C$15="No","",IFERROR(IF(AND(OR(ISNUMBER(SEARCH("process",AG233)),ISNUMBER(SEARCH("fab",AG233)),ISNUMBER(SEARCH("manufac",AG233))),AO233="Method"),TRUE(),FALSE()),FALSE()))</f>
        <v>0</v>
      </c>
      <c r="CC233" s="50" t="b">
        <f aca="false">IF(Configuration!$C$16="No","",IFERROR(IF(AND(OR(ISNUMBER(SEARCH("material",AG233)),ISNUMBER(SEARCH("chem",AG233)),ISNUMBER(SEARCH("battery",AG233)),ISNUMBER(SEARCH("electrolyte",AG233)),ISNUMBER(SEARCH("polymer",AG233))),OR(AO233="Apparatus",AO233="Method")),TRUE(),FALSE()),FALSE()))</f>
        <v>0</v>
      </c>
      <c r="CD233" s="50" t="b">
        <f aca="false">IF(Configuration!$C$17="No","",IFERROR(IF(AND(OR(AI233="App",AI233="Middleware",AI233="Cloud"),OR(AO233="Method",AO233="CRM")),TRUE(),FALSE()),FALSE()))</f>
        <v>0</v>
      </c>
      <c r="CE233" s="50" t="b">
        <f aca="false">IF(Configuration!$C$18="No","",IFERROR(IF(N(AN233)&gt;=Configuration!$C$45,TRUE(),FALSE()),FALSE()))</f>
        <v>0</v>
      </c>
      <c r="CF233" s="50" t="b">
        <f aca="false">IF(Configuration!$C$19="No","",IFERROR(IF(BE233&lt;&gt;"",TRUE(),FALSE()),FALSE()))</f>
        <v>0</v>
      </c>
      <c r="CG233" s="50" t="b">
        <f aca="false">IF(Configuration!$C$20="No","",IFERROR(IF(AO233&lt;&gt;"",TRUE(),FALSE()),FALSE()))</f>
        <v>0</v>
      </c>
      <c r="CH233" s="50" t="b">
        <f aca="false">IF(Configuration!$C$21="No","",IFERROR(IF(OR(N(AS233)&gt;=Configuration!$C$46,N(AT233)&gt;=Configuration!$C$47),TRUE(),FALSE()),FALSE()))</f>
        <v>0</v>
      </c>
      <c r="CI233" s="50" t="b">
        <f aca="false">IF(Configuration!$C$22="No","",IFERROR(IF(BB233="Yes",TRUE(),FALSE()),FALSE()))</f>
        <v>0</v>
      </c>
      <c r="CJ233" s="50" t="b">
        <f aca="false">IF(Configuration!$C$23="No","",IFERROR(IF(N(AV233)&gt;=Configuration!$C$48,TRUE(),FALSE()),FALSE()))</f>
        <v>0</v>
      </c>
      <c r="CK233" s="50" t="b">
        <f aca="false">IF(Configuration!$C$24="No","",IFERROR(IF(N(AY233)&gt;0,TRUE(),FALSE()),FALSE()))</f>
        <v>0</v>
      </c>
      <c r="CL233" s="50" t="b">
        <f aca="false">IF(Configuration!$C$25="No","",IFERROR(IF(OR(N(AP233)=3,N(AP233)&lt;=1),TRUE(),FALSE()),FALSE()))</f>
        <v>1</v>
      </c>
      <c r="CM233" s="50" t="b">
        <f aca="false">IF(Configuration!$C$26="No","",IFERROR(IF(N(BF233)&gt;=Configuration!$C$49,TRUE(),FALSE()),FALSE()))</f>
        <v>0</v>
      </c>
      <c r="CN233" s="50" t="b">
        <f aca="false">IF(Configuration!$C$27="No","",IFERROR(IF(BD233&lt;&gt;"",TRUE(),FALSE()),FALSE()))</f>
        <v>0</v>
      </c>
      <c r="CO233" s="50" t="b">
        <f aca="false">IF(Configuration!$C$28="No","",IFERROR(IF(N(AU233)&gt;=Configuration!$C$50,TRUE(),FALSE()),FALSE()))</f>
        <v>0</v>
      </c>
      <c r="CP233" s="50" t="b">
        <f aca="false">IF(Configuration!$C$29="No","",IFERROR(IF(AND(N(AR233)&gt;=Configuration!$C$51,AG233&lt;&gt;""),TRUE(),FALSE()),FALSE()))</f>
        <v>0</v>
      </c>
      <c r="CQ233" s="50" t="b">
        <f aca="false">IF(Configuration!$C$30="No","",IFERROR(IF(OR(AW233="Pending",AX233="Yes"),TRUE(),FALSE()),FALSE()))</f>
        <v>0</v>
      </c>
      <c r="CR233" s="50" t="b">
        <f aca="false">IF(Configuration!$C$31="No","",IFERROR(IF(AND(N(BG233)&gt;=Configuration!$C$52,N(AP233)&gt;=1),TRUE(),FALSE()),FALSE()))</f>
        <v>0</v>
      </c>
      <c r="CS233" s="50" t="b">
        <f aca="false">IF(Configuration!$C$32="No","",IFERROR(IF(AND(N(AR233)&gt;=1,OR(AG233&lt;&gt;"",AM233&lt;&gt;"")),TRUE(),FALSE()),FALSE()))</f>
        <v>0</v>
      </c>
      <c r="CT233" s="50" t="b">
        <f aca="false">IF(Configuration!$C$33="No","",IFERROR(IF(AG233&lt;&gt;"",TRUE(),FALSE()),FALSE()))</f>
        <v>0</v>
      </c>
      <c r="CU233" s="50" t="b">
        <f aca="false">IF(Configuration!$C$34="No","",IFERROR(IF(AX233="Yes",TRUE(),FALSE()),FALSE()))</f>
        <v>0</v>
      </c>
      <c r="CV233" s="50" t="b">
        <f aca="false">IF(Configuration!$C$35="No","",IFERROR(IF(OR(BO233="Partial",BO233="Full"),TRUE(),FALSE()),FALSE()))</f>
        <v>0</v>
      </c>
      <c r="CW233" s="50" t="b">
        <f aca="false">IF(Configuration!$C$36="No","",IFERROR(IF(BM233="Survived",TRUE(),FALSE()),FALSE()))</f>
        <v>0</v>
      </c>
      <c r="CX233" s="50" t="b">
        <f aca="false">IF(Configuration!$C$37="No","",IFERROR(IF(AND(BN233="Clean",BP233="None"),TRUE(),FALSE()),FALSE()))</f>
        <v>0</v>
      </c>
      <c r="CY233" s="50" t="b">
        <f aca="false">IF(Configuration!$C$38="No","",IFERROR(IF(N(BK233)&gt;=Configuration!$C$53,TRUE(),FALSE()),FALSE()))</f>
        <v>0</v>
      </c>
      <c r="CZ233" s="50" t="b">
        <f aca="false">IF(Configuration!$C$39="No","",IFERROR(IF(AND(N(BS233)&gt;=2,N(BF233)&gt;=2),TRUE(),FALSE()),FALSE()))</f>
        <v>0</v>
      </c>
      <c r="DA233" s="50" t="b">
        <f aca="false">IF(Configuration!$C$40="No","",IFERROR(IF(OR(N(BG233)&lt;=Configuration!$C$56,N(AY233)&lt;Configuration!$C$57,N(BH233)&lt;=Configuration!$C$58),TRUE(),FALSE()),FALSE()))</f>
        <v>1</v>
      </c>
      <c r="DB233" s="50" t="b">
        <f aca="false">IF(Configuration!$C$41="No","",IFERROR(IF(AND(N(AY233)&gt;=Configuration!$C$54,N(AY233)&lt;=Configuration!$C$55),TRUE(),FALSE()),FALSE()))</f>
        <v>0</v>
      </c>
      <c r="DC233" s="50" t="b">
        <f aca="false">IF(Configuration!$C$42="No","",IFERROR(IF(AND(AG233&lt;&gt;"",AJ233&lt;&gt;""),TRUE(),FALSE()),FALSE()))</f>
        <v>0</v>
      </c>
      <c r="DD233" s="51" t="n">
        <f aca="false">COUNTIF(BW233:DC233,TRUE())</f>
        <v>2</v>
      </c>
    </row>
    <row r="234" customFormat="false" ht="15" hidden="false" customHeight="true" outlineLevel="0" collapsed="false">
      <c r="A234" s="18" t="n">
        <v>195</v>
      </c>
      <c r="B234" s="44"/>
      <c r="C234" s="44"/>
      <c r="D234" s="44"/>
      <c r="E234" s="44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6" t="str">
        <f aca="false">IFERROR(IF(F234&lt;&gt;"",F234,""),"")</f>
        <v/>
      </c>
      <c r="AF234" s="46" t="str">
        <f aca="false">IFERROR(IF(G234&lt;&gt;"",G234,""),"")</f>
        <v/>
      </c>
      <c r="AG234" s="46" t="str">
        <f aca="false">IFERROR(IF(AA234&lt;&gt;"",AA234,IF(R234&lt;&gt;"",R234,"")),"")</f>
        <v/>
      </c>
      <c r="AH234" s="46" t="str">
        <f aca="false">IFERROR(IF(AB234&lt;&gt;"",AB234,IF(S234&lt;&gt;"",S234,"")),"")</f>
        <v/>
      </c>
      <c r="AI234" s="47"/>
      <c r="AJ234" s="47"/>
      <c r="AK234" s="47"/>
      <c r="AL234" s="47"/>
      <c r="AM234" s="47"/>
      <c r="AN234" s="47"/>
      <c r="AO234" s="47"/>
      <c r="AP234" s="47"/>
      <c r="AQ234" s="46" t="str">
        <f aca="false">IFERROR(IF(Y234&lt;&gt;"",VALUE(Y234),""),"")</f>
        <v/>
      </c>
      <c r="AR234" s="47"/>
      <c r="AS234" s="47"/>
      <c r="AT234" s="47"/>
      <c r="AU234" s="47"/>
      <c r="AV234" s="46" t="str">
        <f aca="false">IFERROR(IF(T234&lt;&gt;"",VALUE(T234),""),"")</f>
        <v/>
      </c>
      <c r="AW234" s="46" t="str">
        <f aca="false">IFERROR(IF(N234="","",IF(OR(ISNUMBER(SEARCH("grant",N234)),ISNUMBER(SEARCH("B",AC234))),"Granted",IF(OR(ISNUMBER(SEARCH("pend",N234)),ISNUMBER(SEARCH("A",AC234))),"Pending",IF(ISNUMBER(SEARCH("expir",N234)),"Expired",N234)))),"")</f>
        <v/>
      </c>
      <c r="AX234" s="47"/>
      <c r="AY234" s="46" t="str">
        <f aca="true">IFERROR(IF(M234&lt;&gt;"",ROUND(VALUE(M234),1),IF(L234&lt;&gt;"",ROUND(MAX(0,(DATEVALUE(TEXT(L234,"YYYY-MM-DD"))-TODAY())/365.25),1),"")),"")</f>
        <v/>
      </c>
      <c r="AZ234" s="46" t="str">
        <f aca="false">IFERROR(IF(O234&lt;&gt;"",O234,""),"")</f>
        <v/>
      </c>
      <c r="BA234" s="46" t="str">
        <f aca="false">IFERROR(IF(U234&lt;&gt;"",SUBSTITUTE(SUBSTITUTE(U234,"; ",", "),";",","),""),"")</f>
        <v/>
      </c>
      <c r="BB234" s="47"/>
      <c r="BC234" s="47"/>
      <c r="BD234" s="47"/>
      <c r="BE234" s="47"/>
      <c r="BF234" s="47"/>
      <c r="BG234" s="47"/>
      <c r="BH234" s="47"/>
      <c r="BI234" s="47"/>
      <c r="BJ234" s="47"/>
      <c r="BK234" s="46" t="str">
        <f aca="false">IFERROR(IF(W234&lt;&gt;"",VALUE(W234),""),"")</f>
        <v/>
      </c>
      <c r="BL234" s="46" t="str">
        <f aca="false">IFERROR(IF(X234&lt;&gt;"",VALUE(X234),""),"")</f>
        <v/>
      </c>
      <c r="BM234" s="46" t="str">
        <f aca="false">IFERROR(IF(AD234="","None",IF(ISNUMBER(SEARCH("surv",AD234)),"Survived",IF(ISNUMBER(SEARCH("pend",AD234)),"Pending",IF(ISNUMBER(SEARCH("yes",AD234)),"Pending","None")))),"None")</f>
        <v>None</v>
      </c>
      <c r="BN234" s="47"/>
      <c r="BO234" s="47"/>
      <c r="BP234" s="47"/>
      <c r="BQ234" s="47"/>
      <c r="BR234" s="47"/>
      <c r="BS234" s="47"/>
      <c r="BT234" s="47"/>
      <c r="BU234" s="48" t="n">
        <f aca="false">IFERROR(COUNTA(AE234:BT234)/42,0)</f>
        <v>0.30952380952381</v>
      </c>
      <c r="BV234" s="49"/>
      <c r="BW234" s="50" t="b">
        <f aca="false">IF(Configuration!$C$10="No","",IFERROR(IF(AG234&lt;&gt;"",TRUE(),FALSE()),FALSE()))</f>
        <v>0</v>
      </c>
      <c r="BX234" s="50" t="b">
        <f aca="false">IF(Configuration!$C$11="No","",IFERROR(IF(AND(N(AL234)&gt;=Configuration!$C$44,AM234&lt;&gt;""),TRUE(),FALSE()),FALSE()))</f>
        <v>0</v>
      </c>
      <c r="BY234" s="50" t="b">
        <f aca="false">IF(Configuration!$C$12="No","",IFERROR(IF(AJ234&lt;&gt;"",TRUE(),FALSE()),FALSE()))</f>
        <v>0</v>
      </c>
      <c r="BZ234" s="50" t="b">
        <f aca="false">IF(Configuration!$C$13="No","",IFERROR(IF(AI234&lt;&gt;"",TRUE(),FALSE()),FALSE()))</f>
        <v>0</v>
      </c>
      <c r="CA234" s="50" t="b">
        <f aca="false">IF(Configuration!$C$14="No","",IFERROR(IF(AK234&lt;&gt;"",TRUE(),FALSE()),FALSE()))</f>
        <v>0</v>
      </c>
      <c r="CB234" s="50" t="b">
        <f aca="false">IF(Configuration!$C$15="No","",IFERROR(IF(AND(OR(ISNUMBER(SEARCH("process",AG234)),ISNUMBER(SEARCH("fab",AG234)),ISNUMBER(SEARCH("manufac",AG234))),AO234="Method"),TRUE(),FALSE()),FALSE()))</f>
        <v>0</v>
      </c>
      <c r="CC234" s="50" t="b">
        <f aca="false">IF(Configuration!$C$16="No","",IFERROR(IF(AND(OR(ISNUMBER(SEARCH("material",AG234)),ISNUMBER(SEARCH("chem",AG234)),ISNUMBER(SEARCH("battery",AG234)),ISNUMBER(SEARCH("electrolyte",AG234)),ISNUMBER(SEARCH("polymer",AG234))),OR(AO234="Apparatus",AO234="Method")),TRUE(),FALSE()),FALSE()))</f>
        <v>0</v>
      </c>
      <c r="CD234" s="50" t="b">
        <f aca="false">IF(Configuration!$C$17="No","",IFERROR(IF(AND(OR(AI234="App",AI234="Middleware",AI234="Cloud"),OR(AO234="Method",AO234="CRM")),TRUE(),FALSE()),FALSE()))</f>
        <v>0</v>
      </c>
      <c r="CE234" s="50" t="b">
        <f aca="false">IF(Configuration!$C$18="No","",IFERROR(IF(N(AN234)&gt;=Configuration!$C$45,TRUE(),FALSE()),FALSE()))</f>
        <v>0</v>
      </c>
      <c r="CF234" s="50" t="b">
        <f aca="false">IF(Configuration!$C$19="No","",IFERROR(IF(BE234&lt;&gt;"",TRUE(),FALSE()),FALSE()))</f>
        <v>0</v>
      </c>
      <c r="CG234" s="50" t="b">
        <f aca="false">IF(Configuration!$C$20="No","",IFERROR(IF(AO234&lt;&gt;"",TRUE(),FALSE()),FALSE()))</f>
        <v>0</v>
      </c>
      <c r="CH234" s="50" t="b">
        <f aca="false">IF(Configuration!$C$21="No","",IFERROR(IF(OR(N(AS234)&gt;=Configuration!$C$46,N(AT234)&gt;=Configuration!$C$47),TRUE(),FALSE()),FALSE()))</f>
        <v>0</v>
      </c>
      <c r="CI234" s="50" t="b">
        <f aca="false">IF(Configuration!$C$22="No","",IFERROR(IF(BB234="Yes",TRUE(),FALSE()),FALSE()))</f>
        <v>0</v>
      </c>
      <c r="CJ234" s="50" t="b">
        <f aca="false">IF(Configuration!$C$23="No","",IFERROR(IF(N(AV234)&gt;=Configuration!$C$48,TRUE(),FALSE()),FALSE()))</f>
        <v>0</v>
      </c>
      <c r="CK234" s="50" t="b">
        <f aca="false">IF(Configuration!$C$24="No","",IFERROR(IF(N(AY234)&gt;0,TRUE(),FALSE()),FALSE()))</f>
        <v>0</v>
      </c>
      <c r="CL234" s="50" t="b">
        <f aca="false">IF(Configuration!$C$25="No","",IFERROR(IF(OR(N(AP234)=3,N(AP234)&lt;=1),TRUE(),FALSE()),FALSE()))</f>
        <v>1</v>
      </c>
      <c r="CM234" s="50" t="b">
        <f aca="false">IF(Configuration!$C$26="No","",IFERROR(IF(N(BF234)&gt;=Configuration!$C$49,TRUE(),FALSE()),FALSE()))</f>
        <v>0</v>
      </c>
      <c r="CN234" s="50" t="b">
        <f aca="false">IF(Configuration!$C$27="No","",IFERROR(IF(BD234&lt;&gt;"",TRUE(),FALSE()),FALSE()))</f>
        <v>0</v>
      </c>
      <c r="CO234" s="50" t="b">
        <f aca="false">IF(Configuration!$C$28="No","",IFERROR(IF(N(AU234)&gt;=Configuration!$C$50,TRUE(),FALSE()),FALSE()))</f>
        <v>0</v>
      </c>
      <c r="CP234" s="50" t="b">
        <f aca="false">IF(Configuration!$C$29="No","",IFERROR(IF(AND(N(AR234)&gt;=Configuration!$C$51,AG234&lt;&gt;""),TRUE(),FALSE()),FALSE()))</f>
        <v>0</v>
      </c>
      <c r="CQ234" s="50" t="b">
        <f aca="false">IF(Configuration!$C$30="No","",IFERROR(IF(OR(AW234="Pending",AX234="Yes"),TRUE(),FALSE()),FALSE()))</f>
        <v>0</v>
      </c>
      <c r="CR234" s="50" t="b">
        <f aca="false">IF(Configuration!$C$31="No","",IFERROR(IF(AND(N(BG234)&gt;=Configuration!$C$52,N(AP234)&gt;=1),TRUE(),FALSE()),FALSE()))</f>
        <v>0</v>
      </c>
      <c r="CS234" s="50" t="b">
        <f aca="false">IF(Configuration!$C$32="No","",IFERROR(IF(AND(N(AR234)&gt;=1,OR(AG234&lt;&gt;"",AM234&lt;&gt;"")),TRUE(),FALSE()),FALSE()))</f>
        <v>0</v>
      </c>
      <c r="CT234" s="50" t="b">
        <f aca="false">IF(Configuration!$C$33="No","",IFERROR(IF(AG234&lt;&gt;"",TRUE(),FALSE()),FALSE()))</f>
        <v>0</v>
      </c>
      <c r="CU234" s="50" t="b">
        <f aca="false">IF(Configuration!$C$34="No","",IFERROR(IF(AX234="Yes",TRUE(),FALSE()),FALSE()))</f>
        <v>0</v>
      </c>
      <c r="CV234" s="50" t="b">
        <f aca="false">IF(Configuration!$C$35="No","",IFERROR(IF(OR(BO234="Partial",BO234="Full"),TRUE(),FALSE()),FALSE()))</f>
        <v>0</v>
      </c>
      <c r="CW234" s="50" t="b">
        <f aca="false">IF(Configuration!$C$36="No","",IFERROR(IF(BM234="Survived",TRUE(),FALSE()),FALSE()))</f>
        <v>0</v>
      </c>
      <c r="CX234" s="50" t="b">
        <f aca="false">IF(Configuration!$C$37="No","",IFERROR(IF(AND(BN234="Clean",BP234="None"),TRUE(),FALSE()),FALSE()))</f>
        <v>0</v>
      </c>
      <c r="CY234" s="50" t="b">
        <f aca="false">IF(Configuration!$C$38="No","",IFERROR(IF(N(BK234)&gt;=Configuration!$C$53,TRUE(),FALSE()),FALSE()))</f>
        <v>0</v>
      </c>
      <c r="CZ234" s="50" t="b">
        <f aca="false">IF(Configuration!$C$39="No","",IFERROR(IF(AND(N(BS234)&gt;=2,N(BF234)&gt;=2),TRUE(),FALSE()),FALSE()))</f>
        <v>0</v>
      </c>
      <c r="DA234" s="50" t="b">
        <f aca="false">IF(Configuration!$C$40="No","",IFERROR(IF(OR(N(BG234)&lt;=Configuration!$C$56,N(AY234)&lt;Configuration!$C$57,N(BH234)&lt;=Configuration!$C$58),TRUE(),FALSE()),FALSE()))</f>
        <v>1</v>
      </c>
      <c r="DB234" s="50" t="b">
        <f aca="false">IF(Configuration!$C$41="No","",IFERROR(IF(AND(N(AY234)&gt;=Configuration!$C$54,N(AY234)&lt;=Configuration!$C$55),TRUE(),FALSE()),FALSE()))</f>
        <v>0</v>
      </c>
      <c r="DC234" s="50" t="b">
        <f aca="false">IF(Configuration!$C$42="No","",IFERROR(IF(AND(AG234&lt;&gt;"",AJ234&lt;&gt;""),TRUE(),FALSE()),FALSE()))</f>
        <v>0</v>
      </c>
      <c r="DD234" s="51" t="n">
        <f aca="false">COUNTIF(BW234:DC234,TRUE())</f>
        <v>2</v>
      </c>
    </row>
    <row r="235" customFormat="false" ht="15" hidden="false" customHeight="true" outlineLevel="0" collapsed="false">
      <c r="A235" s="18" t="n">
        <v>196</v>
      </c>
      <c r="B235" s="44"/>
      <c r="C235" s="44"/>
      <c r="D235" s="44"/>
      <c r="E235" s="44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6" t="str">
        <f aca="false">IFERROR(IF(F235&lt;&gt;"",F235,""),"")</f>
        <v/>
      </c>
      <c r="AF235" s="46" t="str">
        <f aca="false">IFERROR(IF(G235&lt;&gt;"",G235,""),"")</f>
        <v/>
      </c>
      <c r="AG235" s="46" t="str">
        <f aca="false">IFERROR(IF(AA235&lt;&gt;"",AA235,IF(R235&lt;&gt;"",R235,"")),"")</f>
        <v/>
      </c>
      <c r="AH235" s="46" t="str">
        <f aca="false">IFERROR(IF(AB235&lt;&gt;"",AB235,IF(S235&lt;&gt;"",S235,"")),"")</f>
        <v/>
      </c>
      <c r="AI235" s="47"/>
      <c r="AJ235" s="47"/>
      <c r="AK235" s="47"/>
      <c r="AL235" s="47"/>
      <c r="AM235" s="47"/>
      <c r="AN235" s="47"/>
      <c r="AO235" s="47"/>
      <c r="AP235" s="47"/>
      <c r="AQ235" s="46" t="str">
        <f aca="false">IFERROR(IF(Y235&lt;&gt;"",VALUE(Y235),""),"")</f>
        <v/>
      </c>
      <c r="AR235" s="47"/>
      <c r="AS235" s="47"/>
      <c r="AT235" s="47"/>
      <c r="AU235" s="47"/>
      <c r="AV235" s="46" t="str">
        <f aca="false">IFERROR(IF(T235&lt;&gt;"",VALUE(T235),""),"")</f>
        <v/>
      </c>
      <c r="AW235" s="46" t="str">
        <f aca="false">IFERROR(IF(N235="","",IF(OR(ISNUMBER(SEARCH("grant",N235)),ISNUMBER(SEARCH("B",AC235))),"Granted",IF(OR(ISNUMBER(SEARCH("pend",N235)),ISNUMBER(SEARCH("A",AC235))),"Pending",IF(ISNUMBER(SEARCH("expir",N235)),"Expired",N235)))),"")</f>
        <v/>
      </c>
      <c r="AX235" s="47"/>
      <c r="AY235" s="46" t="str">
        <f aca="true">IFERROR(IF(M235&lt;&gt;"",ROUND(VALUE(M235),1),IF(L235&lt;&gt;"",ROUND(MAX(0,(DATEVALUE(TEXT(L235,"YYYY-MM-DD"))-TODAY())/365.25),1),"")),"")</f>
        <v/>
      </c>
      <c r="AZ235" s="46" t="str">
        <f aca="false">IFERROR(IF(O235&lt;&gt;"",O235,""),"")</f>
        <v/>
      </c>
      <c r="BA235" s="46" t="str">
        <f aca="false">IFERROR(IF(U235&lt;&gt;"",SUBSTITUTE(SUBSTITUTE(U235,"; ",", "),";",","),""),"")</f>
        <v/>
      </c>
      <c r="BB235" s="47"/>
      <c r="BC235" s="47"/>
      <c r="BD235" s="47"/>
      <c r="BE235" s="47"/>
      <c r="BF235" s="47"/>
      <c r="BG235" s="47"/>
      <c r="BH235" s="47"/>
      <c r="BI235" s="47"/>
      <c r="BJ235" s="47"/>
      <c r="BK235" s="46" t="str">
        <f aca="false">IFERROR(IF(W235&lt;&gt;"",VALUE(W235),""),"")</f>
        <v/>
      </c>
      <c r="BL235" s="46" t="str">
        <f aca="false">IFERROR(IF(X235&lt;&gt;"",VALUE(X235),""),"")</f>
        <v/>
      </c>
      <c r="BM235" s="46" t="str">
        <f aca="false">IFERROR(IF(AD235="","None",IF(ISNUMBER(SEARCH("surv",AD235)),"Survived",IF(ISNUMBER(SEARCH("pend",AD235)),"Pending",IF(ISNUMBER(SEARCH("yes",AD235)),"Pending","None")))),"None")</f>
        <v>None</v>
      </c>
      <c r="BN235" s="47"/>
      <c r="BO235" s="47"/>
      <c r="BP235" s="47"/>
      <c r="BQ235" s="47"/>
      <c r="BR235" s="47"/>
      <c r="BS235" s="47"/>
      <c r="BT235" s="47"/>
      <c r="BU235" s="48" t="n">
        <f aca="false">IFERROR(COUNTA(AE235:BT235)/42,0)</f>
        <v>0.30952380952381</v>
      </c>
      <c r="BV235" s="49"/>
      <c r="BW235" s="50" t="b">
        <f aca="false">IF(Configuration!$C$10="No","",IFERROR(IF(AG235&lt;&gt;"",TRUE(),FALSE()),FALSE()))</f>
        <v>0</v>
      </c>
      <c r="BX235" s="50" t="b">
        <f aca="false">IF(Configuration!$C$11="No","",IFERROR(IF(AND(N(AL235)&gt;=Configuration!$C$44,AM235&lt;&gt;""),TRUE(),FALSE()),FALSE()))</f>
        <v>0</v>
      </c>
      <c r="BY235" s="50" t="b">
        <f aca="false">IF(Configuration!$C$12="No","",IFERROR(IF(AJ235&lt;&gt;"",TRUE(),FALSE()),FALSE()))</f>
        <v>0</v>
      </c>
      <c r="BZ235" s="50" t="b">
        <f aca="false">IF(Configuration!$C$13="No","",IFERROR(IF(AI235&lt;&gt;"",TRUE(),FALSE()),FALSE()))</f>
        <v>0</v>
      </c>
      <c r="CA235" s="50" t="b">
        <f aca="false">IF(Configuration!$C$14="No","",IFERROR(IF(AK235&lt;&gt;"",TRUE(),FALSE()),FALSE()))</f>
        <v>0</v>
      </c>
      <c r="CB235" s="50" t="b">
        <f aca="false">IF(Configuration!$C$15="No","",IFERROR(IF(AND(OR(ISNUMBER(SEARCH("process",AG235)),ISNUMBER(SEARCH("fab",AG235)),ISNUMBER(SEARCH("manufac",AG235))),AO235="Method"),TRUE(),FALSE()),FALSE()))</f>
        <v>0</v>
      </c>
      <c r="CC235" s="50" t="b">
        <f aca="false">IF(Configuration!$C$16="No","",IFERROR(IF(AND(OR(ISNUMBER(SEARCH("material",AG235)),ISNUMBER(SEARCH("chem",AG235)),ISNUMBER(SEARCH("battery",AG235)),ISNUMBER(SEARCH("electrolyte",AG235)),ISNUMBER(SEARCH("polymer",AG235))),OR(AO235="Apparatus",AO235="Method")),TRUE(),FALSE()),FALSE()))</f>
        <v>0</v>
      </c>
      <c r="CD235" s="50" t="b">
        <f aca="false">IF(Configuration!$C$17="No","",IFERROR(IF(AND(OR(AI235="App",AI235="Middleware",AI235="Cloud"),OR(AO235="Method",AO235="CRM")),TRUE(),FALSE()),FALSE()))</f>
        <v>0</v>
      </c>
      <c r="CE235" s="50" t="b">
        <f aca="false">IF(Configuration!$C$18="No","",IFERROR(IF(N(AN235)&gt;=Configuration!$C$45,TRUE(),FALSE()),FALSE()))</f>
        <v>0</v>
      </c>
      <c r="CF235" s="50" t="b">
        <f aca="false">IF(Configuration!$C$19="No","",IFERROR(IF(BE235&lt;&gt;"",TRUE(),FALSE()),FALSE()))</f>
        <v>0</v>
      </c>
      <c r="CG235" s="50" t="b">
        <f aca="false">IF(Configuration!$C$20="No","",IFERROR(IF(AO235&lt;&gt;"",TRUE(),FALSE()),FALSE()))</f>
        <v>0</v>
      </c>
      <c r="CH235" s="50" t="b">
        <f aca="false">IF(Configuration!$C$21="No","",IFERROR(IF(OR(N(AS235)&gt;=Configuration!$C$46,N(AT235)&gt;=Configuration!$C$47),TRUE(),FALSE()),FALSE()))</f>
        <v>0</v>
      </c>
      <c r="CI235" s="50" t="b">
        <f aca="false">IF(Configuration!$C$22="No","",IFERROR(IF(BB235="Yes",TRUE(),FALSE()),FALSE()))</f>
        <v>0</v>
      </c>
      <c r="CJ235" s="50" t="b">
        <f aca="false">IF(Configuration!$C$23="No","",IFERROR(IF(N(AV235)&gt;=Configuration!$C$48,TRUE(),FALSE()),FALSE()))</f>
        <v>0</v>
      </c>
      <c r="CK235" s="50" t="b">
        <f aca="false">IF(Configuration!$C$24="No","",IFERROR(IF(N(AY235)&gt;0,TRUE(),FALSE()),FALSE()))</f>
        <v>0</v>
      </c>
      <c r="CL235" s="50" t="b">
        <f aca="false">IF(Configuration!$C$25="No","",IFERROR(IF(OR(N(AP235)=3,N(AP235)&lt;=1),TRUE(),FALSE()),FALSE()))</f>
        <v>1</v>
      </c>
      <c r="CM235" s="50" t="b">
        <f aca="false">IF(Configuration!$C$26="No","",IFERROR(IF(N(BF235)&gt;=Configuration!$C$49,TRUE(),FALSE()),FALSE()))</f>
        <v>0</v>
      </c>
      <c r="CN235" s="50" t="b">
        <f aca="false">IF(Configuration!$C$27="No","",IFERROR(IF(BD235&lt;&gt;"",TRUE(),FALSE()),FALSE()))</f>
        <v>0</v>
      </c>
      <c r="CO235" s="50" t="b">
        <f aca="false">IF(Configuration!$C$28="No","",IFERROR(IF(N(AU235)&gt;=Configuration!$C$50,TRUE(),FALSE()),FALSE()))</f>
        <v>0</v>
      </c>
      <c r="CP235" s="50" t="b">
        <f aca="false">IF(Configuration!$C$29="No","",IFERROR(IF(AND(N(AR235)&gt;=Configuration!$C$51,AG235&lt;&gt;""),TRUE(),FALSE()),FALSE()))</f>
        <v>0</v>
      </c>
      <c r="CQ235" s="50" t="b">
        <f aca="false">IF(Configuration!$C$30="No","",IFERROR(IF(OR(AW235="Pending",AX235="Yes"),TRUE(),FALSE()),FALSE()))</f>
        <v>0</v>
      </c>
      <c r="CR235" s="50" t="b">
        <f aca="false">IF(Configuration!$C$31="No","",IFERROR(IF(AND(N(BG235)&gt;=Configuration!$C$52,N(AP235)&gt;=1),TRUE(),FALSE()),FALSE()))</f>
        <v>0</v>
      </c>
      <c r="CS235" s="50" t="b">
        <f aca="false">IF(Configuration!$C$32="No","",IFERROR(IF(AND(N(AR235)&gt;=1,OR(AG235&lt;&gt;"",AM235&lt;&gt;"")),TRUE(),FALSE()),FALSE()))</f>
        <v>0</v>
      </c>
      <c r="CT235" s="50" t="b">
        <f aca="false">IF(Configuration!$C$33="No","",IFERROR(IF(AG235&lt;&gt;"",TRUE(),FALSE()),FALSE()))</f>
        <v>0</v>
      </c>
      <c r="CU235" s="50" t="b">
        <f aca="false">IF(Configuration!$C$34="No","",IFERROR(IF(AX235="Yes",TRUE(),FALSE()),FALSE()))</f>
        <v>0</v>
      </c>
      <c r="CV235" s="50" t="b">
        <f aca="false">IF(Configuration!$C$35="No","",IFERROR(IF(OR(BO235="Partial",BO235="Full"),TRUE(),FALSE()),FALSE()))</f>
        <v>0</v>
      </c>
      <c r="CW235" s="50" t="b">
        <f aca="false">IF(Configuration!$C$36="No","",IFERROR(IF(BM235="Survived",TRUE(),FALSE()),FALSE()))</f>
        <v>0</v>
      </c>
      <c r="CX235" s="50" t="b">
        <f aca="false">IF(Configuration!$C$37="No","",IFERROR(IF(AND(BN235="Clean",BP235="None"),TRUE(),FALSE()),FALSE()))</f>
        <v>0</v>
      </c>
      <c r="CY235" s="50" t="b">
        <f aca="false">IF(Configuration!$C$38="No","",IFERROR(IF(N(BK235)&gt;=Configuration!$C$53,TRUE(),FALSE()),FALSE()))</f>
        <v>0</v>
      </c>
      <c r="CZ235" s="50" t="b">
        <f aca="false">IF(Configuration!$C$39="No","",IFERROR(IF(AND(N(BS235)&gt;=2,N(BF235)&gt;=2),TRUE(),FALSE()),FALSE()))</f>
        <v>0</v>
      </c>
      <c r="DA235" s="50" t="b">
        <f aca="false">IF(Configuration!$C$40="No","",IFERROR(IF(OR(N(BG235)&lt;=Configuration!$C$56,N(AY235)&lt;Configuration!$C$57,N(BH235)&lt;=Configuration!$C$58),TRUE(),FALSE()),FALSE()))</f>
        <v>1</v>
      </c>
      <c r="DB235" s="50" t="b">
        <f aca="false">IF(Configuration!$C$41="No","",IFERROR(IF(AND(N(AY235)&gt;=Configuration!$C$54,N(AY235)&lt;=Configuration!$C$55),TRUE(),FALSE()),FALSE()))</f>
        <v>0</v>
      </c>
      <c r="DC235" s="50" t="b">
        <f aca="false">IF(Configuration!$C$42="No","",IFERROR(IF(AND(AG235&lt;&gt;"",AJ235&lt;&gt;""),TRUE(),FALSE()),FALSE()))</f>
        <v>0</v>
      </c>
      <c r="DD235" s="51" t="n">
        <f aca="false">COUNTIF(BW235:DC235,TRUE())</f>
        <v>2</v>
      </c>
    </row>
    <row r="236" customFormat="false" ht="15" hidden="false" customHeight="true" outlineLevel="0" collapsed="false">
      <c r="A236" s="18" t="n">
        <v>197</v>
      </c>
      <c r="B236" s="44"/>
      <c r="C236" s="44"/>
      <c r="D236" s="44"/>
      <c r="E236" s="44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6" t="str">
        <f aca="false">IFERROR(IF(F236&lt;&gt;"",F236,""),"")</f>
        <v/>
      </c>
      <c r="AF236" s="46" t="str">
        <f aca="false">IFERROR(IF(G236&lt;&gt;"",G236,""),"")</f>
        <v/>
      </c>
      <c r="AG236" s="46" t="str">
        <f aca="false">IFERROR(IF(AA236&lt;&gt;"",AA236,IF(R236&lt;&gt;"",R236,"")),"")</f>
        <v/>
      </c>
      <c r="AH236" s="46" t="str">
        <f aca="false">IFERROR(IF(AB236&lt;&gt;"",AB236,IF(S236&lt;&gt;"",S236,"")),"")</f>
        <v/>
      </c>
      <c r="AI236" s="47"/>
      <c r="AJ236" s="47"/>
      <c r="AK236" s="47"/>
      <c r="AL236" s="47"/>
      <c r="AM236" s="47"/>
      <c r="AN236" s="47"/>
      <c r="AO236" s="47"/>
      <c r="AP236" s="47"/>
      <c r="AQ236" s="46" t="str">
        <f aca="false">IFERROR(IF(Y236&lt;&gt;"",VALUE(Y236),""),"")</f>
        <v/>
      </c>
      <c r="AR236" s="47"/>
      <c r="AS236" s="47"/>
      <c r="AT236" s="47"/>
      <c r="AU236" s="47"/>
      <c r="AV236" s="46" t="str">
        <f aca="false">IFERROR(IF(T236&lt;&gt;"",VALUE(T236),""),"")</f>
        <v/>
      </c>
      <c r="AW236" s="46" t="str">
        <f aca="false">IFERROR(IF(N236="","",IF(OR(ISNUMBER(SEARCH("grant",N236)),ISNUMBER(SEARCH("B",AC236))),"Granted",IF(OR(ISNUMBER(SEARCH("pend",N236)),ISNUMBER(SEARCH("A",AC236))),"Pending",IF(ISNUMBER(SEARCH("expir",N236)),"Expired",N236)))),"")</f>
        <v/>
      </c>
      <c r="AX236" s="47"/>
      <c r="AY236" s="46" t="str">
        <f aca="true">IFERROR(IF(M236&lt;&gt;"",ROUND(VALUE(M236),1),IF(L236&lt;&gt;"",ROUND(MAX(0,(DATEVALUE(TEXT(L236,"YYYY-MM-DD"))-TODAY())/365.25),1),"")),"")</f>
        <v/>
      </c>
      <c r="AZ236" s="46" t="str">
        <f aca="false">IFERROR(IF(O236&lt;&gt;"",O236,""),"")</f>
        <v/>
      </c>
      <c r="BA236" s="46" t="str">
        <f aca="false">IFERROR(IF(U236&lt;&gt;"",SUBSTITUTE(SUBSTITUTE(U236,"; ",", "),";",","),""),"")</f>
        <v/>
      </c>
      <c r="BB236" s="47"/>
      <c r="BC236" s="47"/>
      <c r="BD236" s="47"/>
      <c r="BE236" s="47"/>
      <c r="BF236" s="47"/>
      <c r="BG236" s="47"/>
      <c r="BH236" s="47"/>
      <c r="BI236" s="47"/>
      <c r="BJ236" s="47"/>
      <c r="BK236" s="46" t="str">
        <f aca="false">IFERROR(IF(W236&lt;&gt;"",VALUE(W236),""),"")</f>
        <v/>
      </c>
      <c r="BL236" s="46" t="str">
        <f aca="false">IFERROR(IF(X236&lt;&gt;"",VALUE(X236),""),"")</f>
        <v/>
      </c>
      <c r="BM236" s="46" t="str">
        <f aca="false">IFERROR(IF(AD236="","None",IF(ISNUMBER(SEARCH("surv",AD236)),"Survived",IF(ISNUMBER(SEARCH("pend",AD236)),"Pending",IF(ISNUMBER(SEARCH("yes",AD236)),"Pending","None")))),"None")</f>
        <v>None</v>
      </c>
      <c r="BN236" s="47"/>
      <c r="BO236" s="47"/>
      <c r="BP236" s="47"/>
      <c r="BQ236" s="47"/>
      <c r="BR236" s="47"/>
      <c r="BS236" s="47"/>
      <c r="BT236" s="47"/>
      <c r="BU236" s="48" t="n">
        <f aca="false">IFERROR(COUNTA(AE236:BT236)/42,0)</f>
        <v>0.30952380952381</v>
      </c>
      <c r="BV236" s="49"/>
      <c r="BW236" s="50" t="b">
        <f aca="false">IF(Configuration!$C$10="No","",IFERROR(IF(AG236&lt;&gt;"",TRUE(),FALSE()),FALSE()))</f>
        <v>0</v>
      </c>
      <c r="BX236" s="50" t="b">
        <f aca="false">IF(Configuration!$C$11="No","",IFERROR(IF(AND(N(AL236)&gt;=Configuration!$C$44,AM236&lt;&gt;""),TRUE(),FALSE()),FALSE()))</f>
        <v>0</v>
      </c>
      <c r="BY236" s="50" t="b">
        <f aca="false">IF(Configuration!$C$12="No","",IFERROR(IF(AJ236&lt;&gt;"",TRUE(),FALSE()),FALSE()))</f>
        <v>0</v>
      </c>
      <c r="BZ236" s="50" t="b">
        <f aca="false">IF(Configuration!$C$13="No","",IFERROR(IF(AI236&lt;&gt;"",TRUE(),FALSE()),FALSE()))</f>
        <v>0</v>
      </c>
      <c r="CA236" s="50" t="b">
        <f aca="false">IF(Configuration!$C$14="No","",IFERROR(IF(AK236&lt;&gt;"",TRUE(),FALSE()),FALSE()))</f>
        <v>0</v>
      </c>
      <c r="CB236" s="50" t="b">
        <f aca="false">IF(Configuration!$C$15="No","",IFERROR(IF(AND(OR(ISNUMBER(SEARCH("process",AG236)),ISNUMBER(SEARCH("fab",AG236)),ISNUMBER(SEARCH("manufac",AG236))),AO236="Method"),TRUE(),FALSE()),FALSE()))</f>
        <v>0</v>
      </c>
      <c r="CC236" s="50" t="b">
        <f aca="false">IF(Configuration!$C$16="No","",IFERROR(IF(AND(OR(ISNUMBER(SEARCH("material",AG236)),ISNUMBER(SEARCH("chem",AG236)),ISNUMBER(SEARCH("battery",AG236)),ISNUMBER(SEARCH("electrolyte",AG236)),ISNUMBER(SEARCH("polymer",AG236))),OR(AO236="Apparatus",AO236="Method")),TRUE(),FALSE()),FALSE()))</f>
        <v>0</v>
      </c>
      <c r="CD236" s="50" t="b">
        <f aca="false">IF(Configuration!$C$17="No","",IFERROR(IF(AND(OR(AI236="App",AI236="Middleware",AI236="Cloud"),OR(AO236="Method",AO236="CRM")),TRUE(),FALSE()),FALSE()))</f>
        <v>0</v>
      </c>
      <c r="CE236" s="50" t="b">
        <f aca="false">IF(Configuration!$C$18="No","",IFERROR(IF(N(AN236)&gt;=Configuration!$C$45,TRUE(),FALSE()),FALSE()))</f>
        <v>0</v>
      </c>
      <c r="CF236" s="50" t="b">
        <f aca="false">IF(Configuration!$C$19="No","",IFERROR(IF(BE236&lt;&gt;"",TRUE(),FALSE()),FALSE()))</f>
        <v>0</v>
      </c>
      <c r="CG236" s="50" t="b">
        <f aca="false">IF(Configuration!$C$20="No","",IFERROR(IF(AO236&lt;&gt;"",TRUE(),FALSE()),FALSE()))</f>
        <v>0</v>
      </c>
      <c r="CH236" s="50" t="b">
        <f aca="false">IF(Configuration!$C$21="No","",IFERROR(IF(OR(N(AS236)&gt;=Configuration!$C$46,N(AT236)&gt;=Configuration!$C$47),TRUE(),FALSE()),FALSE()))</f>
        <v>0</v>
      </c>
      <c r="CI236" s="50" t="b">
        <f aca="false">IF(Configuration!$C$22="No","",IFERROR(IF(BB236="Yes",TRUE(),FALSE()),FALSE()))</f>
        <v>0</v>
      </c>
      <c r="CJ236" s="50" t="b">
        <f aca="false">IF(Configuration!$C$23="No","",IFERROR(IF(N(AV236)&gt;=Configuration!$C$48,TRUE(),FALSE()),FALSE()))</f>
        <v>0</v>
      </c>
      <c r="CK236" s="50" t="b">
        <f aca="false">IF(Configuration!$C$24="No","",IFERROR(IF(N(AY236)&gt;0,TRUE(),FALSE()),FALSE()))</f>
        <v>0</v>
      </c>
      <c r="CL236" s="50" t="b">
        <f aca="false">IF(Configuration!$C$25="No","",IFERROR(IF(OR(N(AP236)=3,N(AP236)&lt;=1),TRUE(),FALSE()),FALSE()))</f>
        <v>1</v>
      </c>
      <c r="CM236" s="50" t="b">
        <f aca="false">IF(Configuration!$C$26="No","",IFERROR(IF(N(BF236)&gt;=Configuration!$C$49,TRUE(),FALSE()),FALSE()))</f>
        <v>0</v>
      </c>
      <c r="CN236" s="50" t="b">
        <f aca="false">IF(Configuration!$C$27="No","",IFERROR(IF(BD236&lt;&gt;"",TRUE(),FALSE()),FALSE()))</f>
        <v>0</v>
      </c>
      <c r="CO236" s="50" t="b">
        <f aca="false">IF(Configuration!$C$28="No","",IFERROR(IF(N(AU236)&gt;=Configuration!$C$50,TRUE(),FALSE()),FALSE()))</f>
        <v>0</v>
      </c>
      <c r="CP236" s="50" t="b">
        <f aca="false">IF(Configuration!$C$29="No","",IFERROR(IF(AND(N(AR236)&gt;=Configuration!$C$51,AG236&lt;&gt;""),TRUE(),FALSE()),FALSE()))</f>
        <v>0</v>
      </c>
      <c r="CQ236" s="50" t="b">
        <f aca="false">IF(Configuration!$C$30="No","",IFERROR(IF(OR(AW236="Pending",AX236="Yes"),TRUE(),FALSE()),FALSE()))</f>
        <v>0</v>
      </c>
      <c r="CR236" s="50" t="b">
        <f aca="false">IF(Configuration!$C$31="No","",IFERROR(IF(AND(N(BG236)&gt;=Configuration!$C$52,N(AP236)&gt;=1),TRUE(),FALSE()),FALSE()))</f>
        <v>0</v>
      </c>
      <c r="CS236" s="50" t="b">
        <f aca="false">IF(Configuration!$C$32="No","",IFERROR(IF(AND(N(AR236)&gt;=1,OR(AG236&lt;&gt;"",AM236&lt;&gt;"")),TRUE(),FALSE()),FALSE()))</f>
        <v>0</v>
      </c>
      <c r="CT236" s="50" t="b">
        <f aca="false">IF(Configuration!$C$33="No","",IFERROR(IF(AG236&lt;&gt;"",TRUE(),FALSE()),FALSE()))</f>
        <v>0</v>
      </c>
      <c r="CU236" s="50" t="b">
        <f aca="false">IF(Configuration!$C$34="No","",IFERROR(IF(AX236="Yes",TRUE(),FALSE()),FALSE()))</f>
        <v>0</v>
      </c>
      <c r="CV236" s="50" t="b">
        <f aca="false">IF(Configuration!$C$35="No","",IFERROR(IF(OR(BO236="Partial",BO236="Full"),TRUE(),FALSE()),FALSE()))</f>
        <v>0</v>
      </c>
      <c r="CW236" s="50" t="b">
        <f aca="false">IF(Configuration!$C$36="No","",IFERROR(IF(BM236="Survived",TRUE(),FALSE()),FALSE()))</f>
        <v>0</v>
      </c>
      <c r="CX236" s="50" t="b">
        <f aca="false">IF(Configuration!$C$37="No","",IFERROR(IF(AND(BN236="Clean",BP236="None"),TRUE(),FALSE()),FALSE()))</f>
        <v>0</v>
      </c>
      <c r="CY236" s="50" t="b">
        <f aca="false">IF(Configuration!$C$38="No","",IFERROR(IF(N(BK236)&gt;=Configuration!$C$53,TRUE(),FALSE()),FALSE()))</f>
        <v>0</v>
      </c>
      <c r="CZ236" s="50" t="b">
        <f aca="false">IF(Configuration!$C$39="No","",IFERROR(IF(AND(N(BS236)&gt;=2,N(BF236)&gt;=2),TRUE(),FALSE()),FALSE()))</f>
        <v>0</v>
      </c>
      <c r="DA236" s="50" t="b">
        <f aca="false">IF(Configuration!$C$40="No","",IFERROR(IF(OR(N(BG236)&lt;=Configuration!$C$56,N(AY236)&lt;Configuration!$C$57,N(BH236)&lt;=Configuration!$C$58),TRUE(),FALSE()),FALSE()))</f>
        <v>1</v>
      </c>
      <c r="DB236" s="50" t="b">
        <f aca="false">IF(Configuration!$C$41="No","",IFERROR(IF(AND(N(AY236)&gt;=Configuration!$C$54,N(AY236)&lt;=Configuration!$C$55),TRUE(),FALSE()),FALSE()))</f>
        <v>0</v>
      </c>
      <c r="DC236" s="50" t="b">
        <f aca="false">IF(Configuration!$C$42="No","",IFERROR(IF(AND(AG236&lt;&gt;"",AJ236&lt;&gt;""),TRUE(),FALSE()),FALSE()))</f>
        <v>0</v>
      </c>
      <c r="DD236" s="51" t="n">
        <f aca="false">COUNTIF(BW236:DC236,TRUE())</f>
        <v>2</v>
      </c>
    </row>
    <row r="237" customFormat="false" ht="15" hidden="false" customHeight="true" outlineLevel="0" collapsed="false">
      <c r="A237" s="18" t="n">
        <v>198</v>
      </c>
      <c r="B237" s="44"/>
      <c r="C237" s="44"/>
      <c r="D237" s="44"/>
      <c r="E237" s="44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6" t="str">
        <f aca="false">IFERROR(IF(F237&lt;&gt;"",F237,""),"")</f>
        <v/>
      </c>
      <c r="AF237" s="46" t="str">
        <f aca="false">IFERROR(IF(G237&lt;&gt;"",G237,""),"")</f>
        <v/>
      </c>
      <c r="AG237" s="46" t="str">
        <f aca="false">IFERROR(IF(AA237&lt;&gt;"",AA237,IF(R237&lt;&gt;"",R237,"")),"")</f>
        <v/>
      </c>
      <c r="AH237" s="46" t="str">
        <f aca="false">IFERROR(IF(AB237&lt;&gt;"",AB237,IF(S237&lt;&gt;"",S237,"")),"")</f>
        <v/>
      </c>
      <c r="AI237" s="47"/>
      <c r="AJ237" s="47"/>
      <c r="AK237" s="47"/>
      <c r="AL237" s="47"/>
      <c r="AM237" s="47"/>
      <c r="AN237" s="47"/>
      <c r="AO237" s="47"/>
      <c r="AP237" s="47"/>
      <c r="AQ237" s="46" t="str">
        <f aca="false">IFERROR(IF(Y237&lt;&gt;"",VALUE(Y237),""),"")</f>
        <v/>
      </c>
      <c r="AR237" s="47"/>
      <c r="AS237" s="47"/>
      <c r="AT237" s="47"/>
      <c r="AU237" s="47"/>
      <c r="AV237" s="46" t="str">
        <f aca="false">IFERROR(IF(T237&lt;&gt;"",VALUE(T237),""),"")</f>
        <v/>
      </c>
      <c r="AW237" s="46" t="str">
        <f aca="false">IFERROR(IF(N237="","",IF(OR(ISNUMBER(SEARCH("grant",N237)),ISNUMBER(SEARCH("B",AC237))),"Granted",IF(OR(ISNUMBER(SEARCH("pend",N237)),ISNUMBER(SEARCH("A",AC237))),"Pending",IF(ISNUMBER(SEARCH("expir",N237)),"Expired",N237)))),"")</f>
        <v/>
      </c>
      <c r="AX237" s="47"/>
      <c r="AY237" s="46" t="str">
        <f aca="true">IFERROR(IF(M237&lt;&gt;"",ROUND(VALUE(M237),1),IF(L237&lt;&gt;"",ROUND(MAX(0,(DATEVALUE(TEXT(L237,"YYYY-MM-DD"))-TODAY())/365.25),1),"")),"")</f>
        <v/>
      </c>
      <c r="AZ237" s="46" t="str">
        <f aca="false">IFERROR(IF(O237&lt;&gt;"",O237,""),"")</f>
        <v/>
      </c>
      <c r="BA237" s="46" t="str">
        <f aca="false">IFERROR(IF(U237&lt;&gt;"",SUBSTITUTE(SUBSTITUTE(U237,"; ",", "),";",","),""),"")</f>
        <v/>
      </c>
      <c r="BB237" s="47"/>
      <c r="BC237" s="47"/>
      <c r="BD237" s="47"/>
      <c r="BE237" s="47"/>
      <c r="BF237" s="47"/>
      <c r="BG237" s="47"/>
      <c r="BH237" s="47"/>
      <c r="BI237" s="47"/>
      <c r="BJ237" s="47"/>
      <c r="BK237" s="46" t="str">
        <f aca="false">IFERROR(IF(W237&lt;&gt;"",VALUE(W237),""),"")</f>
        <v/>
      </c>
      <c r="BL237" s="46" t="str">
        <f aca="false">IFERROR(IF(X237&lt;&gt;"",VALUE(X237),""),"")</f>
        <v/>
      </c>
      <c r="BM237" s="46" t="str">
        <f aca="false">IFERROR(IF(AD237="","None",IF(ISNUMBER(SEARCH("surv",AD237)),"Survived",IF(ISNUMBER(SEARCH("pend",AD237)),"Pending",IF(ISNUMBER(SEARCH("yes",AD237)),"Pending","None")))),"None")</f>
        <v>None</v>
      </c>
      <c r="BN237" s="47"/>
      <c r="BO237" s="47"/>
      <c r="BP237" s="47"/>
      <c r="BQ237" s="47"/>
      <c r="BR237" s="47"/>
      <c r="BS237" s="47"/>
      <c r="BT237" s="47"/>
      <c r="BU237" s="48" t="n">
        <f aca="false">IFERROR(COUNTA(AE237:BT237)/42,0)</f>
        <v>0.30952380952381</v>
      </c>
      <c r="BV237" s="49"/>
      <c r="BW237" s="50" t="b">
        <f aca="false">IF(Configuration!$C$10="No","",IFERROR(IF(AG237&lt;&gt;"",TRUE(),FALSE()),FALSE()))</f>
        <v>0</v>
      </c>
      <c r="BX237" s="50" t="b">
        <f aca="false">IF(Configuration!$C$11="No","",IFERROR(IF(AND(N(AL237)&gt;=Configuration!$C$44,AM237&lt;&gt;""),TRUE(),FALSE()),FALSE()))</f>
        <v>0</v>
      </c>
      <c r="BY237" s="50" t="b">
        <f aca="false">IF(Configuration!$C$12="No","",IFERROR(IF(AJ237&lt;&gt;"",TRUE(),FALSE()),FALSE()))</f>
        <v>0</v>
      </c>
      <c r="BZ237" s="50" t="b">
        <f aca="false">IF(Configuration!$C$13="No","",IFERROR(IF(AI237&lt;&gt;"",TRUE(),FALSE()),FALSE()))</f>
        <v>0</v>
      </c>
      <c r="CA237" s="50" t="b">
        <f aca="false">IF(Configuration!$C$14="No","",IFERROR(IF(AK237&lt;&gt;"",TRUE(),FALSE()),FALSE()))</f>
        <v>0</v>
      </c>
      <c r="CB237" s="50" t="b">
        <f aca="false">IF(Configuration!$C$15="No","",IFERROR(IF(AND(OR(ISNUMBER(SEARCH("process",AG237)),ISNUMBER(SEARCH("fab",AG237)),ISNUMBER(SEARCH("manufac",AG237))),AO237="Method"),TRUE(),FALSE()),FALSE()))</f>
        <v>0</v>
      </c>
      <c r="CC237" s="50" t="b">
        <f aca="false">IF(Configuration!$C$16="No","",IFERROR(IF(AND(OR(ISNUMBER(SEARCH("material",AG237)),ISNUMBER(SEARCH("chem",AG237)),ISNUMBER(SEARCH("battery",AG237)),ISNUMBER(SEARCH("electrolyte",AG237)),ISNUMBER(SEARCH("polymer",AG237))),OR(AO237="Apparatus",AO237="Method")),TRUE(),FALSE()),FALSE()))</f>
        <v>0</v>
      </c>
      <c r="CD237" s="50" t="b">
        <f aca="false">IF(Configuration!$C$17="No","",IFERROR(IF(AND(OR(AI237="App",AI237="Middleware",AI237="Cloud"),OR(AO237="Method",AO237="CRM")),TRUE(),FALSE()),FALSE()))</f>
        <v>0</v>
      </c>
      <c r="CE237" s="50" t="b">
        <f aca="false">IF(Configuration!$C$18="No","",IFERROR(IF(N(AN237)&gt;=Configuration!$C$45,TRUE(),FALSE()),FALSE()))</f>
        <v>0</v>
      </c>
      <c r="CF237" s="50" t="b">
        <f aca="false">IF(Configuration!$C$19="No","",IFERROR(IF(BE237&lt;&gt;"",TRUE(),FALSE()),FALSE()))</f>
        <v>0</v>
      </c>
      <c r="CG237" s="50" t="b">
        <f aca="false">IF(Configuration!$C$20="No","",IFERROR(IF(AO237&lt;&gt;"",TRUE(),FALSE()),FALSE()))</f>
        <v>0</v>
      </c>
      <c r="CH237" s="50" t="b">
        <f aca="false">IF(Configuration!$C$21="No","",IFERROR(IF(OR(N(AS237)&gt;=Configuration!$C$46,N(AT237)&gt;=Configuration!$C$47),TRUE(),FALSE()),FALSE()))</f>
        <v>0</v>
      </c>
      <c r="CI237" s="50" t="b">
        <f aca="false">IF(Configuration!$C$22="No","",IFERROR(IF(BB237="Yes",TRUE(),FALSE()),FALSE()))</f>
        <v>0</v>
      </c>
      <c r="CJ237" s="50" t="b">
        <f aca="false">IF(Configuration!$C$23="No","",IFERROR(IF(N(AV237)&gt;=Configuration!$C$48,TRUE(),FALSE()),FALSE()))</f>
        <v>0</v>
      </c>
      <c r="CK237" s="50" t="b">
        <f aca="false">IF(Configuration!$C$24="No","",IFERROR(IF(N(AY237)&gt;0,TRUE(),FALSE()),FALSE()))</f>
        <v>0</v>
      </c>
      <c r="CL237" s="50" t="b">
        <f aca="false">IF(Configuration!$C$25="No","",IFERROR(IF(OR(N(AP237)=3,N(AP237)&lt;=1),TRUE(),FALSE()),FALSE()))</f>
        <v>1</v>
      </c>
      <c r="CM237" s="50" t="b">
        <f aca="false">IF(Configuration!$C$26="No","",IFERROR(IF(N(BF237)&gt;=Configuration!$C$49,TRUE(),FALSE()),FALSE()))</f>
        <v>0</v>
      </c>
      <c r="CN237" s="50" t="b">
        <f aca="false">IF(Configuration!$C$27="No","",IFERROR(IF(BD237&lt;&gt;"",TRUE(),FALSE()),FALSE()))</f>
        <v>0</v>
      </c>
      <c r="CO237" s="50" t="b">
        <f aca="false">IF(Configuration!$C$28="No","",IFERROR(IF(N(AU237)&gt;=Configuration!$C$50,TRUE(),FALSE()),FALSE()))</f>
        <v>0</v>
      </c>
      <c r="CP237" s="50" t="b">
        <f aca="false">IF(Configuration!$C$29="No","",IFERROR(IF(AND(N(AR237)&gt;=Configuration!$C$51,AG237&lt;&gt;""),TRUE(),FALSE()),FALSE()))</f>
        <v>0</v>
      </c>
      <c r="CQ237" s="50" t="b">
        <f aca="false">IF(Configuration!$C$30="No","",IFERROR(IF(OR(AW237="Pending",AX237="Yes"),TRUE(),FALSE()),FALSE()))</f>
        <v>0</v>
      </c>
      <c r="CR237" s="50" t="b">
        <f aca="false">IF(Configuration!$C$31="No","",IFERROR(IF(AND(N(BG237)&gt;=Configuration!$C$52,N(AP237)&gt;=1),TRUE(),FALSE()),FALSE()))</f>
        <v>0</v>
      </c>
      <c r="CS237" s="50" t="b">
        <f aca="false">IF(Configuration!$C$32="No","",IFERROR(IF(AND(N(AR237)&gt;=1,OR(AG237&lt;&gt;"",AM237&lt;&gt;"")),TRUE(),FALSE()),FALSE()))</f>
        <v>0</v>
      </c>
      <c r="CT237" s="50" t="b">
        <f aca="false">IF(Configuration!$C$33="No","",IFERROR(IF(AG237&lt;&gt;"",TRUE(),FALSE()),FALSE()))</f>
        <v>0</v>
      </c>
      <c r="CU237" s="50" t="b">
        <f aca="false">IF(Configuration!$C$34="No","",IFERROR(IF(AX237="Yes",TRUE(),FALSE()),FALSE()))</f>
        <v>0</v>
      </c>
      <c r="CV237" s="50" t="b">
        <f aca="false">IF(Configuration!$C$35="No","",IFERROR(IF(OR(BO237="Partial",BO237="Full"),TRUE(),FALSE()),FALSE()))</f>
        <v>0</v>
      </c>
      <c r="CW237" s="50" t="b">
        <f aca="false">IF(Configuration!$C$36="No","",IFERROR(IF(BM237="Survived",TRUE(),FALSE()),FALSE()))</f>
        <v>0</v>
      </c>
      <c r="CX237" s="50" t="b">
        <f aca="false">IF(Configuration!$C$37="No","",IFERROR(IF(AND(BN237="Clean",BP237="None"),TRUE(),FALSE()),FALSE()))</f>
        <v>0</v>
      </c>
      <c r="CY237" s="50" t="b">
        <f aca="false">IF(Configuration!$C$38="No","",IFERROR(IF(N(BK237)&gt;=Configuration!$C$53,TRUE(),FALSE()),FALSE()))</f>
        <v>0</v>
      </c>
      <c r="CZ237" s="50" t="b">
        <f aca="false">IF(Configuration!$C$39="No","",IFERROR(IF(AND(N(BS237)&gt;=2,N(BF237)&gt;=2),TRUE(),FALSE()),FALSE()))</f>
        <v>0</v>
      </c>
      <c r="DA237" s="50" t="b">
        <f aca="false">IF(Configuration!$C$40="No","",IFERROR(IF(OR(N(BG237)&lt;=Configuration!$C$56,N(AY237)&lt;Configuration!$C$57,N(BH237)&lt;=Configuration!$C$58),TRUE(),FALSE()),FALSE()))</f>
        <v>1</v>
      </c>
      <c r="DB237" s="50" t="b">
        <f aca="false">IF(Configuration!$C$41="No","",IFERROR(IF(AND(N(AY237)&gt;=Configuration!$C$54,N(AY237)&lt;=Configuration!$C$55),TRUE(),FALSE()),FALSE()))</f>
        <v>0</v>
      </c>
      <c r="DC237" s="50" t="b">
        <f aca="false">IF(Configuration!$C$42="No","",IFERROR(IF(AND(AG237&lt;&gt;"",AJ237&lt;&gt;""),TRUE(),FALSE()),FALSE()))</f>
        <v>0</v>
      </c>
      <c r="DD237" s="51" t="n">
        <f aca="false">COUNTIF(BW237:DC237,TRUE())</f>
        <v>2</v>
      </c>
    </row>
    <row r="238" customFormat="false" ht="15" hidden="false" customHeight="true" outlineLevel="0" collapsed="false">
      <c r="A238" s="18" t="n">
        <v>199</v>
      </c>
      <c r="B238" s="44"/>
      <c r="C238" s="44"/>
      <c r="D238" s="44"/>
      <c r="E238" s="44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6" t="str">
        <f aca="false">IFERROR(IF(F238&lt;&gt;"",F238,""),"")</f>
        <v/>
      </c>
      <c r="AF238" s="46" t="str">
        <f aca="false">IFERROR(IF(G238&lt;&gt;"",G238,""),"")</f>
        <v/>
      </c>
      <c r="AG238" s="46" t="str">
        <f aca="false">IFERROR(IF(AA238&lt;&gt;"",AA238,IF(R238&lt;&gt;"",R238,"")),"")</f>
        <v/>
      </c>
      <c r="AH238" s="46" t="str">
        <f aca="false">IFERROR(IF(AB238&lt;&gt;"",AB238,IF(S238&lt;&gt;"",S238,"")),"")</f>
        <v/>
      </c>
      <c r="AI238" s="47"/>
      <c r="AJ238" s="47"/>
      <c r="AK238" s="47"/>
      <c r="AL238" s="47"/>
      <c r="AM238" s="47"/>
      <c r="AN238" s="47"/>
      <c r="AO238" s="47"/>
      <c r="AP238" s="47"/>
      <c r="AQ238" s="46" t="str">
        <f aca="false">IFERROR(IF(Y238&lt;&gt;"",VALUE(Y238),""),"")</f>
        <v/>
      </c>
      <c r="AR238" s="47"/>
      <c r="AS238" s="47"/>
      <c r="AT238" s="47"/>
      <c r="AU238" s="47"/>
      <c r="AV238" s="46" t="str">
        <f aca="false">IFERROR(IF(T238&lt;&gt;"",VALUE(T238),""),"")</f>
        <v/>
      </c>
      <c r="AW238" s="46" t="str">
        <f aca="false">IFERROR(IF(N238="","",IF(OR(ISNUMBER(SEARCH("grant",N238)),ISNUMBER(SEARCH("B",AC238))),"Granted",IF(OR(ISNUMBER(SEARCH("pend",N238)),ISNUMBER(SEARCH("A",AC238))),"Pending",IF(ISNUMBER(SEARCH("expir",N238)),"Expired",N238)))),"")</f>
        <v/>
      </c>
      <c r="AX238" s="47"/>
      <c r="AY238" s="46" t="str">
        <f aca="true">IFERROR(IF(M238&lt;&gt;"",ROUND(VALUE(M238),1),IF(L238&lt;&gt;"",ROUND(MAX(0,(DATEVALUE(TEXT(L238,"YYYY-MM-DD"))-TODAY())/365.25),1),"")),"")</f>
        <v/>
      </c>
      <c r="AZ238" s="46" t="str">
        <f aca="false">IFERROR(IF(O238&lt;&gt;"",O238,""),"")</f>
        <v/>
      </c>
      <c r="BA238" s="46" t="str">
        <f aca="false">IFERROR(IF(U238&lt;&gt;"",SUBSTITUTE(SUBSTITUTE(U238,"; ",", "),";",","),""),"")</f>
        <v/>
      </c>
      <c r="BB238" s="47"/>
      <c r="BC238" s="47"/>
      <c r="BD238" s="47"/>
      <c r="BE238" s="47"/>
      <c r="BF238" s="47"/>
      <c r="BG238" s="47"/>
      <c r="BH238" s="47"/>
      <c r="BI238" s="47"/>
      <c r="BJ238" s="47"/>
      <c r="BK238" s="46" t="str">
        <f aca="false">IFERROR(IF(W238&lt;&gt;"",VALUE(W238),""),"")</f>
        <v/>
      </c>
      <c r="BL238" s="46" t="str">
        <f aca="false">IFERROR(IF(X238&lt;&gt;"",VALUE(X238),""),"")</f>
        <v/>
      </c>
      <c r="BM238" s="46" t="str">
        <f aca="false">IFERROR(IF(AD238="","None",IF(ISNUMBER(SEARCH("surv",AD238)),"Survived",IF(ISNUMBER(SEARCH("pend",AD238)),"Pending",IF(ISNUMBER(SEARCH("yes",AD238)),"Pending","None")))),"None")</f>
        <v>None</v>
      </c>
      <c r="BN238" s="47"/>
      <c r="BO238" s="47"/>
      <c r="BP238" s="47"/>
      <c r="BQ238" s="47"/>
      <c r="BR238" s="47"/>
      <c r="BS238" s="47"/>
      <c r="BT238" s="47"/>
      <c r="BU238" s="48" t="n">
        <f aca="false">IFERROR(COUNTA(AE238:BT238)/42,0)</f>
        <v>0.30952380952381</v>
      </c>
      <c r="BV238" s="49"/>
      <c r="BW238" s="50" t="b">
        <f aca="false">IF(Configuration!$C$10="No","",IFERROR(IF(AG238&lt;&gt;"",TRUE(),FALSE()),FALSE()))</f>
        <v>0</v>
      </c>
      <c r="BX238" s="50" t="b">
        <f aca="false">IF(Configuration!$C$11="No","",IFERROR(IF(AND(N(AL238)&gt;=Configuration!$C$44,AM238&lt;&gt;""),TRUE(),FALSE()),FALSE()))</f>
        <v>0</v>
      </c>
      <c r="BY238" s="50" t="b">
        <f aca="false">IF(Configuration!$C$12="No","",IFERROR(IF(AJ238&lt;&gt;"",TRUE(),FALSE()),FALSE()))</f>
        <v>0</v>
      </c>
      <c r="BZ238" s="50" t="b">
        <f aca="false">IF(Configuration!$C$13="No","",IFERROR(IF(AI238&lt;&gt;"",TRUE(),FALSE()),FALSE()))</f>
        <v>0</v>
      </c>
      <c r="CA238" s="50" t="b">
        <f aca="false">IF(Configuration!$C$14="No","",IFERROR(IF(AK238&lt;&gt;"",TRUE(),FALSE()),FALSE()))</f>
        <v>0</v>
      </c>
      <c r="CB238" s="50" t="b">
        <f aca="false">IF(Configuration!$C$15="No","",IFERROR(IF(AND(OR(ISNUMBER(SEARCH("process",AG238)),ISNUMBER(SEARCH("fab",AG238)),ISNUMBER(SEARCH("manufac",AG238))),AO238="Method"),TRUE(),FALSE()),FALSE()))</f>
        <v>0</v>
      </c>
      <c r="CC238" s="50" t="b">
        <f aca="false">IF(Configuration!$C$16="No","",IFERROR(IF(AND(OR(ISNUMBER(SEARCH("material",AG238)),ISNUMBER(SEARCH("chem",AG238)),ISNUMBER(SEARCH("battery",AG238)),ISNUMBER(SEARCH("electrolyte",AG238)),ISNUMBER(SEARCH("polymer",AG238))),OR(AO238="Apparatus",AO238="Method")),TRUE(),FALSE()),FALSE()))</f>
        <v>0</v>
      </c>
      <c r="CD238" s="50" t="b">
        <f aca="false">IF(Configuration!$C$17="No","",IFERROR(IF(AND(OR(AI238="App",AI238="Middleware",AI238="Cloud"),OR(AO238="Method",AO238="CRM")),TRUE(),FALSE()),FALSE()))</f>
        <v>0</v>
      </c>
      <c r="CE238" s="50" t="b">
        <f aca="false">IF(Configuration!$C$18="No","",IFERROR(IF(N(AN238)&gt;=Configuration!$C$45,TRUE(),FALSE()),FALSE()))</f>
        <v>0</v>
      </c>
      <c r="CF238" s="50" t="b">
        <f aca="false">IF(Configuration!$C$19="No","",IFERROR(IF(BE238&lt;&gt;"",TRUE(),FALSE()),FALSE()))</f>
        <v>0</v>
      </c>
      <c r="CG238" s="50" t="b">
        <f aca="false">IF(Configuration!$C$20="No","",IFERROR(IF(AO238&lt;&gt;"",TRUE(),FALSE()),FALSE()))</f>
        <v>0</v>
      </c>
      <c r="CH238" s="50" t="b">
        <f aca="false">IF(Configuration!$C$21="No","",IFERROR(IF(OR(N(AS238)&gt;=Configuration!$C$46,N(AT238)&gt;=Configuration!$C$47),TRUE(),FALSE()),FALSE()))</f>
        <v>0</v>
      </c>
      <c r="CI238" s="50" t="b">
        <f aca="false">IF(Configuration!$C$22="No","",IFERROR(IF(BB238="Yes",TRUE(),FALSE()),FALSE()))</f>
        <v>0</v>
      </c>
      <c r="CJ238" s="50" t="b">
        <f aca="false">IF(Configuration!$C$23="No","",IFERROR(IF(N(AV238)&gt;=Configuration!$C$48,TRUE(),FALSE()),FALSE()))</f>
        <v>0</v>
      </c>
      <c r="CK238" s="50" t="b">
        <f aca="false">IF(Configuration!$C$24="No","",IFERROR(IF(N(AY238)&gt;0,TRUE(),FALSE()),FALSE()))</f>
        <v>0</v>
      </c>
      <c r="CL238" s="50" t="b">
        <f aca="false">IF(Configuration!$C$25="No","",IFERROR(IF(OR(N(AP238)=3,N(AP238)&lt;=1),TRUE(),FALSE()),FALSE()))</f>
        <v>1</v>
      </c>
      <c r="CM238" s="50" t="b">
        <f aca="false">IF(Configuration!$C$26="No","",IFERROR(IF(N(BF238)&gt;=Configuration!$C$49,TRUE(),FALSE()),FALSE()))</f>
        <v>0</v>
      </c>
      <c r="CN238" s="50" t="b">
        <f aca="false">IF(Configuration!$C$27="No","",IFERROR(IF(BD238&lt;&gt;"",TRUE(),FALSE()),FALSE()))</f>
        <v>0</v>
      </c>
      <c r="CO238" s="50" t="b">
        <f aca="false">IF(Configuration!$C$28="No","",IFERROR(IF(N(AU238)&gt;=Configuration!$C$50,TRUE(),FALSE()),FALSE()))</f>
        <v>0</v>
      </c>
      <c r="CP238" s="50" t="b">
        <f aca="false">IF(Configuration!$C$29="No","",IFERROR(IF(AND(N(AR238)&gt;=Configuration!$C$51,AG238&lt;&gt;""),TRUE(),FALSE()),FALSE()))</f>
        <v>0</v>
      </c>
      <c r="CQ238" s="50" t="b">
        <f aca="false">IF(Configuration!$C$30="No","",IFERROR(IF(OR(AW238="Pending",AX238="Yes"),TRUE(),FALSE()),FALSE()))</f>
        <v>0</v>
      </c>
      <c r="CR238" s="50" t="b">
        <f aca="false">IF(Configuration!$C$31="No","",IFERROR(IF(AND(N(BG238)&gt;=Configuration!$C$52,N(AP238)&gt;=1),TRUE(),FALSE()),FALSE()))</f>
        <v>0</v>
      </c>
      <c r="CS238" s="50" t="b">
        <f aca="false">IF(Configuration!$C$32="No","",IFERROR(IF(AND(N(AR238)&gt;=1,OR(AG238&lt;&gt;"",AM238&lt;&gt;"")),TRUE(),FALSE()),FALSE()))</f>
        <v>0</v>
      </c>
      <c r="CT238" s="50" t="b">
        <f aca="false">IF(Configuration!$C$33="No","",IFERROR(IF(AG238&lt;&gt;"",TRUE(),FALSE()),FALSE()))</f>
        <v>0</v>
      </c>
      <c r="CU238" s="50" t="b">
        <f aca="false">IF(Configuration!$C$34="No","",IFERROR(IF(AX238="Yes",TRUE(),FALSE()),FALSE()))</f>
        <v>0</v>
      </c>
      <c r="CV238" s="50" t="b">
        <f aca="false">IF(Configuration!$C$35="No","",IFERROR(IF(OR(BO238="Partial",BO238="Full"),TRUE(),FALSE()),FALSE()))</f>
        <v>0</v>
      </c>
      <c r="CW238" s="50" t="b">
        <f aca="false">IF(Configuration!$C$36="No","",IFERROR(IF(BM238="Survived",TRUE(),FALSE()),FALSE()))</f>
        <v>0</v>
      </c>
      <c r="CX238" s="50" t="b">
        <f aca="false">IF(Configuration!$C$37="No","",IFERROR(IF(AND(BN238="Clean",BP238="None"),TRUE(),FALSE()),FALSE()))</f>
        <v>0</v>
      </c>
      <c r="CY238" s="50" t="b">
        <f aca="false">IF(Configuration!$C$38="No","",IFERROR(IF(N(BK238)&gt;=Configuration!$C$53,TRUE(),FALSE()),FALSE()))</f>
        <v>0</v>
      </c>
      <c r="CZ238" s="50" t="b">
        <f aca="false">IF(Configuration!$C$39="No","",IFERROR(IF(AND(N(BS238)&gt;=2,N(BF238)&gt;=2),TRUE(),FALSE()),FALSE()))</f>
        <v>0</v>
      </c>
      <c r="DA238" s="50" t="b">
        <f aca="false">IF(Configuration!$C$40="No","",IFERROR(IF(OR(N(BG238)&lt;=Configuration!$C$56,N(AY238)&lt;Configuration!$C$57,N(BH238)&lt;=Configuration!$C$58),TRUE(),FALSE()),FALSE()))</f>
        <v>1</v>
      </c>
      <c r="DB238" s="50" t="b">
        <f aca="false">IF(Configuration!$C$41="No","",IFERROR(IF(AND(N(AY238)&gt;=Configuration!$C$54,N(AY238)&lt;=Configuration!$C$55),TRUE(),FALSE()),FALSE()))</f>
        <v>0</v>
      </c>
      <c r="DC238" s="50" t="b">
        <f aca="false">IF(Configuration!$C$42="No","",IFERROR(IF(AND(AG238&lt;&gt;"",AJ238&lt;&gt;""),TRUE(),FALSE()),FALSE()))</f>
        <v>0</v>
      </c>
      <c r="DD238" s="51" t="n">
        <f aca="false">COUNTIF(BW238:DC238,TRUE())</f>
        <v>2</v>
      </c>
    </row>
    <row r="239" customFormat="false" ht="15" hidden="false" customHeight="true" outlineLevel="0" collapsed="false">
      <c r="A239" s="18" t="n">
        <v>200</v>
      </c>
      <c r="B239" s="44"/>
      <c r="C239" s="44"/>
      <c r="D239" s="44"/>
      <c r="E239" s="44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6" t="str">
        <f aca="false">IFERROR(IF(F239&lt;&gt;"",F239,""),"")</f>
        <v/>
      </c>
      <c r="AF239" s="46" t="str">
        <f aca="false">IFERROR(IF(G239&lt;&gt;"",G239,""),"")</f>
        <v/>
      </c>
      <c r="AG239" s="46" t="str">
        <f aca="false">IFERROR(IF(AA239&lt;&gt;"",AA239,IF(R239&lt;&gt;"",R239,"")),"")</f>
        <v/>
      </c>
      <c r="AH239" s="46" t="str">
        <f aca="false">IFERROR(IF(AB239&lt;&gt;"",AB239,IF(S239&lt;&gt;"",S239,"")),"")</f>
        <v/>
      </c>
      <c r="AI239" s="47"/>
      <c r="AJ239" s="47"/>
      <c r="AK239" s="47"/>
      <c r="AL239" s="47"/>
      <c r="AM239" s="47"/>
      <c r="AN239" s="47"/>
      <c r="AO239" s="47"/>
      <c r="AP239" s="47"/>
      <c r="AQ239" s="46" t="str">
        <f aca="false">IFERROR(IF(Y239&lt;&gt;"",VALUE(Y239),""),"")</f>
        <v/>
      </c>
      <c r="AR239" s="47"/>
      <c r="AS239" s="47"/>
      <c r="AT239" s="47"/>
      <c r="AU239" s="47"/>
      <c r="AV239" s="46" t="str">
        <f aca="false">IFERROR(IF(T239&lt;&gt;"",VALUE(T239),""),"")</f>
        <v/>
      </c>
      <c r="AW239" s="46" t="str">
        <f aca="false">IFERROR(IF(N239="","",IF(OR(ISNUMBER(SEARCH("grant",N239)),ISNUMBER(SEARCH("B",AC239))),"Granted",IF(OR(ISNUMBER(SEARCH("pend",N239)),ISNUMBER(SEARCH("A",AC239))),"Pending",IF(ISNUMBER(SEARCH("expir",N239)),"Expired",N239)))),"")</f>
        <v/>
      </c>
      <c r="AX239" s="47"/>
      <c r="AY239" s="46" t="str">
        <f aca="true">IFERROR(IF(M239&lt;&gt;"",ROUND(VALUE(M239),1),IF(L239&lt;&gt;"",ROUND(MAX(0,(DATEVALUE(TEXT(L239,"YYYY-MM-DD"))-TODAY())/365.25),1),"")),"")</f>
        <v/>
      </c>
      <c r="AZ239" s="46" t="str">
        <f aca="false">IFERROR(IF(O239&lt;&gt;"",O239,""),"")</f>
        <v/>
      </c>
      <c r="BA239" s="46" t="str">
        <f aca="false">IFERROR(IF(U239&lt;&gt;"",SUBSTITUTE(SUBSTITUTE(U239,"; ",", "),";",","),""),"")</f>
        <v/>
      </c>
      <c r="BB239" s="47"/>
      <c r="BC239" s="47"/>
      <c r="BD239" s="47"/>
      <c r="BE239" s="47"/>
      <c r="BF239" s="47"/>
      <c r="BG239" s="47"/>
      <c r="BH239" s="47"/>
      <c r="BI239" s="47"/>
      <c r="BJ239" s="47"/>
      <c r="BK239" s="46" t="str">
        <f aca="false">IFERROR(IF(W239&lt;&gt;"",VALUE(W239),""),"")</f>
        <v/>
      </c>
      <c r="BL239" s="46" t="str">
        <f aca="false">IFERROR(IF(X239&lt;&gt;"",VALUE(X239),""),"")</f>
        <v/>
      </c>
      <c r="BM239" s="46" t="str">
        <f aca="false">IFERROR(IF(AD239="","None",IF(ISNUMBER(SEARCH("surv",AD239)),"Survived",IF(ISNUMBER(SEARCH("pend",AD239)),"Pending",IF(ISNUMBER(SEARCH("yes",AD239)),"Pending","None")))),"None")</f>
        <v>None</v>
      </c>
      <c r="BN239" s="47"/>
      <c r="BO239" s="47"/>
      <c r="BP239" s="47"/>
      <c r="BQ239" s="47"/>
      <c r="BR239" s="47"/>
      <c r="BS239" s="47"/>
      <c r="BT239" s="47"/>
      <c r="BU239" s="48" t="n">
        <f aca="false">IFERROR(COUNTA(AE239:BT239)/42,0)</f>
        <v>0.30952380952381</v>
      </c>
      <c r="BV239" s="49"/>
      <c r="BW239" s="50" t="b">
        <f aca="false">IF(Configuration!$C$10="No","",IFERROR(IF(AG239&lt;&gt;"",TRUE(),FALSE()),FALSE()))</f>
        <v>0</v>
      </c>
      <c r="BX239" s="50" t="b">
        <f aca="false">IF(Configuration!$C$11="No","",IFERROR(IF(AND(N(AL239)&gt;=Configuration!$C$44,AM239&lt;&gt;""),TRUE(),FALSE()),FALSE()))</f>
        <v>0</v>
      </c>
      <c r="BY239" s="50" t="b">
        <f aca="false">IF(Configuration!$C$12="No","",IFERROR(IF(AJ239&lt;&gt;"",TRUE(),FALSE()),FALSE()))</f>
        <v>0</v>
      </c>
      <c r="BZ239" s="50" t="b">
        <f aca="false">IF(Configuration!$C$13="No","",IFERROR(IF(AI239&lt;&gt;"",TRUE(),FALSE()),FALSE()))</f>
        <v>0</v>
      </c>
      <c r="CA239" s="50" t="b">
        <f aca="false">IF(Configuration!$C$14="No","",IFERROR(IF(AK239&lt;&gt;"",TRUE(),FALSE()),FALSE()))</f>
        <v>0</v>
      </c>
      <c r="CB239" s="50" t="b">
        <f aca="false">IF(Configuration!$C$15="No","",IFERROR(IF(AND(OR(ISNUMBER(SEARCH("process",AG239)),ISNUMBER(SEARCH("fab",AG239)),ISNUMBER(SEARCH("manufac",AG239))),AO239="Method"),TRUE(),FALSE()),FALSE()))</f>
        <v>0</v>
      </c>
      <c r="CC239" s="50" t="b">
        <f aca="false">IF(Configuration!$C$16="No","",IFERROR(IF(AND(OR(ISNUMBER(SEARCH("material",AG239)),ISNUMBER(SEARCH("chem",AG239)),ISNUMBER(SEARCH("battery",AG239)),ISNUMBER(SEARCH("electrolyte",AG239)),ISNUMBER(SEARCH("polymer",AG239))),OR(AO239="Apparatus",AO239="Method")),TRUE(),FALSE()),FALSE()))</f>
        <v>0</v>
      </c>
      <c r="CD239" s="50" t="b">
        <f aca="false">IF(Configuration!$C$17="No","",IFERROR(IF(AND(OR(AI239="App",AI239="Middleware",AI239="Cloud"),OR(AO239="Method",AO239="CRM")),TRUE(),FALSE()),FALSE()))</f>
        <v>0</v>
      </c>
      <c r="CE239" s="50" t="b">
        <f aca="false">IF(Configuration!$C$18="No","",IFERROR(IF(N(AN239)&gt;=Configuration!$C$45,TRUE(),FALSE()),FALSE()))</f>
        <v>0</v>
      </c>
      <c r="CF239" s="50" t="b">
        <f aca="false">IF(Configuration!$C$19="No","",IFERROR(IF(BE239&lt;&gt;"",TRUE(),FALSE()),FALSE()))</f>
        <v>0</v>
      </c>
      <c r="CG239" s="50" t="b">
        <f aca="false">IF(Configuration!$C$20="No","",IFERROR(IF(AO239&lt;&gt;"",TRUE(),FALSE()),FALSE()))</f>
        <v>0</v>
      </c>
      <c r="CH239" s="50" t="b">
        <f aca="false">IF(Configuration!$C$21="No","",IFERROR(IF(OR(N(AS239)&gt;=Configuration!$C$46,N(AT239)&gt;=Configuration!$C$47),TRUE(),FALSE()),FALSE()))</f>
        <v>0</v>
      </c>
      <c r="CI239" s="50" t="b">
        <f aca="false">IF(Configuration!$C$22="No","",IFERROR(IF(BB239="Yes",TRUE(),FALSE()),FALSE()))</f>
        <v>0</v>
      </c>
      <c r="CJ239" s="50" t="b">
        <f aca="false">IF(Configuration!$C$23="No","",IFERROR(IF(N(AV239)&gt;=Configuration!$C$48,TRUE(),FALSE()),FALSE()))</f>
        <v>0</v>
      </c>
      <c r="CK239" s="50" t="b">
        <f aca="false">IF(Configuration!$C$24="No","",IFERROR(IF(N(AY239)&gt;0,TRUE(),FALSE()),FALSE()))</f>
        <v>0</v>
      </c>
      <c r="CL239" s="50" t="b">
        <f aca="false">IF(Configuration!$C$25="No","",IFERROR(IF(OR(N(AP239)=3,N(AP239)&lt;=1),TRUE(),FALSE()),FALSE()))</f>
        <v>1</v>
      </c>
      <c r="CM239" s="50" t="b">
        <f aca="false">IF(Configuration!$C$26="No","",IFERROR(IF(N(BF239)&gt;=Configuration!$C$49,TRUE(),FALSE()),FALSE()))</f>
        <v>0</v>
      </c>
      <c r="CN239" s="50" t="b">
        <f aca="false">IF(Configuration!$C$27="No","",IFERROR(IF(BD239&lt;&gt;"",TRUE(),FALSE()),FALSE()))</f>
        <v>0</v>
      </c>
      <c r="CO239" s="50" t="b">
        <f aca="false">IF(Configuration!$C$28="No","",IFERROR(IF(N(AU239)&gt;=Configuration!$C$50,TRUE(),FALSE()),FALSE()))</f>
        <v>0</v>
      </c>
      <c r="CP239" s="50" t="b">
        <f aca="false">IF(Configuration!$C$29="No","",IFERROR(IF(AND(N(AR239)&gt;=Configuration!$C$51,AG239&lt;&gt;""),TRUE(),FALSE()),FALSE()))</f>
        <v>0</v>
      </c>
      <c r="CQ239" s="50" t="b">
        <f aca="false">IF(Configuration!$C$30="No","",IFERROR(IF(OR(AW239="Pending",AX239="Yes"),TRUE(),FALSE()),FALSE()))</f>
        <v>0</v>
      </c>
      <c r="CR239" s="50" t="b">
        <f aca="false">IF(Configuration!$C$31="No","",IFERROR(IF(AND(N(BG239)&gt;=Configuration!$C$52,N(AP239)&gt;=1),TRUE(),FALSE()),FALSE()))</f>
        <v>0</v>
      </c>
      <c r="CS239" s="50" t="b">
        <f aca="false">IF(Configuration!$C$32="No","",IFERROR(IF(AND(N(AR239)&gt;=1,OR(AG239&lt;&gt;"",AM239&lt;&gt;"")),TRUE(),FALSE()),FALSE()))</f>
        <v>0</v>
      </c>
      <c r="CT239" s="50" t="b">
        <f aca="false">IF(Configuration!$C$33="No","",IFERROR(IF(AG239&lt;&gt;"",TRUE(),FALSE()),FALSE()))</f>
        <v>0</v>
      </c>
      <c r="CU239" s="50" t="b">
        <f aca="false">IF(Configuration!$C$34="No","",IFERROR(IF(AX239="Yes",TRUE(),FALSE()),FALSE()))</f>
        <v>0</v>
      </c>
      <c r="CV239" s="50" t="b">
        <f aca="false">IF(Configuration!$C$35="No","",IFERROR(IF(OR(BO239="Partial",BO239="Full"),TRUE(),FALSE()),FALSE()))</f>
        <v>0</v>
      </c>
      <c r="CW239" s="50" t="b">
        <f aca="false">IF(Configuration!$C$36="No","",IFERROR(IF(BM239="Survived",TRUE(),FALSE()),FALSE()))</f>
        <v>0</v>
      </c>
      <c r="CX239" s="50" t="b">
        <f aca="false">IF(Configuration!$C$37="No","",IFERROR(IF(AND(BN239="Clean",BP239="None"),TRUE(),FALSE()),FALSE()))</f>
        <v>0</v>
      </c>
      <c r="CY239" s="50" t="b">
        <f aca="false">IF(Configuration!$C$38="No","",IFERROR(IF(N(BK239)&gt;=Configuration!$C$53,TRUE(),FALSE()),FALSE()))</f>
        <v>0</v>
      </c>
      <c r="CZ239" s="50" t="b">
        <f aca="false">IF(Configuration!$C$39="No","",IFERROR(IF(AND(N(BS239)&gt;=2,N(BF239)&gt;=2),TRUE(),FALSE()),FALSE()))</f>
        <v>0</v>
      </c>
      <c r="DA239" s="50" t="b">
        <f aca="false">IF(Configuration!$C$40="No","",IFERROR(IF(OR(N(BG239)&lt;=Configuration!$C$56,N(AY239)&lt;Configuration!$C$57,N(BH239)&lt;=Configuration!$C$58),TRUE(),FALSE()),FALSE()))</f>
        <v>1</v>
      </c>
      <c r="DB239" s="50" t="b">
        <f aca="false">IF(Configuration!$C$41="No","",IFERROR(IF(AND(N(AY239)&gt;=Configuration!$C$54,N(AY239)&lt;=Configuration!$C$55),TRUE(),FALSE()),FALSE()))</f>
        <v>0</v>
      </c>
      <c r="DC239" s="50" t="b">
        <f aca="false">IF(Configuration!$C$42="No","",IFERROR(IF(AND(AG239&lt;&gt;"",AJ239&lt;&gt;""),TRUE(),FALSE()),FALSE()))</f>
        <v>0</v>
      </c>
      <c r="DD239" s="51" t="n">
        <f aca="false">COUNTIF(BW239:DC239,TRUE())</f>
        <v>2</v>
      </c>
    </row>
  </sheetData>
  <mergeCells count="25">
    <mergeCell ref="A1:D1"/>
    <mergeCell ref="A2:D2"/>
    <mergeCell ref="B4:D4"/>
    <mergeCell ref="B5:D5"/>
    <mergeCell ref="B6:D6"/>
    <mergeCell ref="B7:D7"/>
    <mergeCell ref="B8:D8"/>
    <mergeCell ref="A10:D10"/>
    <mergeCell ref="A36:AD36"/>
    <mergeCell ref="AE36:DD36"/>
    <mergeCell ref="A37:AD37"/>
    <mergeCell ref="AE37:BT37"/>
    <mergeCell ref="BU37:BV37"/>
    <mergeCell ref="BW37:DD37"/>
    <mergeCell ref="A38:E38"/>
    <mergeCell ref="AE38:AF38"/>
    <mergeCell ref="AG38:AK38"/>
    <mergeCell ref="AL38:AN38"/>
    <mergeCell ref="AO38:AR38"/>
    <mergeCell ref="AS38:AU38"/>
    <mergeCell ref="AV38:AZ38"/>
    <mergeCell ref="BA38:BC38"/>
    <mergeCell ref="BD38:BF38"/>
    <mergeCell ref="BG38:BP38"/>
    <mergeCell ref="BQ38:BT38"/>
  </mergeCells>
  <conditionalFormatting sqref="BW40:DC239">
    <cfRule type="cellIs" priority="2" operator="equal" aboveAverage="0" equalAverage="0" bottom="0" percent="0" rank="0" text="" dxfId="0">
      <formula>"TRUE"</formula>
    </cfRule>
    <cfRule type="cellIs" priority="3" operator="equal" aboveAverage="0" equalAverage="0" bottom="0" percent="0" rank="0" text="" dxfId="1">
      <formula>"FALSE"</formula>
    </cfRule>
  </conditionalFormatting>
  <conditionalFormatting sqref="BU40:BU239">
    <cfRule type="cellIs" priority="4" operator="greaterThanOrEqual" aboveAverage="0" equalAverage="0" bottom="0" percent="0" rank="0" text="" dxfId="2">
      <formula>0.6</formula>
    </cfRule>
    <cfRule type="cellIs" priority="5" operator="greaterThanOrEqual" aboveAverage="0" equalAverage="0" bottom="0" percent="0" rank="0" text="" dxfId="3">
      <formula>0.3</formula>
    </cfRule>
    <cfRule type="cellIs" priority="6" operator="lessThan" aboveAverage="0" equalAverage="0" bottom="0" percent="0" rank="0" text="" dxfId="4">
      <formula>0.3</formula>
    </cfRule>
  </conditionalFormatting>
  <dataValidations count="1">
    <dataValidation allowBlank="true" errorStyle="stop" operator="between" showDropDown="false" showErrorMessage="false" showInputMessage="false" sqref="C40:C23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24" hidden="false" customHeight="true" outlineLevel="0" collapsed="false">
      <c r="A1" s="52" t="s">
        <v>227</v>
      </c>
      <c r="B1" s="52"/>
      <c r="C1" s="52"/>
      <c r="D1" s="52"/>
      <c r="E1" s="52"/>
      <c r="F1" s="52"/>
      <c r="G1" s="52"/>
    </row>
    <row r="2" customFormat="false" ht="37.5" hidden="false" customHeight="true" outlineLevel="0" collapsed="false">
      <c r="A2" s="53" t="s">
        <v>228</v>
      </c>
      <c r="B2" s="53"/>
      <c r="C2" s="53"/>
      <c r="D2" s="53"/>
      <c r="E2" s="53"/>
      <c r="F2" s="53"/>
      <c r="G2" s="53"/>
    </row>
    <row r="4" customFormat="false" ht="21.75" hidden="false" customHeight="true" outlineLevel="0" collapsed="false">
      <c r="A4" s="54" t="s">
        <v>229</v>
      </c>
      <c r="B4" s="55" t="s">
        <v>230</v>
      </c>
      <c r="C4" s="55"/>
      <c r="D4" s="55"/>
      <c r="E4" s="56" t="s">
        <v>231</v>
      </c>
      <c r="F4" s="56"/>
      <c r="G4" s="56"/>
      <c r="H4" s="56"/>
    </row>
    <row r="5" customFormat="false" ht="21.75" hidden="false" customHeight="true" outlineLevel="0" collapsed="false">
      <c r="A5" s="54" t="s">
        <v>232</v>
      </c>
      <c r="B5" s="55" t="s">
        <v>233</v>
      </c>
      <c r="C5" s="55"/>
      <c r="D5" s="55"/>
      <c r="E5" s="56" t="s">
        <v>234</v>
      </c>
      <c r="F5" s="56"/>
      <c r="G5" s="56"/>
      <c r="H5" s="56"/>
    </row>
    <row r="6" customFormat="false" ht="15" hidden="false" customHeight="true" outlineLevel="0" collapsed="false">
      <c r="A6" s="54" t="s">
        <v>235</v>
      </c>
      <c r="B6" s="57" t="str">
        <f aca="false">"Bundles active: "&amp;COUNTIF(C10:C42,"Yes")&amp;" of 33    |    Gates active: "&amp;COUNTIF(C63:C67,"Yes")&amp;" of 5    |    "&amp;IF($B$5="Yes","EDIT MODE — using Manual Override values","Using preset: "&amp;$B$4)</f>
        <v>Bundles active: 33 of 33    |    Gates active: 5 of 5    |    Using preset: All ON (default)</v>
      </c>
      <c r="C6" s="57"/>
      <c r="D6" s="57"/>
      <c r="E6" s="57"/>
      <c r="F6" s="57"/>
      <c r="G6" s="57"/>
      <c r="H6" s="57"/>
    </row>
    <row r="8" customFormat="false" ht="31.5" hidden="false" customHeight="true" outlineLevel="0" collapsed="false">
      <c r="A8" s="58" t="s">
        <v>236</v>
      </c>
      <c r="B8" s="58" t="s">
        <v>237</v>
      </c>
      <c r="C8" s="59" t="s">
        <v>238</v>
      </c>
      <c r="D8" s="60" t="s">
        <v>239</v>
      </c>
      <c r="E8" s="60" t="s">
        <v>240</v>
      </c>
    </row>
    <row r="9" customFormat="false" ht="15" hidden="false" customHeight="true" outlineLevel="0" collapsed="false">
      <c r="A9" s="61" t="s">
        <v>241</v>
      </c>
      <c r="B9" s="61"/>
      <c r="C9" s="61"/>
      <c r="D9" s="61"/>
      <c r="E9" s="61"/>
    </row>
    <row r="10" customFormat="false" ht="15" hidden="false" customHeight="true" outlineLevel="0" collapsed="false">
      <c r="A10" s="62" t="s">
        <v>242</v>
      </c>
      <c r="B10" s="63" t="s">
        <v>243</v>
      </c>
      <c r="C10" s="64" t="str">
        <f aca="false">IF($B$5="Yes",E10,D10)</f>
        <v>Yes</v>
      </c>
      <c r="D10" s="65" t="str">
        <f aca="false">INDEX(Presets!$C$4:$L$4,MATCH($B$4,Presets!$C$1:$L$1,0))</f>
        <v>Yes</v>
      </c>
      <c r="E10" s="55" t="s">
        <v>244</v>
      </c>
    </row>
    <row r="11" customFormat="false" ht="15" hidden="false" customHeight="true" outlineLevel="0" collapsed="false">
      <c r="A11" s="62" t="s">
        <v>245</v>
      </c>
      <c r="B11" s="63" t="s">
        <v>246</v>
      </c>
      <c r="C11" s="64" t="str">
        <f aca="false">IF($B$5="Yes",E11,D11)</f>
        <v>Yes</v>
      </c>
      <c r="D11" s="65" t="str">
        <f aca="false">INDEX(Presets!$C$5:$L$5,MATCH($B$4,Presets!$C$1:$L$1,0))</f>
        <v>Yes</v>
      </c>
      <c r="E11" s="55" t="s">
        <v>244</v>
      </c>
    </row>
    <row r="12" customFormat="false" ht="15" hidden="false" customHeight="true" outlineLevel="0" collapsed="false">
      <c r="A12" s="62" t="s">
        <v>247</v>
      </c>
      <c r="B12" s="63" t="s">
        <v>248</v>
      </c>
      <c r="C12" s="64" t="str">
        <f aca="false">IF($B$5="Yes",E12,D12)</f>
        <v>Yes</v>
      </c>
      <c r="D12" s="65" t="str">
        <f aca="false">INDEX(Presets!$C$6:$L$6,MATCH($B$4,Presets!$C$1:$L$1,0))</f>
        <v>Yes</v>
      </c>
      <c r="E12" s="55" t="s">
        <v>244</v>
      </c>
    </row>
    <row r="13" customFormat="false" ht="15" hidden="false" customHeight="true" outlineLevel="0" collapsed="false">
      <c r="A13" s="62" t="s">
        <v>249</v>
      </c>
      <c r="B13" s="63" t="s">
        <v>250</v>
      </c>
      <c r="C13" s="64" t="str">
        <f aca="false">IF($B$5="Yes",E13,D13)</f>
        <v>Yes</v>
      </c>
      <c r="D13" s="65" t="str">
        <f aca="false">INDEX(Presets!$C$7:$L$7,MATCH($B$4,Presets!$C$1:$L$1,0))</f>
        <v>Yes</v>
      </c>
      <c r="E13" s="55" t="s">
        <v>244</v>
      </c>
    </row>
    <row r="14" customFormat="false" ht="15" hidden="false" customHeight="true" outlineLevel="0" collapsed="false">
      <c r="A14" s="62" t="s">
        <v>251</v>
      </c>
      <c r="B14" s="63" t="s">
        <v>252</v>
      </c>
      <c r="C14" s="64" t="str">
        <f aca="false">IF($B$5="Yes",E14,D14)</f>
        <v>Yes</v>
      </c>
      <c r="D14" s="65" t="str">
        <f aca="false">INDEX(Presets!$C$8:$L$8,MATCH($B$4,Presets!$C$1:$L$1,0))</f>
        <v>Yes</v>
      </c>
      <c r="E14" s="55" t="s">
        <v>244</v>
      </c>
    </row>
    <row r="15" customFormat="false" ht="15" hidden="false" customHeight="true" outlineLevel="0" collapsed="false">
      <c r="A15" s="62" t="s">
        <v>253</v>
      </c>
      <c r="B15" s="63" t="s">
        <v>254</v>
      </c>
      <c r="C15" s="64" t="str">
        <f aca="false">IF($B$5="Yes",E15,D15)</f>
        <v>Yes</v>
      </c>
      <c r="D15" s="65" t="str">
        <f aca="false">INDEX(Presets!$C$9:$L$9,MATCH($B$4,Presets!$C$1:$L$1,0))</f>
        <v>Yes</v>
      </c>
      <c r="E15" s="55" t="s">
        <v>244</v>
      </c>
    </row>
    <row r="16" customFormat="false" ht="15" hidden="false" customHeight="true" outlineLevel="0" collapsed="false">
      <c r="A16" s="62" t="s">
        <v>255</v>
      </c>
      <c r="B16" s="63" t="s">
        <v>256</v>
      </c>
      <c r="C16" s="64" t="str">
        <f aca="false">IF($B$5="Yes",E16,D16)</f>
        <v>Yes</v>
      </c>
      <c r="D16" s="65" t="str">
        <f aca="false">INDEX(Presets!$C$10:$L$10,MATCH($B$4,Presets!$C$1:$L$1,0))</f>
        <v>Yes</v>
      </c>
      <c r="E16" s="55" t="s">
        <v>244</v>
      </c>
    </row>
    <row r="17" customFormat="false" ht="15" hidden="false" customHeight="true" outlineLevel="0" collapsed="false">
      <c r="A17" s="62" t="s">
        <v>257</v>
      </c>
      <c r="B17" s="63" t="s">
        <v>258</v>
      </c>
      <c r="C17" s="64" t="str">
        <f aca="false">IF($B$5="Yes",E17,D17)</f>
        <v>Yes</v>
      </c>
      <c r="D17" s="65" t="str">
        <f aca="false">INDEX(Presets!$C$11:$L$11,MATCH($B$4,Presets!$C$1:$L$1,0))</f>
        <v>Yes</v>
      </c>
      <c r="E17" s="55" t="s">
        <v>244</v>
      </c>
    </row>
    <row r="18" customFormat="false" ht="15" hidden="false" customHeight="true" outlineLevel="0" collapsed="false">
      <c r="A18" s="62" t="s">
        <v>259</v>
      </c>
      <c r="B18" s="63" t="s">
        <v>260</v>
      </c>
      <c r="C18" s="64" t="str">
        <f aca="false">IF($B$5="Yes",E18,D18)</f>
        <v>Yes</v>
      </c>
      <c r="D18" s="65" t="str">
        <f aca="false">INDEX(Presets!$C$12:$L$12,MATCH($B$4,Presets!$C$1:$L$1,0))</f>
        <v>Yes</v>
      </c>
      <c r="E18" s="55" t="s">
        <v>244</v>
      </c>
    </row>
    <row r="19" customFormat="false" ht="15" hidden="false" customHeight="true" outlineLevel="0" collapsed="false">
      <c r="A19" s="62" t="s">
        <v>261</v>
      </c>
      <c r="B19" s="63" t="s">
        <v>262</v>
      </c>
      <c r="C19" s="64" t="str">
        <f aca="false">IF($B$5="Yes",E19,D19)</f>
        <v>Yes</v>
      </c>
      <c r="D19" s="65" t="str">
        <f aca="false">INDEX(Presets!$C$13:$L$13,MATCH($B$4,Presets!$C$1:$L$1,0))</f>
        <v>Yes</v>
      </c>
      <c r="E19" s="55" t="s">
        <v>244</v>
      </c>
    </row>
    <row r="20" customFormat="false" ht="15" hidden="false" customHeight="true" outlineLevel="0" collapsed="false">
      <c r="A20" s="62" t="s">
        <v>263</v>
      </c>
      <c r="B20" s="63" t="s">
        <v>264</v>
      </c>
      <c r="C20" s="64" t="str">
        <f aca="false">IF($B$5="Yes",E20,D20)</f>
        <v>Yes</v>
      </c>
      <c r="D20" s="65" t="str">
        <f aca="false">INDEX(Presets!$C$14:$L$14,MATCH($B$4,Presets!$C$1:$L$1,0))</f>
        <v>Yes</v>
      </c>
      <c r="E20" s="55" t="s">
        <v>244</v>
      </c>
    </row>
    <row r="21" customFormat="false" ht="15" hidden="false" customHeight="true" outlineLevel="0" collapsed="false">
      <c r="A21" s="62" t="s">
        <v>265</v>
      </c>
      <c r="B21" s="63" t="s">
        <v>266</v>
      </c>
      <c r="C21" s="64" t="str">
        <f aca="false">IF($B$5="Yes",E21,D21)</f>
        <v>Yes</v>
      </c>
      <c r="D21" s="65" t="str">
        <f aca="false">INDEX(Presets!$C$15:$L$15,MATCH($B$4,Presets!$C$1:$L$1,0))</f>
        <v>Yes</v>
      </c>
      <c r="E21" s="55" t="s">
        <v>244</v>
      </c>
    </row>
    <row r="22" customFormat="false" ht="15" hidden="false" customHeight="true" outlineLevel="0" collapsed="false">
      <c r="A22" s="62" t="s">
        <v>267</v>
      </c>
      <c r="B22" s="63" t="s">
        <v>268</v>
      </c>
      <c r="C22" s="64" t="str">
        <f aca="false">IF($B$5="Yes",E22,D22)</f>
        <v>Yes</v>
      </c>
      <c r="D22" s="65" t="str">
        <f aca="false">INDEX(Presets!$C$16:$L$16,MATCH($B$4,Presets!$C$1:$L$1,0))</f>
        <v>Yes</v>
      </c>
      <c r="E22" s="55" t="s">
        <v>244</v>
      </c>
    </row>
    <row r="23" customFormat="false" ht="15" hidden="false" customHeight="true" outlineLevel="0" collapsed="false">
      <c r="A23" s="62" t="s">
        <v>269</v>
      </c>
      <c r="B23" s="63" t="s">
        <v>270</v>
      </c>
      <c r="C23" s="64" t="str">
        <f aca="false">IF($B$5="Yes",E23,D23)</f>
        <v>Yes</v>
      </c>
      <c r="D23" s="65" t="str">
        <f aca="false">INDEX(Presets!$C$17:$L$17,MATCH($B$4,Presets!$C$1:$L$1,0))</f>
        <v>Yes</v>
      </c>
      <c r="E23" s="55" t="s">
        <v>244</v>
      </c>
    </row>
    <row r="24" customFormat="false" ht="15" hidden="false" customHeight="true" outlineLevel="0" collapsed="false">
      <c r="A24" s="62" t="s">
        <v>271</v>
      </c>
      <c r="B24" s="63" t="s">
        <v>272</v>
      </c>
      <c r="C24" s="64" t="str">
        <f aca="false">IF($B$5="Yes",E24,D24)</f>
        <v>Yes</v>
      </c>
      <c r="D24" s="65" t="str">
        <f aca="false">INDEX(Presets!$C$18:$L$18,MATCH($B$4,Presets!$C$1:$L$1,0))</f>
        <v>Yes</v>
      </c>
      <c r="E24" s="55" t="s">
        <v>244</v>
      </c>
    </row>
    <row r="25" customFormat="false" ht="15" hidden="false" customHeight="true" outlineLevel="0" collapsed="false">
      <c r="A25" s="62" t="s">
        <v>273</v>
      </c>
      <c r="B25" s="63" t="s">
        <v>274</v>
      </c>
      <c r="C25" s="64" t="str">
        <f aca="false">IF($B$5="Yes",E25,D25)</f>
        <v>Yes</v>
      </c>
      <c r="D25" s="65" t="str">
        <f aca="false">INDEX(Presets!$C$19:$L$19,MATCH($B$4,Presets!$C$1:$L$1,0))</f>
        <v>Yes</v>
      </c>
      <c r="E25" s="55" t="s">
        <v>244</v>
      </c>
    </row>
    <row r="26" customFormat="false" ht="15" hidden="false" customHeight="true" outlineLevel="0" collapsed="false">
      <c r="A26" s="62" t="s">
        <v>275</v>
      </c>
      <c r="B26" s="63" t="s">
        <v>276</v>
      </c>
      <c r="C26" s="64" t="str">
        <f aca="false">IF($B$5="Yes",E26,D26)</f>
        <v>Yes</v>
      </c>
      <c r="D26" s="65" t="str">
        <f aca="false">INDEX(Presets!$C$20:$L$20,MATCH($B$4,Presets!$C$1:$L$1,0))</f>
        <v>Yes</v>
      </c>
      <c r="E26" s="55" t="s">
        <v>244</v>
      </c>
    </row>
    <row r="27" customFormat="false" ht="15" hidden="false" customHeight="true" outlineLevel="0" collapsed="false">
      <c r="A27" s="62" t="s">
        <v>277</v>
      </c>
      <c r="B27" s="63" t="s">
        <v>278</v>
      </c>
      <c r="C27" s="64" t="str">
        <f aca="false">IF($B$5="Yes",E27,D27)</f>
        <v>Yes</v>
      </c>
      <c r="D27" s="65" t="str">
        <f aca="false">INDEX(Presets!$C$21:$L$21,MATCH($B$4,Presets!$C$1:$L$1,0))</f>
        <v>Yes</v>
      </c>
      <c r="E27" s="55" t="s">
        <v>244</v>
      </c>
    </row>
    <row r="28" customFormat="false" ht="15" hidden="false" customHeight="true" outlineLevel="0" collapsed="false">
      <c r="A28" s="62" t="s">
        <v>279</v>
      </c>
      <c r="B28" s="63" t="s">
        <v>280</v>
      </c>
      <c r="C28" s="64" t="str">
        <f aca="false">IF($B$5="Yes",E28,D28)</f>
        <v>Yes</v>
      </c>
      <c r="D28" s="65" t="str">
        <f aca="false">INDEX(Presets!$C$22:$L$22,MATCH($B$4,Presets!$C$1:$L$1,0))</f>
        <v>Yes</v>
      </c>
      <c r="E28" s="55" t="s">
        <v>244</v>
      </c>
    </row>
    <row r="29" customFormat="false" ht="15" hidden="false" customHeight="true" outlineLevel="0" collapsed="false">
      <c r="A29" s="62" t="s">
        <v>281</v>
      </c>
      <c r="B29" s="63" t="s">
        <v>282</v>
      </c>
      <c r="C29" s="64" t="str">
        <f aca="false">IF($B$5="Yes",E29,D29)</f>
        <v>Yes</v>
      </c>
      <c r="D29" s="65" t="str">
        <f aca="false">INDEX(Presets!$C$23:$L$23,MATCH($B$4,Presets!$C$1:$L$1,0))</f>
        <v>Yes</v>
      </c>
      <c r="E29" s="55" t="s">
        <v>244</v>
      </c>
    </row>
    <row r="30" customFormat="false" ht="15" hidden="false" customHeight="true" outlineLevel="0" collapsed="false">
      <c r="A30" s="62" t="s">
        <v>283</v>
      </c>
      <c r="B30" s="63" t="s">
        <v>284</v>
      </c>
      <c r="C30" s="64" t="str">
        <f aca="false">IF($B$5="Yes",E30,D30)</f>
        <v>Yes</v>
      </c>
      <c r="D30" s="65" t="str">
        <f aca="false">INDEX(Presets!$C$24:$L$24,MATCH($B$4,Presets!$C$1:$L$1,0))</f>
        <v>Yes</v>
      </c>
      <c r="E30" s="55" t="s">
        <v>244</v>
      </c>
    </row>
    <row r="31" customFormat="false" ht="15" hidden="false" customHeight="true" outlineLevel="0" collapsed="false">
      <c r="A31" s="62" t="s">
        <v>285</v>
      </c>
      <c r="B31" s="63" t="s">
        <v>286</v>
      </c>
      <c r="C31" s="64" t="str">
        <f aca="false">IF($B$5="Yes",E31,D31)</f>
        <v>Yes</v>
      </c>
      <c r="D31" s="65" t="str">
        <f aca="false">INDEX(Presets!$C$25:$L$25,MATCH($B$4,Presets!$C$1:$L$1,0))</f>
        <v>Yes</v>
      </c>
      <c r="E31" s="55" t="s">
        <v>244</v>
      </c>
    </row>
    <row r="32" customFormat="false" ht="15" hidden="false" customHeight="true" outlineLevel="0" collapsed="false">
      <c r="A32" s="62" t="s">
        <v>287</v>
      </c>
      <c r="B32" s="63" t="s">
        <v>288</v>
      </c>
      <c r="C32" s="64" t="str">
        <f aca="false">IF($B$5="Yes",E32,D32)</f>
        <v>Yes</v>
      </c>
      <c r="D32" s="65" t="str">
        <f aca="false">INDEX(Presets!$C$26:$L$26,MATCH($B$4,Presets!$C$1:$L$1,0))</f>
        <v>Yes</v>
      </c>
      <c r="E32" s="55" t="s">
        <v>244</v>
      </c>
    </row>
    <row r="33" customFormat="false" ht="15" hidden="false" customHeight="true" outlineLevel="0" collapsed="false">
      <c r="A33" s="62" t="s">
        <v>289</v>
      </c>
      <c r="B33" s="63" t="s">
        <v>290</v>
      </c>
      <c r="C33" s="64" t="str">
        <f aca="false">IF($B$5="Yes",E33,D33)</f>
        <v>Yes</v>
      </c>
      <c r="D33" s="65" t="str">
        <f aca="false">INDEX(Presets!$C$27:$L$27,MATCH($B$4,Presets!$C$1:$L$1,0))</f>
        <v>Yes</v>
      </c>
      <c r="E33" s="55" t="s">
        <v>244</v>
      </c>
    </row>
    <row r="34" customFormat="false" ht="15" hidden="false" customHeight="true" outlineLevel="0" collapsed="false">
      <c r="A34" s="62" t="s">
        <v>291</v>
      </c>
      <c r="B34" s="63" t="s">
        <v>292</v>
      </c>
      <c r="C34" s="64" t="str">
        <f aca="false">IF($B$5="Yes",E34,D34)</f>
        <v>Yes</v>
      </c>
      <c r="D34" s="65" t="str">
        <f aca="false">INDEX(Presets!$C$28:$L$28,MATCH($B$4,Presets!$C$1:$L$1,0))</f>
        <v>Yes</v>
      </c>
      <c r="E34" s="55" t="s">
        <v>244</v>
      </c>
    </row>
    <row r="35" customFormat="false" ht="15" hidden="false" customHeight="true" outlineLevel="0" collapsed="false">
      <c r="A35" s="62" t="s">
        <v>293</v>
      </c>
      <c r="B35" s="63" t="s">
        <v>294</v>
      </c>
      <c r="C35" s="64" t="str">
        <f aca="false">IF($B$5="Yes",E35,D35)</f>
        <v>Yes</v>
      </c>
      <c r="D35" s="65" t="str">
        <f aca="false">INDEX(Presets!$C$29:$L$29,MATCH($B$4,Presets!$C$1:$L$1,0))</f>
        <v>Yes</v>
      </c>
      <c r="E35" s="55" t="s">
        <v>244</v>
      </c>
    </row>
    <row r="36" customFormat="false" ht="15" hidden="false" customHeight="true" outlineLevel="0" collapsed="false">
      <c r="A36" s="62" t="s">
        <v>295</v>
      </c>
      <c r="B36" s="63" t="s">
        <v>296</v>
      </c>
      <c r="C36" s="64" t="str">
        <f aca="false">IF($B$5="Yes",E36,D36)</f>
        <v>Yes</v>
      </c>
      <c r="D36" s="65" t="str">
        <f aca="false">INDEX(Presets!$C$30:$L$30,MATCH($B$4,Presets!$C$1:$L$1,0))</f>
        <v>Yes</v>
      </c>
      <c r="E36" s="55" t="s">
        <v>244</v>
      </c>
    </row>
    <row r="37" customFormat="false" ht="15" hidden="false" customHeight="true" outlineLevel="0" collapsed="false">
      <c r="A37" s="62" t="s">
        <v>297</v>
      </c>
      <c r="B37" s="63" t="s">
        <v>298</v>
      </c>
      <c r="C37" s="64" t="str">
        <f aca="false">IF($B$5="Yes",E37,D37)</f>
        <v>Yes</v>
      </c>
      <c r="D37" s="65" t="str">
        <f aca="false">INDEX(Presets!$C$31:$L$31,MATCH($B$4,Presets!$C$1:$L$1,0))</f>
        <v>Yes</v>
      </c>
      <c r="E37" s="55" t="s">
        <v>244</v>
      </c>
    </row>
    <row r="38" customFormat="false" ht="15" hidden="false" customHeight="true" outlineLevel="0" collapsed="false">
      <c r="A38" s="62" t="s">
        <v>299</v>
      </c>
      <c r="B38" s="63" t="s">
        <v>300</v>
      </c>
      <c r="C38" s="64" t="str">
        <f aca="false">IF($B$5="Yes",E38,D38)</f>
        <v>Yes</v>
      </c>
      <c r="D38" s="65" t="str">
        <f aca="false">INDEX(Presets!$C$32:$L$32,MATCH($B$4,Presets!$C$1:$L$1,0))</f>
        <v>Yes</v>
      </c>
      <c r="E38" s="55" t="s">
        <v>244</v>
      </c>
    </row>
    <row r="39" customFormat="false" ht="15" hidden="false" customHeight="true" outlineLevel="0" collapsed="false">
      <c r="A39" s="62" t="s">
        <v>301</v>
      </c>
      <c r="B39" s="63" t="s">
        <v>302</v>
      </c>
      <c r="C39" s="64" t="str">
        <f aca="false">IF($B$5="Yes",E39,D39)</f>
        <v>Yes</v>
      </c>
      <c r="D39" s="65" t="str">
        <f aca="false">INDEX(Presets!$C$33:$L$33,MATCH($B$4,Presets!$C$1:$L$1,0))</f>
        <v>Yes</v>
      </c>
      <c r="E39" s="55" t="s">
        <v>244</v>
      </c>
    </row>
    <row r="40" customFormat="false" ht="15" hidden="false" customHeight="true" outlineLevel="0" collapsed="false">
      <c r="A40" s="62" t="s">
        <v>303</v>
      </c>
      <c r="B40" s="63" t="s">
        <v>304</v>
      </c>
      <c r="C40" s="64" t="str">
        <f aca="false">IF($B$5="Yes",E40,D40)</f>
        <v>Yes</v>
      </c>
      <c r="D40" s="65" t="str">
        <f aca="false">INDEX(Presets!$C$34:$L$34,MATCH($B$4,Presets!$C$1:$L$1,0))</f>
        <v>Yes</v>
      </c>
      <c r="E40" s="55" t="s">
        <v>244</v>
      </c>
    </row>
    <row r="41" customFormat="false" ht="15" hidden="false" customHeight="true" outlineLevel="0" collapsed="false">
      <c r="A41" s="62" t="s">
        <v>305</v>
      </c>
      <c r="B41" s="63" t="s">
        <v>306</v>
      </c>
      <c r="C41" s="64" t="str">
        <f aca="false">IF($B$5="Yes",E41,D41)</f>
        <v>Yes</v>
      </c>
      <c r="D41" s="65" t="str">
        <f aca="false">INDEX(Presets!$C$35:$L$35,MATCH($B$4,Presets!$C$1:$L$1,0))</f>
        <v>Yes</v>
      </c>
      <c r="E41" s="55" t="s">
        <v>244</v>
      </c>
    </row>
    <row r="42" customFormat="false" ht="15" hidden="false" customHeight="true" outlineLevel="0" collapsed="false">
      <c r="A42" s="62" t="s">
        <v>307</v>
      </c>
      <c r="B42" s="63" t="s">
        <v>308</v>
      </c>
      <c r="C42" s="64" t="str">
        <f aca="false">IF($B$5="Yes",E42,D42)</f>
        <v>Yes</v>
      </c>
      <c r="D42" s="65" t="str">
        <f aca="false">INDEX(Presets!$C$36:$L$36,MATCH($B$4,Presets!$C$1:$L$1,0))</f>
        <v>Yes</v>
      </c>
      <c r="E42" s="55" t="s">
        <v>244</v>
      </c>
    </row>
    <row r="43" customFormat="false" ht="15" hidden="false" customHeight="true" outlineLevel="0" collapsed="false">
      <c r="A43" s="61" t="s">
        <v>309</v>
      </c>
      <c r="B43" s="61"/>
      <c r="C43" s="61"/>
      <c r="D43" s="61"/>
      <c r="E43" s="61"/>
    </row>
    <row r="44" customFormat="false" ht="15" hidden="false" customHeight="true" outlineLevel="0" collapsed="false">
      <c r="A44" s="62" t="s">
        <v>310</v>
      </c>
      <c r="B44" s="63" t="s">
        <v>311</v>
      </c>
      <c r="C44" s="66" t="n">
        <f aca="false">IF($B$5="Yes",E44,D44)</f>
        <v>2</v>
      </c>
      <c r="D44" s="65" t="n">
        <f aca="false">INDEX(Presets!$C$38:$L$38,MATCH($B$4,Presets!$C$1:$L$1,0))</f>
        <v>2</v>
      </c>
      <c r="E44" s="55" t="n">
        <v>2</v>
      </c>
    </row>
    <row r="45" customFormat="false" ht="15" hidden="false" customHeight="true" outlineLevel="0" collapsed="false">
      <c r="A45" s="62" t="s">
        <v>312</v>
      </c>
      <c r="B45" s="63" t="s">
        <v>313</v>
      </c>
      <c r="C45" s="66" t="n">
        <f aca="false">IF($B$5="Yes",E45,D45)</f>
        <v>2</v>
      </c>
      <c r="D45" s="65" t="n">
        <f aca="false">INDEX(Presets!$C$39:$L$39,MATCH($B$4,Presets!$C$1:$L$1,0))</f>
        <v>2</v>
      </c>
      <c r="E45" s="55" t="n">
        <v>2</v>
      </c>
    </row>
    <row r="46" customFormat="false" ht="15" hidden="false" customHeight="true" outlineLevel="0" collapsed="false">
      <c r="A46" s="62" t="s">
        <v>314</v>
      </c>
      <c r="B46" s="63" t="s">
        <v>315</v>
      </c>
      <c r="C46" s="66" t="n">
        <f aca="false">IF($B$5="Yes",E46,D46)</f>
        <v>2</v>
      </c>
      <c r="D46" s="65" t="n">
        <f aca="false">INDEX(Presets!$C$40:$L$40,MATCH($B$4,Presets!$C$1:$L$1,0))</f>
        <v>2</v>
      </c>
      <c r="E46" s="55" t="n">
        <v>2</v>
      </c>
    </row>
    <row r="47" customFormat="false" ht="15" hidden="false" customHeight="true" outlineLevel="0" collapsed="false">
      <c r="A47" s="62" t="s">
        <v>316</v>
      </c>
      <c r="B47" s="63" t="s">
        <v>317</v>
      </c>
      <c r="C47" s="66" t="n">
        <f aca="false">IF($B$5="Yes",E47,D47)</f>
        <v>2</v>
      </c>
      <c r="D47" s="65" t="n">
        <f aca="false">INDEX(Presets!$C$41:$L$41,MATCH($B$4,Presets!$C$1:$L$1,0))</f>
        <v>2</v>
      </c>
      <c r="E47" s="55" t="n">
        <v>2</v>
      </c>
    </row>
    <row r="48" customFormat="false" ht="15" hidden="false" customHeight="true" outlineLevel="0" collapsed="false">
      <c r="A48" s="62" t="s">
        <v>318</v>
      </c>
      <c r="B48" s="63" t="s">
        <v>319</v>
      </c>
      <c r="C48" s="66" t="n">
        <f aca="false">IF($B$5="Yes",E48,D48)</f>
        <v>2</v>
      </c>
      <c r="D48" s="65" t="n">
        <f aca="false">INDEX(Presets!$C$42:$L$42,MATCH($B$4,Presets!$C$1:$L$1,0))</f>
        <v>2</v>
      </c>
      <c r="E48" s="55" t="n">
        <v>2</v>
      </c>
    </row>
    <row r="49" customFormat="false" ht="23.25" hidden="false" customHeight="true" outlineLevel="0" collapsed="false">
      <c r="A49" s="62" t="s">
        <v>320</v>
      </c>
      <c r="B49" s="63" t="s">
        <v>321</v>
      </c>
      <c r="C49" s="66" t="n">
        <f aca="false">IF($B$5="Yes",E49,D49)</f>
        <v>2</v>
      </c>
      <c r="D49" s="65" t="n">
        <f aca="false">INDEX(Presets!$C$43:$L$43,MATCH($B$4,Presets!$C$1:$L$1,0))</f>
        <v>2</v>
      </c>
      <c r="E49" s="55" t="n">
        <v>2</v>
      </c>
    </row>
    <row r="50" customFormat="false" ht="15" hidden="false" customHeight="true" outlineLevel="0" collapsed="false">
      <c r="A50" s="62" t="s">
        <v>322</v>
      </c>
      <c r="B50" s="63" t="s">
        <v>323</v>
      </c>
      <c r="C50" s="66" t="n">
        <f aca="false">IF($B$5="Yes",E50,D50)</f>
        <v>2</v>
      </c>
      <c r="D50" s="65" t="n">
        <f aca="false">INDEX(Presets!$C$44:$L$44,MATCH($B$4,Presets!$C$1:$L$1,0))</f>
        <v>2</v>
      </c>
      <c r="E50" s="55" t="n">
        <v>2</v>
      </c>
    </row>
    <row r="51" customFormat="false" ht="23.25" hidden="false" customHeight="true" outlineLevel="0" collapsed="false">
      <c r="A51" s="62" t="s">
        <v>324</v>
      </c>
      <c r="B51" s="63" t="s">
        <v>325</v>
      </c>
      <c r="C51" s="66" t="n">
        <f aca="false">IF($B$5="Yes",E51,D51)</f>
        <v>2</v>
      </c>
      <c r="D51" s="65" t="n">
        <f aca="false">INDEX(Presets!$C$45:$L$45,MATCH($B$4,Presets!$C$1:$L$1,0))</f>
        <v>2</v>
      </c>
      <c r="E51" s="55" t="n">
        <v>2</v>
      </c>
    </row>
    <row r="52" customFormat="false" ht="23.25" hidden="false" customHeight="true" outlineLevel="0" collapsed="false">
      <c r="A52" s="62" t="s">
        <v>326</v>
      </c>
      <c r="B52" s="63" t="s">
        <v>327</v>
      </c>
      <c r="C52" s="66" t="n">
        <f aca="false">IF($B$5="Yes",E52,D52)</f>
        <v>2</v>
      </c>
      <c r="D52" s="65" t="n">
        <f aca="false">INDEX(Presets!$C$46:$L$46,MATCH($B$4,Presets!$C$1:$L$1,0))</f>
        <v>2</v>
      </c>
      <c r="E52" s="55" t="n">
        <v>2</v>
      </c>
    </row>
    <row r="53" customFormat="false" ht="15" hidden="false" customHeight="true" outlineLevel="0" collapsed="false">
      <c r="A53" s="62" t="s">
        <v>328</v>
      </c>
      <c r="B53" s="63" t="s">
        <v>329</v>
      </c>
      <c r="C53" s="66" t="n">
        <f aca="false">IF($B$5="Yes",E53,D53)</f>
        <v>15</v>
      </c>
      <c r="D53" s="65" t="n">
        <f aca="false">INDEX(Presets!$C$47:$L$47,MATCH($B$4,Presets!$C$1:$L$1,0))</f>
        <v>15</v>
      </c>
      <c r="E53" s="55" t="n">
        <v>15</v>
      </c>
    </row>
    <row r="54" customFormat="false" ht="15" hidden="false" customHeight="true" outlineLevel="0" collapsed="false">
      <c r="A54" s="62" t="s">
        <v>330</v>
      </c>
      <c r="B54" s="63" t="s">
        <v>331</v>
      </c>
      <c r="C54" s="66" t="n">
        <f aca="false">IF($B$5="Yes",E54,D54)</f>
        <v>1</v>
      </c>
      <c r="D54" s="65" t="n">
        <f aca="false">INDEX(Presets!$C$48:$L$48,MATCH($B$4,Presets!$C$1:$L$1,0))</f>
        <v>1</v>
      </c>
      <c r="E54" s="55" t="n">
        <v>1</v>
      </c>
    </row>
    <row r="55" customFormat="false" ht="15" hidden="false" customHeight="true" outlineLevel="0" collapsed="false">
      <c r="A55" s="62" t="s">
        <v>332</v>
      </c>
      <c r="B55" s="63" t="s">
        <v>333</v>
      </c>
      <c r="C55" s="66" t="n">
        <f aca="false">IF($B$5="Yes",E55,D55)</f>
        <v>4</v>
      </c>
      <c r="D55" s="65" t="n">
        <f aca="false">INDEX(Presets!$C$49:$L$49,MATCH($B$4,Presets!$C$1:$L$1,0))</f>
        <v>4</v>
      </c>
      <c r="E55" s="55" t="n">
        <v>4</v>
      </c>
    </row>
    <row r="56" customFormat="false" ht="15" hidden="false" customHeight="true" outlineLevel="0" collapsed="false">
      <c r="A56" s="62" t="s">
        <v>334</v>
      </c>
      <c r="B56" s="63" t="s">
        <v>335</v>
      </c>
      <c r="C56" s="66" t="n">
        <f aca="false">IF($B$5="Yes",E56,D56)</f>
        <v>1</v>
      </c>
      <c r="D56" s="65" t="n">
        <f aca="false">INDEX(Presets!$C$50:$L$50,MATCH($B$4,Presets!$C$1:$L$1,0))</f>
        <v>1</v>
      </c>
      <c r="E56" s="55" t="n">
        <v>1</v>
      </c>
    </row>
    <row r="57" customFormat="false" ht="15" hidden="false" customHeight="true" outlineLevel="0" collapsed="false">
      <c r="A57" s="62" t="s">
        <v>336</v>
      </c>
      <c r="B57" s="63" t="s">
        <v>337</v>
      </c>
      <c r="C57" s="66" t="n">
        <f aca="false">IF($B$5="Yes",E57,D57)</f>
        <v>5</v>
      </c>
      <c r="D57" s="65" t="n">
        <f aca="false">INDEX(Presets!$C$51:$L$51,MATCH($B$4,Presets!$C$1:$L$1,0))</f>
        <v>5</v>
      </c>
      <c r="E57" s="55" t="n">
        <v>5</v>
      </c>
    </row>
    <row r="58" customFormat="false" ht="15" hidden="false" customHeight="true" outlineLevel="0" collapsed="false">
      <c r="A58" s="62" t="s">
        <v>338</v>
      </c>
      <c r="B58" s="63" t="s">
        <v>339</v>
      </c>
      <c r="C58" s="66" t="n">
        <f aca="false">IF($B$5="Yes",E58,D58)</f>
        <v>1</v>
      </c>
      <c r="D58" s="65" t="n">
        <f aca="false">INDEX(Presets!$C$52:$L$52,MATCH($B$4,Presets!$C$1:$L$1,0))</f>
        <v>1</v>
      </c>
      <c r="E58" s="55" t="n">
        <v>1</v>
      </c>
    </row>
    <row r="59" customFormat="false" ht="15" hidden="false" customHeight="true" outlineLevel="0" collapsed="false">
      <c r="A59" s="62" t="s">
        <v>340</v>
      </c>
      <c r="B59" s="63" t="s">
        <v>341</v>
      </c>
      <c r="C59" s="66" t="n">
        <f aca="false">IF($B$5="Yes",E59,D59)</f>
        <v>4</v>
      </c>
      <c r="D59" s="65" t="n">
        <f aca="false">INDEX(Presets!$C$53:$L$53,MATCH($B$4,Presets!$C$1:$L$1,0))</f>
        <v>4</v>
      </c>
      <c r="E59" s="55" t="n">
        <v>4</v>
      </c>
    </row>
    <row r="60" customFormat="false" ht="15" hidden="false" customHeight="true" outlineLevel="0" collapsed="false">
      <c r="A60" s="62" t="s">
        <v>342</v>
      </c>
      <c r="B60" s="63" t="s">
        <v>343</v>
      </c>
      <c r="C60" s="66" t="n">
        <f aca="false">IF($B$5="Yes",E60,D60)</f>
        <v>2</v>
      </c>
      <c r="D60" s="65" t="n">
        <f aca="false">INDEX(Presets!$C$54:$L$54,MATCH($B$4,Presets!$C$1:$L$1,0))</f>
        <v>2</v>
      </c>
      <c r="E60" s="55" t="n">
        <v>2</v>
      </c>
    </row>
    <row r="61" customFormat="false" ht="23.25" hidden="false" customHeight="true" outlineLevel="0" collapsed="false">
      <c r="A61" s="62" t="s">
        <v>344</v>
      </c>
      <c r="B61" s="63" t="s">
        <v>345</v>
      </c>
      <c r="C61" s="66" t="n">
        <f aca="false">IF($B$5="Yes",E61,D61)</f>
        <v>10</v>
      </c>
      <c r="D61" s="65" t="n">
        <f aca="false">INDEX(Presets!$C$55:$L$55,MATCH($B$4,Presets!$C$1:$L$1,0))</f>
        <v>10</v>
      </c>
      <c r="E61" s="55" t="n">
        <v>10</v>
      </c>
    </row>
    <row r="62" customFormat="false" ht="15" hidden="false" customHeight="true" outlineLevel="0" collapsed="false">
      <c r="A62" s="61" t="s">
        <v>346</v>
      </c>
      <c r="B62" s="61"/>
      <c r="C62" s="61"/>
      <c r="D62" s="61"/>
      <c r="E62" s="61"/>
    </row>
    <row r="63" customFormat="false" ht="15" hidden="false" customHeight="true" outlineLevel="0" collapsed="false">
      <c r="A63" s="62" t="s">
        <v>347</v>
      </c>
      <c r="B63" s="63" t="s">
        <v>348</v>
      </c>
      <c r="C63" s="64" t="str">
        <f aca="false">IF($B$5="Yes",E63,D63)</f>
        <v>Yes</v>
      </c>
      <c r="D63" s="65" t="str">
        <f aca="false">INDEX(Presets!$C$57:$L$57,MATCH($B$4,Presets!$C$1:$L$1,0))</f>
        <v>Yes</v>
      </c>
      <c r="E63" s="55" t="s">
        <v>244</v>
      </c>
    </row>
    <row r="64" customFormat="false" ht="15" hidden="false" customHeight="true" outlineLevel="0" collapsed="false">
      <c r="A64" s="62" t="s">
        <v>349</v>
      </c>
      <c r="B64" s="63" t="s">
        <v>350</v>
      </c>
      <c r="C64" s="64" t="str">
        <f aca="false">IF($B$5="Yes",E64,D64)</f>
        <v>Yes</v>
      </c>
      <c r="D64" s="65" t="str">
        <f aca="false">INDEX(Presets!$C$58:$L$58,MATCH($B$4,Presets!$C$1:$L$1,0))</f>
        <v>Yes</v>
      </c>
      <c r="E64" s="55" t="s">
        <v>244</v>
      </c>
    </row>
    <row r="65" customFormat="false" ht="15" hidden="false" customHeight="true" outlineLevel="0" collapsed="false">
      <c r="A65" s="62" t="s">
        <v>351</v>
      </c>
      <c r="B65" s="63" t="s">
        <v>352</v>
      </c>
      <c r="C65" s="64" t="str">
        <f aca="false">IF($B$5="Yes",E65,D65)</f>
        <v>Yes</v>
      </c>
      <c r="D65" s="65" t="str">
        <f aca="false">INDEX(Presets!$C$59:$L$59,MATCH($B$4,Presets!$C$1:$L$1,0))</f>
        <v>Yes</v>
      </c>
      <c r="E65" s="55" t="s">
        <v>244</v>
      </c>
    </row>
    <row r="66" customFormat="false" ht="15" hidden="false" customHeight="true" outlineLevel="0" collapsed="false">
      <c r="A66" s="62" t="s">
        <v>353</v>
      </c>
      <c r="B66" s="63" t="s">
        <v>354</v>
      </c>
      <c r="C66" s="64" t="str">
        <f aca="false">IF($B$5="Yes",E66,D66)</f>
        <v>Yes</v>
      </c>
      <c r="D66" s="65" t="str">
        <f aca="false">INDEX(Presets!$C$60:$L$60,MATCH($B$4,Presets!$C$1:$L$1,0))</f>
        <v>Yes</v>
      </c>
      <c r="E66" s="55" t="s">
        <v>244</v>
      </c>
    </row>
    <row r="67" customFormat="false" ht="15" hidden="false" customHeight="true" outlineLevel="0" collapsed="false">
      <c r="A67" s="62" t="s">
        <v>355</v>
      </c>
      <c r="B67" s="63" t="s">
        <v>356</v>
      </c>
      <c r="C67" s="64" t="str">
        <f aca="false">IF($B$5="Yes",E67,D67)</f>
        <v>Yes</v>
      </c>
      <c r="D67" s="65" t="str">
        <f aca="false">INDEX(Presets!$C$61:$L$61,MATCH($B$4,Presets!$C$1:$L$1,0))</f>
        <v>Yes</v>
      </c>
      <c r="E67" s="55" t="s">
        <v>244</v>
      </c>
    </row>
  </sheetData>
  <mergeCells count="10">
    <mergeCell ref="A1:G1"/>
    <mergeCell ref="A2:G2"/>
    <mergeCell ref="B4:D4"/>
    <mergeCell ref="E4:H4"/>
    <mergeCell ref="B5:D5"/>
    <mergeCell ref="E5:H5"/>
    <mergeCell ref="B6:H6"/>
    <mergeCell ref="A9:E9"/>
    <mergeCell ref="A43:E43"/>
    <mergeCell ref="A62:E62"/>
  </mergeCells>
  <conditionalFormatting sqref="C10">
    <cfRule type="cellIs" priority="2" operator="equal" aboveAverage="0" equalAverage="0" bottom="0" percent="0" rank="0" text="" dxfId="5">
      <formula>"Yes"</formula>
    </cfRule>
    <cfRule type="cellIs" priority="3" operator="equal" aboveAverage="0" equalAverage="0" bottom="0" percent="0" rank="0" text="" dxfId="6">
      <formula>"No"</formula>
    </cfRule>
  </conditionalFormatting>
  <conditionalFormatting sqref="C11">
    <cfRule type="cellIs" priority="4" operator="equal" aboveAverage="0" equalAverage="0" bottom="0" percent="0" rank="0" text="" dxfId="5">
      <formula>"Yes"</formula>
    </cfRule>
    <cfRule type="cellIs" priority="5" operator="equal" aboveAverage="0" equalAverage="0" bottom="0" percent="0" rank="0" text="" dxfId="6">
      <formula>"No"</formula>
    </cfRule>
  </conditionalFormatting>
  <conditionalFormatting sqref="C12">
    <cfRule type="cellIs" priority="6" operator="equal" aboveAverage="0" equalAverage="0" bottom="0" percent="0" rank="0" text="" dxfId="5">
      <formula>"Yes"</formula>
    </cfRule>
    <cfRule type="cellIs" priority="7" operator="equal" aboveAverage="0" equalAverage="0" bottom="0" percent="0" rank="0" text="" dxfId="6">
      <formula>"No"</formula>
    </cfRule>
  </conditionalFormatting>
  <conditionalFormatting sqref="C13">
    <cfRule type="cellIs" priority="8" operator="equal" aboveAverage="0" equalAverage="0" bottom="0" percent="0" rank="0" text="" dxfId="5">
      <formula>"Yes"</formula>
    </cfRule>
    <cfRule type="cellIs" priority="9" operator="equal" aboveAverage="0" equalAverage="0" bottom="0" percent="0" rank="0" text="" dxfId="6">
      <formula>"No"</formula>
    </cfRule>
  </conditionalFormatting>
  <conditionalFormatting sqref="C14">
    <cfRule type="cellIs" priority="10" operator="equal" aboveAverage="0" equalAverage="0" bottom="0" percent="0" rank="0" text="" dxfId="5">
      <formula>"Yes"</formula>
    </cfRule>
    <cfRule type="cellIs" priority="11" operator="equal" aboveAverage="0" equalAverage="0" bottom="0" percent="0" rank="0" text="" dxfId="6">
      <formula>"No"</formula>
    </cfRule>
  </conditionalFormatting>
  <conditionalFormatting sqref="C15">
    <cfRule type="cellIs" priority="12" operator="equal" aboveAverage="0" equalAverage="0" bottom="0" percent="0" rank="0" text="" dxfId="5">
      <formula>"Yes"</formula>
    </cfRule>
    <cfRule type="cellIs" priority="13" operator="equal" aboveAverage="0" equalAverage="0" bottom="0" percent="0" rank="0" text="" dxfId="6">
      <formula>"No"</formula>
    </cfRule>
  </conditionalFormatting>
  <conditionalFormatting sqref="C16">
    <cfRule type="cellIs" priority="14" operator="equal" aboveAverage="0" equalAverage="0" bottom="0" percent="0" rank="0" text="" dxfId="5">
      <formula>"Yes"</formula>
    </cfRule>
    <cfRule type="cellIs" priority="15" operator="equal" aboveAverage="0" equalAverage="0" bottom="0" percent="0" rank="0" text="" dxfId="6">
      <formula>"No"</formula>
    </cfRule>
  </conditionalFormatting>
  <conditionalFormatting sqref="C17">
    <cfRule type="cellIs" priority="16" operator="equal" aboveAverage="0" equalAverage="0" bottom="0" percent="0" rank="0" text="" dxfId="5">
      <formula>"Yes"</formula>
    </cfRule>
    <cfRule type="cellIs" priority="17" operator="equal" aboveAverage="0" equalAverage="0" bottom="0" percent="0" rank="0" text="" dxfId="6">
      <formula>"No"</formula>
    </cfRule>
  </conditionalFormatting>
  <conditionalFormatting sqref="C18">
    <cfRule type="cellIs" priority="18" operator="equal" aboveAverage="0" equalAverage="0" bottom="0" percent="0" rank="0" text="" dxfId="5">
      <formula>"Yes"</formula>
    </cfRule>
    <cfRule type="cellIs" priority="19" operator="equal" aboveAverage="0" equalAverage="0" bottom="0" percent="0" rank="0" text="" dxfId="6">
      <formula>"No"</formula>
    </cfRule>
  </conditionalFormatting>
  <conditionalFormatting sqref="C19">
    <cfRule type="cellIs" priority="20" operator="equal" aboveAverage="0" equalAverage="0" bottom="0" percent="0" rank="0" text="" dxfId="5">
      <formula>"Yes"</formula>
    </cfRule>
    <cfRule type="cellIs" priority="21" operator="equal" aboveAverage="0" equalAverage="0" bottom="0" percent="0" rank="0" text="" dxfId="6">
      <formula>"No"</formula>
    </cfRule>
  </conditionalFormatting>
  <conditionalFormatting sqref="C20">
    <cfRule type="cellIs" priority="22" operator="equal" aboveAverage="0" equalAverage="0" bottom="0" percent="0" rank="0" text="" dxfId="5">
      <formula>"Yes"</formula>
    </cfRule>
    <cfRule type="cellIs" priority="23" operator="equal" aboveAverage="0" equalAverage="0" bottom="0" percent="0" rank="0" text="" dxfId="6">
      <formula>"No"</formula>
    </cfRule>
  </conditionalFormatting>
  <conditionalFormatting sqref="C21">
    <cfRule type="cellIs" priority="24" operator="equal" aboveAverage="0" equalAverage="0" bottom="0" percent="0" rank="0" text="" dxfId="5">
      <formula>"Yes"</formula>
    </cfRule>
    <cfRule type="cellIs" priority="25" operator="equal" aboveAverage="0" equalAverage="0" bottom="0" percent="0" rank="0" text="" dxfId="6">
      <formula>"No"</formula>
    </cfRule>
  </conditionalFormatting>
  <conditionalFormatting sqref="C22">
    <cfRule type="cellIs" priority="26" operator="equal" aboveAverage="0" equalAverage="0" bottom="0" percent="0" rank="0" text="" dxfId="5">
      <formula>"Yes"</formula>
    </cfRule>
    <cfRule type="cellIs" priority="27" operator="equal" aboveAverage="0" equalAverage="0" bottom="0" percent="0" rank="0" text="" dxfId="6">
      <formula>"No"</formula>
    </cfRule>
  </conditionalFormatting>
  <conditionalFormatting sqref="C23">
    <cfRule type="cellIs" priority="28" operator="equal" aboveAverage="0" equalAverage="0" bottom="0" percent="0" rank="0" text="" dxfId="5">
      <formula>"Yes"</formula>
    </cfRule>
    <cfRule type="cellIs" priority="29" operator="equal" aboveAverage="0" equalAverage="0" bottom="0" percent="0" rank="0" text="" dxfId="6">
      <formula>"No"</formula>
    </cfRule>
  </conditionalFormatting>
  <conditionalFormatting sqref="C24">
    <cfRule type="cellIs" priority="30" operator="equal" aboveAverage="0" equalAverage="0" bottom="0" percent="0" rank="0" text="" dxfId="5">
      <formula>"Yes"</formula>
    </cfRule>
    <cfRule type="cellIs" priority="31" operator="equal" aboveAverage="0" equalAverage="0" bottom="0" percent="0" rank="0" text="" dxfId="6">
      <formula>"No"</formula>
    </cfRule>
  </conditionalFormatting>
  <conditionalFormatting sqref="C25">
    <cfRule type="cellIs" priority="32" operator="equal" aboveAverage="0" equalAverage="0" bottom="0" percent="0" rank="0" text="" dxfId="5">
      <formula>"Yes"</formula>
    </cfRule>
    <cfRule type="cellIs" priority="33" operator="equal" aboveAverage="0" equalAverage="0" bottom="0" percent="0" rank="0" text="" dxfId="6">
      <formula>"No"</formula>
    </cfRule>
  </conditionalFormatting>
  <conditionalFormatting sqref="C26">
    <cfRule type="cellIs" priority="34" operator="equal" aboveAverage="0" equalAverage="0" bottom="0" percent="0" rank="0" text="" dxfId="5">
      <formula>"Yes"</formula>
    </cfRule>
    <cfRule type="cellIs" priority="35" operator="equal" aboveAverage="0" equalAverage="0" bottom="0" percent="0" rank="0" text="" dxfId="6">
      <formula>"No"</formula>
    </cfRule>
  </conditionalFormatting>
  <conditionalFormatting sqref="C27">
    <cfRule type="cellIs" priority="36" operator="equal" aboveAverage="0" equalAverage="0" bottom="0" percent="0" rank="0" text="" dxfId="5">
      <formula>"Yes"</formula>
    </cfRule>
    <cfRule type="cellIs" priority="37" operator="equal" aboveAverage="0" equalAverage="0" bottom="0" percent="0" rank="0" text="" dxfId="6">
      <formula>"No"</formula>
    </cfRule>
  </conditionalFormatting>
  <conditionalFormatting sqref="C28">
    <cfRule type="cellIs" priority="38" operator="equal" aboveAverage="0" equalAverage="0" bottom="0" percent="0" rank="0" text="" dxfId="5">
      <formula>"Yes"</formula>
    </cfRule>
    <cfRule type="cellIs" priority="39" operator="equal" aboveAverage="0" equalAverage="0" bottom="0" percent="0" rank="0" text="" dxfId="6">
      <formula>"No"</formula>
    </cfRule>
  </conditionalFormatting>
  <conditionalFormatting sqref="C29">
    <cfRule type="cellIs" priority="40" operator="equal" aboveAverage="0" equalAverage="0" bottom="0" percent="0" rank="0" text="" dxfId="5">
      <formula>"Yes"</formula>
    </cfRule>
    <cfRule type="cellIs" priority="41" operator="equal" aboveAverage="0" equalAverage="0" bottom="0" percent="0" rank="0" text="" dxfId="6">
      <formula>"No"</formula>
    </cfRule>
  </conditionalFormatting>
  <conditionalFormatting sqref="C30">
    <cfRule type="cellIs" priority="42" operator="equal" aboveAverage="0" equalAverage="0" bottom="0" percent="0" rank="0" text="" dxfId="5">
      <formula>"Yes"</formula>
    </cfRule>
    <cfRule type="cellIs" priority="43" operator="equal" aboveAverage="0" equalAverage="0" bottom="0" percent="0" rank="0" text="" dxfId="6">
      <formula>"No"</formula>
    </cfRule>
  </conditionalFormatting>
  <conditionalFormatting sqref="C31">
    <cfRule type="cellIs" priority="44" operator="equal" aboveAverage="0" equalAverage="0" bottom="0" percent="0" rank="0" text="" dxfId="5">
      <formula>"Yes"</formula>
    </cfRule>
    <cfRule type="cellIs" priority="45" operator="equal" aboveAverage="0" equalAverage="0" bottom="0" percent="0" rank="0" text="" dxfId="6">
      <formula>"No"</formula>
    </cfRule>
  </conditionalFormatting>
  <conditionalFormatting sqref="C32">
    <cfRule type="cellIs" priority="46" operator="equal" aboveAverage="0" equalAverage="0" bottom="0" percent="0" rank="0" text="" dxfId="5">
      <formula>"Yes"</formula>
    </cfRule>
    <cfRule type="cellIs" priority="47" operator="equal" aboveAverage="0" equalAverage="0" bottom="0" percent="0" rank="0" text="" dxfId="6">
      <formula>"No"</formula>
    </cfRule>
  </conditionalFormatting>
  <conditionalFormatting sqref="C33">
    <cfRule type="cellIs" priority="48" operator="equal" aboveAverage="0" equalAverage="0" bottom="0" percent="0" rank="0" text="" dxfId="5">
      <formula>"Yes"</formula>
    </cfRule>
    <cfRule type="cellIs" priority="49" operator="equal" aboveAverage="0" equalAverage="0" bottom="0" percent="0" rank="0" text="" dxfId="6">
      <formula>"No"</formula>
    </cfRule>
  </conditionalFormatting>
  <conditionalFormatting sqref="C34">
    <cfRule type="cellIs" priority="50" operator="equal" aboveAverage="0" equalAverage="0" bottom="0" percent="0" rank="0" text="" dxfId="5">
      <formula>"Yes"</formula>
    </cfRule>
    <cfRule type="cellIs" priority="51" operator="equal" aboveAverage="0" equalAverage="0" bottom="0" percent="0" rank="0" text="" dxfId="6">
      <formula>"No"</formula>
    </cfRule>
  </conditionalFormatting>
  <conditionalFormatting sqref="C35">
    <cfRule type="cellIs" priority="52" operator="equal" aboveAverage="0" equalAverage="0" bottom="0" percent="0" rank="0" text="" dxfId="5">
      <formula>"Yes"</formula>
    </cfRule>
    <cfRule type="cellIs" priority="53" operator="equal" aboveAverage="0" equalAverage="0" bottom="0" percent="0" rank="0" text="" dxfId="6">
      <formula>"No"</formula>
    </cfRule>
  </conditionalFormatting>
  <conditionalFormatting sqref="C36">
    <cfRule type="cellIs" priority="54" operator="equal" aboveAverage="0" equalAverage="0" bottom="0" percent="0" rank="0" text="" dxfId="5">
      <formula>"Yes"</formula>
    </cfRule>
    <cfRule type="cellIs" priority="55" operator="equal" aboveAverage="0" equalAverage="0" bottom="0" percent="0" rank="0" text="" dxfId="6">
      <formula>"No"</formula>
    </cfRule>
  </conditionalFormatting>
  <conditionalFormatting sqref="C37">
    <cfRule type="cellIs" priority="56" operator="equal" aboveAverage="0" equalAverage="0" bottom="0" percent="0" rank="0" text="" dxfId="5">
      <formula>"Yes"</formula>
    </cfRule>
    <cfRule type="cellIs" priority="57" operator="equal" aboveAverage="0" equalAverage="0" bottom="0" percent="0" rank="0" text="" dxfId="6">
      <formula>"No"</formula>
    </cfRule>
  </conditionalFormatting>
  <conditionalFormatting sqref="C38">
    <cfRule type="cellIs" priority="58" operator="equal" aboveAverage="0" equalAverage="0" bottom="0" percent="0" rank="0" text="" dxfId="5">
      <formula>"Yes"</formula>
    </cfRule>
    <cfRule type="cellIs" priority="59" operator="equal" aboveAverage="0" equalAverage="0" bottom="0" percent="0" rank="0" text="" dxfId="6">
      <formula>"No"</formula>
    </cfRule>
  </conditionalFormatting>
  <conditionalFormatting sqref="C39">
    <cfRule type="cellIs" priority="60" operator="equal" aboveAverage="0" equalAverage="0" bottom="0" percent="0" rank="0" text="" dxfId="5">
      <formula>"Yes"</formula>
    </cfRule>
    <cfRule type="cellIs" priority="61" operator="equal" aboveAverage="0" equalAverage="0" bottom="0" percent="0" rank="0" text="" dxfId="6">
      <formula>"No"</formula>
    </cfRule>
  </conditionalFormatting>
  <conditionalFormatting sqref="C40">
    <cfRule type="cellIs" priority="62" operator="equal" aboveAverage="0" equalAverage="0" bottom="0" percent="0" rank="0" text="" dxfId="5">
      <formula>"Yes"</formula>
    </cfRule>
    <cfRule type="cellIs" priority="63" operator="equal" aboveAverage="0" equalAverage="0" bottom="0" percent="0" rank="0" text="" dxfId="6">
      <formula>"No"</formula>
    </cfRule>
  </conditionalFormatting>
  <conditionalFormatting sqref="C41">
    <cfRule type="cellIs" priority="64" operator="equal" aboveAverage="0" equalAverage="0" bottom="0" percent="0" rank="0" text="" dxfId="5">
      <formula>"Yes"</formula>
    </cfRule>
    <cfRule type="cellIs" priority="65" operator="equal" aboveAverage="0" equalAverage="0" bottom="0" percent="0" rank="0" text="" dxfId="6">
      <formula>"No"</formula>
    </cfRule>
  </conditionalFormatting>
  <conditionalFormatting sqref="C42">
    <cfRule type="cellIs" priority="66" operator="equal" aboveAverage="0" equalAverage="0" bottom="0" percent="0" rank="0" text="" dxfId="5">
      <formula>"Yes"</formula>
    </cfRule>
    <cfRule type="cellIs" priority="67" operator="equal" aboveAverage="0" equalAverage="0" bottom="0" percent="0" rank="0" text="" dxfId="6">
      <formula>"No"</formula>
    </cfRule>
  </conditionalFormatting>
  <conditionalFormatting sqref="C63">
    <cfRule type="cellIs" priority="68" operator="equal" aboveAverage="0" equalAverage="0" bottom="0" percent="0" rank="0" text="" dxfId="5">
      <formula>"Yes"</formula>
    </cfRule>
    <cfRule type="cellIs" priority="69" operator="equal" aboveAverage="0" equalAverage="0" bottom="0" percent="0" rank="0" text="" dxfId="6">
      <formula>"No"</formula>
    </cfRule>
  </conditionalFormatting>
  <conditionalFormatting sqref="C64">
    <cfRule type="cellIs" priority="70" operator="equal" aboveAverage="0" equalAverage="0" bottom="0" percent="0" rank="0" text="" dxfId="5">
      <formula>"Yes"</formula>
    </cfRule>
    <cfRule type="cellIs" priority="71" operator="equal" aboveAverage="0" equalAverage="0" bottom="0" percent="0" rank="0" text="" dxfId="6">
      <formula>"No"</formula>
    </cfRule>
  </conditionalFormatting>
  <conditionalFormatting sqref="C65">
    <cfRule type="cellIs" priority="72" operator="equal" aboveAverage="0" equalAverage="0" bottom="0" percent="0" rank="0" text="" dxfId="5">
      <formula>"Yes"</formula>
    </cfRule>
    <cfRule type="cellIs" priority="73" operator="equal" aboveAverage="0" equalAverage="0" bottom="0" percent="0" rank="0" text="" dxfId="6">
      <formula>"No"</formula>
    </cfRule>
  </conditionalFormatting>
  <conditionalFormatting sqref="C66">
    <cfRule type="cellIs" priority="74" operator="equal" aboveAverage="0" equalAverage="0" bottom="0" percent="0" rank="0" text="" dxfId="5">
      <formula>"Yes"</formula>
    </cfRule>
    <cfRule type="cellIs" priority="75" operator="equal" aboveAverage="0" equalAverage="0" bottom="0" percent="0" rank="0" text="" dxfId="6">
      <formula>"No"</formula>
    </cfRule>
  </conditionalFormatting>
  <conditionalFormatting sqref="C67">
    <cfRule type="cellIs" priority="76" operator="equal" aboveAverage="0" equalAverage="0" bottom="0" percent="0" rank="0" text="" dxfId="5">
      <formula>"Yes"</formula>
    </cfRule>
    <cfRule type="cellIs" priority="77" operator="equal" aboveAverage="0" equalAverage="0" bottom="0" percent="0" rank="0" text="" dxfId="6">
      <formula>"No"</formula>
    </cfRule>
  </conditionalFormatting>
  <dataValidations count="3">
    <dataValidation allowBlank="false" errorStyle="stop" operator="between" showDropDown="false" showErrorMessage="false" showInputMessage="false" sqref="B4" type="list">
      <formula1>Presets!$C$1:$O$1</formula1>
      <formula2>0</formula2>
    </dataValidation>
    <dataValidation allowBlank="false" errorStyle="stop" operator="between" showDropDown="false" showErrorMessage="false" showInputMessage="false" sqref="B5" type="list">
      <formula1>"Yes,No"</formula1>
      <formula2>0</formula2>
    </dataValidation>
    <dataValidation allowBlank="false" errorStyle="stop" operator="between" showDropDown="false" showErrorMessage="false" showInputMessage="false" sqref="E10:E42 E63:E6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4"/>
    <col collapsed="false" customWidth="true" hidden="false" outlineLevel="0" max="5" min="5" style="1" width="26"/>
  </cols>
  <sheetData>
    <row r="1" customFormat="false" ht="30" hidden="false" customHeight="true" outlineLevel="0" collapsed="false">
      <c r="A1" s="67" t="s">
        <v>357</v>
      </c>
      <c r="B1" s="67"/>
      <c r="C1" s="67"/>
      <c r="D1" s="67"/>
      <c r="E1" s="67"/>
    </row>
    <row r="2" customFormat="false" ht="15.75" hidden="false" customHeight="true" outlineLevel="0" collapsed="false">
      <c r="A2" s="68" t="s">
        <v>358</v>
      </c>
      <c r="B2" s="68"/>
      <c r="C2" s="68"/>
      <c r="D2" s="68"/>
      <c r="E2" s="68"/>
    </row>
    <row r="4" customFormat="false" ht="21.75" hidden="false" customHeight="true" outlineLevel="0" collapsed="false">
      <c r="A4" s="69" t="s">
        <v>359</v>
      </c>
      <c r="B4" s="69"/>
      <c r="C4" s="69"/>
      <c r="D4" s="69"/>
      <c r="E4" s="69"/>
    </row>
    <row r="5" customFormat="false" ht="15" hidden="false" customHeight="true" outlineLevel="0" collapsed="false">
      <c r="A5" s="70" t="s">
        <v>360</v>
      </c>
      <c r="B5" s="71" t="s">
        <v>361</v>
      </c>
      <c r="C5" s="72" t="s">
        <v>362</v>
      </c>
      <c r="D5" s="73" t="s">
        <v>363</v>
      </c>
    </row>
    <row r="6" customFormat="false" ht="27.75" hidden="false" customHeight="true" outlineLevel="0" collapsed="false">
      <c r="A6" s="74" t="s">
        <v>364</v>
      </c>
      <c r="B6" s="75" t="s">
        <v>365</v>
      </c>
      <c r="C6" s="76" t="s">
        <v>366</v>
      </c>
      <c r="D6" s="77" t="s">
        <v>367</v>
      </c>
      <c r="E6" s="78"/>
    </row>
    <row r="7" customFormat="false" ht="27.75" hidden="false" customHeight="true" outlineLevel="0" collapsed="false">
      <c r="A7" s="79" t="s">
        <v>368</v>
      </c>
      <c r="B7" s="80" t="s">
        <v>369</v>
      </c>
      <c r="C7" s="81" t="s">
        <v>370</v>
      </c>
      <c r="D7" s="82" t="s">
        <v>371</v>
      </c>
      <c r="E7" s="83"/>
    </row>
    <row r="8" customFormat="false" ht="27.75" hidden="false" customHeight="true" outlineLevel="0" collapsed="false">
      <c r="A8" s="74" t="s">
        <v>372</v>
      </c>
      <c r="B8" s="75" t="s">
        <v>373</v>
      </c>
      <c r="C8" s="76" t="s">
        <v>374</v>
      </c>
      <c r="D8" s="77" t="s">
        <v>375</v>
      </c>
      <c r="E8" s="78"/>
    </row>
    <row r="9" customFormat="false" ht="27.75" hidden="false" customHeight="true" outlineLevel="0" collapsed="false">
      <c r="A9" s="79" t="s">
        <v>376</v>
      </c>
      <c r="B9" s="80" t="s">
        <v>377</v>
      </c>
      <c r="C9" s="81" t="s">
        <v>378</v>
      </c>
      <c r="D9" s="82" t="s">
        <v>379</v>
      </c>
      <c r="E9" s="83"/>
    </row>
    <row r="10" customFormat="false" ht="27.75" hidden="false" customHeight="true" outlineLevel="0" collapsed="false">
      <c r="A10" s="74" t="s">
        <v>380</v>
      </c>
      <c r="B10" s="75" t="s">
        <v>381</v>
      </c>
      <c r="C10" s="76" t="s">
        <v>382</v>
      </c>
      <c r="D10" s="77" t="s">
        <v>383</v>
      </c>
      <c r="E10" s="78"/>
    </row>
    <row r="11" customFormat="false" ht="27.75" hidden="false" customHeight="true" outlineLevel="0" collapsed="false">
      <c r="A11" s="79" t="s">
        <v>384</v>
      </c>
      <c r="B11" s="80" t="s">
        <v>385</v>
      </c>
      <c r="C11" s="81" t="s">
        <v>386</v>
      </c>
      <c r="D11" s="82" t="s">
        <v>387</v>
      </c>
      <c r="E11" s="83"/>
    </row>
    <row r="12" customFormat="false" ht="27.75" hidden="false" customHeight="true" outlineLevel="0" collapsed="false">
      <c r="A12" s="74" t="s">
        <v>388</v>
      </c>
      <c r="B12" s="75" t="s">
        <v>389</v>
      </c>
      <c r="C12" s="76" t="s">
        <v>390</v>
      </c>
      <c r="D12" s="77" t="s">
        <v>391</v>
      </c>
      <c r="E12" s="78"/>
    </row>
    <row r="14" customFormat="false" ht="21.75" hidden="false" customHeight="true" outlineLevel="0" collapsed="false">
      <c r="A14" s="84" t="s">
        <v>392</v>
      </c>
      <c r="B14" s="84"/>
      <c r="C14" s="84"/>
      <c r="D14" s="84"/>
      <c r="E14" s="84"/>
    </row>
    <row r="15" customFormat="false" ht="31.5" hidden="false" customHeight="true" outlineLevel="0" collapsed="false">
      <c r="A15" s="85" t="s">
        <v>56</v>
      </c>
      <c r="B15" s="86" t="s">
        <v>393</v>
      </c>
      <c r="C15" s="86"/>
      <c r="D15" s="86"/>
      <c r="E15" s="86"/>
    </row>
    <row r="16" customFormat="false" ht="31.5" hidden="false" customHeight="true" outlineLevel="0" collapsed="false">
      <c r="A16" s="79" t="s">
        <v>58</v>
      </c>
      <c r="B16" s="87" t="s">
        <v>394</v>
      </c>
      <c r="C16" s="87"/>
      <c r="D16" s="87"/>
      <c r="E16" s="87"/>
    </row>
    <row r="17" customFormat="false" ht="31.5" hidden="false" customHeight="true" outlineLevel="0" collapsed="false">
      <c r="A17" s="85" t="s">
        <v>60</v>
      </c>
      <c r="B17" s="86" t="s">
        <v>395</v>
      </c>
      <c r="C17" s="86"/>
      <c r="D17" s="86"/>
      <c r="E17" s="86"/>
    </row>
    <row r="18" customFormat="false" ht="31.5" hidden="false" customHeight="true" outlineLevel="0" collapsed="false">
      <c r="A18" s="79" t="s">
        <v>62</v>
      </c>
      <c r="B18" s="87" t="s">
        <v>396</v>
      </c>
      <c r="C18" s="87"/>
      <c r="D18" s="87"/>
      <c r="E18" s="87"/>
    </row>
    <row r="19" customFormat="false" ht="31.5" hidden="false" customHeight="true" outlineLevel="0" collapsed="false">
      <c r="A19" s="85" t="s">
        <v>64</v>
      </c>
      <c r="B19" s="86" t="s">
        <v>397</v>
      </c>
      <c r="C19" s="86"/>
      <c r="D19" s="86"/>
      <c r="E19" s="86"/>
    </row>
    <row r="20" customFormat="false" ht="31.5" hidden="false" customHeight="true" outlineLevel="0" collapsed="false">
      <c r="A20" s="79" t="s">
        <v>398</v>
      </c>
      <c r="B20" s="87" t="s">
        <v>399</v>
      </c>
      <c r="C20" s="87"/>
      <c r="D20" s="87"/>
      <c r="E20" s="87"/>
    </row>
    <row r="22" customFormat="false" ht="21.75" hidden="false" customHeight="true" outlineLevel="0" collapsed="false">
      <c r="A22" s="69" t="s">
        <v>400</v>
      </c>
      <c r="B22" s="69"/>
      <c r="C22" s="69"/>
      <c r="D22" s="69"/>
      <c r="E22" s="69"/>
    </row>
    <row r="23" customFormat="false" ht="15" hidden="false" customHeight="true" outlineLevel="0" collapsed="false">
      <c r="A23" s="88" t="s">
        <v>401</v>
      </c>
      <c r="B23" s="71" t="s">
        <v>402</v>
      </c>
      <c r="C23" s="72" t="s">
        <v>403</v>
      </c>
      <c r="D23" s="73" t="s">
        <v>404</v>
      </c>
      <c r="E23" s="88" t="s">
        <v>405</v>
      </c>
    </row>
    <row r="24" customFormat="false" ht="31.5" hidden="false" customHeight="true" outlineLevel="0" collapsed="false">
      <c r="A24" s="74" t="s">
        <v>406</v>
      </c>
      <c r="B24" s="75" t="s">
        <v>407</v>
      </c>
      <c r="C24" s="76" t="s">
        <v>408</v>
      </c>
      <c r="D24" s="77" t="s">
        <v>409</v>
      </c>
      <c r="E24" s="89" t="s">
        <v>410</v>
      </c>
    </row>
    <row r="25" customFormat="false" ht="31.5" hidden="false" customHeight="true" outlineLevel="0" collapsed="false">
      <c r="A25" s="79" t="s">
        <v>411</v>
      </c>
      <c r="B25" s="80" t="s">
        <v>412</v>
      </c>
      <c r="C25" s="81" t="s">
        <v>413</v>
      </c>
      <c r="D25" s="82" t="s">
        <v>414</v>
      </c>
      <c r="E25" s="90" t="s">
        <v>415</v>
      </c>
    </row>
    <row r="26" customFormat="false" ht="31.5" hidden="false" customHeight="true" outlineLevel="0" collapsed="false">
      <c r="A26" s="74" t="s">
        <v>416</v>
      </c>
      <c r="B26" s="75" t="s">
        <v>417</v>
      </c>
      <c r="C26" s="76" t="s">
        <v>418</v>
      </c>
      <c r="D26" s="77" t="s">
        <v>419</v>
      </c>
      <c r="E26" s="89" t="s">
        <v>420</v>
      </c>
    </row>
    <row r="27" customFormat="false" ht="31.5" hidden="false" customHeight="true" outlineLevel="0" collapsed="false">
      <c r="A27" s="79" t="s">
        <v>421</v>
      </c>
      <c r="B27" s="80" t="s">
        <v>422</v>
      </c>
      <c r="C27" s="81" t="s">
        <v>423</v>
      </c>
      <c r="D27" s="82" t="s">
        <v>424</v>
      </c>
      <c r="E27" s="90" t="s">
        <v>425</v>
      </c>
    </row>
    <row r="28" customFormat="false" ht="31.5" hidden="false" customHeight="true" outlineLevel="0" collapsed="false">
      <c r="A28" s="74" t="s">
        <v>426</v>
      </c>
      <c r="B28" s="75" t="s">
        <v>427</v>
      </c>
      <c r="C28" s="76" t="s">
        <v>428</v>
      </c>
      <c r="D28" s="77" t="s">
        <v>429</v>
      </c>
      <c r="E28" s="89" t="s">
        <v>430</v>
      </c>
    </row>
    <row r="29" customFormat="false" ht="31.5" hidden="false" customHeight="true" outlineLevel="0" collapsed="false">
      <c r="A29" s="79" t="s">
        <v>431</v>
      </c>
      <c r="B29" s="80" t="s">
        <v>432</v>
      </c>
      <c r="C29" s="81" t="s">
        <v>433</v>
      </c>
      <c r="D29" s="82" t="s">
        <v>434</v>
      </c>
      <c r="E29" s="90" t="s">
        <v>435</v>
      </c>
    </row>
    <row r="30" customFormat="false" ht="31.5" hidden="false" customHeight="true" outlineLevel="0" collapsed="false">
      <c r="A30" s="74" t="s">
        <v>436</v>
      </c>
      <c r="B30" s="75" t="s">
        <v>437</v>
      </c>
      <c r="C30" s="76" t="s">
        <v>438</v>
      </c>
      <c r="D30" s="77" t="s">
        <v>439</v>
      </c>
      <c r="E30" s="89" t="s">
        <v>440</v>
      </c>
    </row>
    <row r="31" customFormat="false" ht="31.5" hidden="false" customHeight="true" outlineLevel="0" collapsed="false">
      <c r="A31" s="79" t="s">
        <v>441</v>
      </c>
      <c r="B31" s="80" t="s">
        <v>442</v>
      </c>
      <c r="C31" s="81" t="s">
        <v>443</v>
      </c>
      <c r="D31" s="82" t="s">
        <v>444</v>
      </c>
      <c r="E31" s="90" t="s">
        <v>445</v>
      </c>
    </row>
    <row r="32" customFormat="false" ht="31.5" hidden="false" customHeight="true" outlineLevel="0" collapsed="false">
      <c r="A32" s="74" t="s">
        <v>446</v>
      </c>
      <c r="B32" s="75" t="s">
        <v>447</v>
      </c>
      <c r="C32" s="76" t="s">
        <v>448</v>
      </c>
      <c r="D32" s="77" t="s">
        <v>449</v>
      </c>
      <c r="E32" s="89" t="s">
        <v>450</v>
      </c>
    </row>
    <row r="33" customFormat="false" ht="31.5" hidden="false" customHeight="true" outlineLevel="0" collapsed="false">
      <c r="A33" s="79" t="s">
        <v>451</v>
      </c>
      <c r="B33" s="80" t="s">
        <v>452</v>
      </c>
      <c r="C33" s="81" t="s">
        <v>453</v>
      </c>
      <c r="D33" s="82" t="s">
        <v>454</v>
      </c>
      <c r="E33" s="90" t="s">
        <v>455</v>
      </c>
    </row>
    <row r="35" customFormat="false" ht="21.75" hidden="false" customHeight="true" outlineLevel="0" collapsed="false">
      <c r="A35" s="91" t="s">
        <v>456</v>
      </c>
      <c r="B35" s="91"/>
      <c r="C35" s="91"/>
      <c r="D35" s="91"/>
      <c r="E35" s="91"/>
    </row>
    <row r="36" customFormat="false" ht="15" hidden="false" customHeight="true" outlineLevel="0" collapsed="false">
      <c r="A36" s="92" t="s">
        <v>457</v>
      </c>
      <c r="B36" s="92" t="s">
        <v>458</v>
      </c>
      <c r="C36" s="92"/>
      <c r="D36" s="92"/>
      <c r="E36" s="92" t="s">
        <v>459</v>
      </c>
    </row>
    <row r="37" customFormat="false" ht="30" hidden="false" customHeight="true" outlineLevel="0" collapsed="false">
      <c r="A37" s="93" t="s">
        <v>460</v>
      </c>
      <c r="B37" s="94" t="s">
        <v>461</v>
      </c>
      <c r="C37" s="94"/>
      <c r="D37" s="94"/>
      <c r="E37" s="95" t="s">
        <v>462</v>
      </c>
    </row>
    <row r="38" customFormat="false" ht="30" hidden="false" customHeight="true" outlineLevel="0" collapsed="false">
      <c r="A38" s="96" t="s">
        <v>463</v>
      </c>
      <c r="B38" s="87" t="s">
        <v>464</v>
      </c>
      <c r="C38" s="87"/>
      <c r="D38" s="87"/>
      <c r="E38" s="90" t="s">
        <v>462</v>
      </c>
    </row>
    <row r="39" customFormat="false" ht="30" hidden="false" customHeight="true" outlineLevel="0" collapsed="false">
      <c r="A39" s="93" t="s">
        <v>465</v>
      </c>
      <c r="B39" s="94" t="s">
        <v>466</v>
      </c>
      <c r="C39" s="94"/>
      <c r="D39" s="94"/>
      <c r="E39" s="95" t="s">
        <v>462</v>
      </c>
    </row>
    <row r="40" customFormat="false" ht="30" hidden="false" customHeight="true" outlineLevel="0" collapsed="false">
      <c r="A40" s="96" t="s">
        <v>467</v>
      </c>
      <c r="B40" s="87" t="s">
        <v>468</v>
      </c>
      <c r="C40" s="87"/>
      <c r="D40" s="87"/>
      <c r="E40" s="90" t="s">
        <v>469</v>
      </c>
    </row>
    <row r="41" customFormat="false" ht="30" hidden="false" customHeight="true" outlineLevel="0" collapsed="false">
      <c r="A41" s="93" t="s">
        <v>470</v>
      </c>
      <c r="B41" s="94" t="s">
        <v>471</v>
      </c>
      <c r="C41" s="94"/>
      <c r="D41" s="94"/>
      <c r="E41" s="95" t="s">
        <v>469</v>
      </c>
    </row>
    <row r="42" customFormat="false" ht="30" hidden="false" customHeight="true" outlineLevel="0" collapsed="false">
      <c r="A42" s="96" t="s">
        <v>472</v>
      </c>
      <c r="B42" s="87" t="s">
        <v>473</v>
      </c>
      <c r="C42" s="87"/>
      <c r="D42" s="87"/>
      <c r="E42" s="90" t="s">
        <v>462</v>
      </c>
    </row>
    <row r="43" customFormat="false" ht="30" hidden="false" customHeight="true" outlineLevel="0" collapsed="false">
      <c r="A43" s="93" t="s">
        <v>474</v>
      </c>
      <c r="B43" s="94" t="s">
        <v>475</v>
      </c>
      <c r="C43" s="94"/>
      <c r="D43" s="94"/>
      <c r="E43" s="95" t="s">
        <v>469</v>
      </c>
    </row>
    <row r="44" customFormat="false" ht="30" hidden="false" customHeight="true" outlineLevel="0" collapsed="false">
      <c r="A44" s="96" t="s">
        <v>476</v>
      </c>
      <c r="B44" s="87" t="s">
        <v>477</v>
      </c>
      <c r="C44" s="87"/>
      <c r="D44" s="87"/>
      <c r="E44" s="90" t="s">
        <v>478</v>
      </c>
    </row>
    <row r="46" customFormat="false" ht="21.75" hidden="false" customHeight="true" outlineLevel="0" collapsed="false">
      <c r="A46" s="84" t="s">
        <v>479</v>
      </c>
      <c r="B46" s="84"/>
      <c r="C46" s="84"/>
      <c r="D46" s="84"/>
      <c r="E46" s="84"/>
    </row>
    <row r="47" customFormat="false" ht="15" hidden="false" customHeight="true" outlineLevel="0" collapsed="false">
      <c r="A47" s="70" t="s">
        <v>480</v>
      </c>
      <c r="B47" s="71" t="s">
        <v>402</v>
      </c>
      <c r="C47" s="72" t="s">
        <v>403</v>
      </c>
      <c r="D47" s="73" t="s">
        <v>404</v>
      </c>
      <c r="E47" s="70"/>
    </row>
    <row r="48" customFormat="false" ht="36" hidden="false" customHeight="true" outlineLevel="0" collapsed="false">
      <c r="A48" s="74" t="s">
        <v>481</v>
      </c>
      <c r="B48" s="97" t="s">
        <v>482</v>
      </c>
      <c r="C48" s="98" t="s">
        <v>483</v>
      </c>
      <c r="D48" s="99" t="s">
        <v>484</v>
      </c>
      <c r="E48" s="78"/>
    </row>
    <row r="49" customFormat="false" ht="36" hidden="false" customHeight="true" outlineLevel="0" collapsed="false">
      <c r="A49" s="79" t="s">
        <v>485</v>
      </c>
      <c r="B49" s="100" t="s">
        <v>486</v>
      </c>
      <c r="C49" s="101" t="s">
        <v>487</v>
      </c>
      <c r="D49" s="102" t="s">
        <v>488</v>
      </c>
      <c r="E49" s="83"/>
    </row>
    <row r="50" customFormat="false" ht="36" hidden="false" customHeight="true" outlineLevel="0" collapsed="false">
      <c r="A50" s="74" t="s">
        <v>489</v>
      </c>
      <c r="B50" s="97" t="s">
        <v>490</v>
      </c>
      <c r="C50" s="98" t="s">
        <v>491</v>
      </c>
      <c r="D50" s="99" t="s">
        <v>492</v>
      </c>
      <c r="E50" s="78"/>
    </row>
    <row r="51" customFormat="false" ht="36" hidden="false" customHeight="true" outlineLevel="0" collapsed="false">
      <c r="A51" s="79" t="s">
        <v>493</v>
      </c>
      <c r="B51" s="100" t="s">
        <v>494</v>
      </c>
      <c r="C51" s="101" t="s">
        <v>495</v>
      </c>
      <c r="D51" s="102" t="s">
        <v>496</v>
      </c>
      <c r="E51" s="83"/>
    </row>
    <row r="52" customFormat="false" ht="36" hidden="false" customHeight="true" outlineLevel="0" collapsed="false">
      <c r="A52" s="74" t="s">
        <v>497</v>
      </c>
      <c r="B52" s="97" t="s">
        <v>498</v>
      </c>
      <c r="C52" s="98" t="s">
        <v>499</v>
      </c>
      <c r="D52" s="99" t="s">
        <v>500</v>
      </c>
      <c r="E52" s="78"/>
    </row>
    <row r="54" customFormat="false" ht="21.75" hidden="false" customHeight="true" outlineLevel="0" collapsed="false">
      <c r="A54" s="69" t="s">
        <v>501</v>
      </c>
      <c r="B54" s="69"/>
      <c r="C54" s="69"/>
      <c r="D54" s="69"/>
      <c r="E54" s="69"/>
    </row>
    <row r="55" customFormat="false" ht="15" hidden="false" customHeight="true" outlineLevel="0" collapsed="false">
      <c r="A55" s="88" t="s">
        <v>502</v>
      </c>
      <c r="B55" s="70" t="s">
        <v>503</v>
      </c>
      <c r="C55" s="70" t="s">
        <v>504</v>
      </c>
      <c r="D55" s="70"/>
      <c r="E55" s="70"/>
    </row>
    <row r="56" customFormat="false" ht="39.75" hidden="false" customHeight="true" outlineLevel="0" collapsed="false">
      <c r="A56" s="103" t="s">
        <v>505</v>
      </c>
      <c r="B56" s="104" t="s">
        <v>506</v>
      </c>
      <c r="C56" s="86" t="s">
        <v>507</v>
      </c>
      <c r="D56" s="86"/>
      <c r="E56" s="86"/>
    </row>
    <row r="57" customFormat="false" ht="39.75" hidden="false" customHeight="true" outlineLevel="0" collapsed="false">
      <c r="A57" s="105" t="s">
        <v>508</v>
      </c>
      <c r="B57" s="106" t="s">
        <v>509</v>
      </c>
      <c r="C57" s="107" t="s">
        <v>510</v>
      </c>
      <c r="D57" s="107"/>
      <c r="E57" s="107"/>
    </row>
    <row r="58" customFormat="false" ht="39.75" hidden="false" customHeight="true" outlineLevel="0" collapsed="false">
      <c r="A58" s="108" t="s">
        <v>511</v>
      </c>
      <c r="B58" s="109" t="s">
        <v>512</v>
      </c>
      <c r="C58" s="110" t="s">
        <v>513</v>
      </c>
      <c r="D58" s="110"/>
      <c r="E58" s="110"/>
    </row>
    <row r="60" customFormat="false" ht="21.75" hidden="false" customHeight="true" outlineLevel="0" collapsed="false">
      <c r="A60" s="69" t="s">
        <v>514</v>
      </c>
      <c r="B60" s="69"/>
      <c r="C60" s="69"/>
      <c r="D60" s="69"/>
      <c r="E60" s="69"/>
    </row>
    <row r="61" customFormat="false" ht="15" hidden="false" customHeight="true" outlineLevel="0" collapsed="false">
      <c r="A61" s="88" t="s">
        <v>72</v>
      </c>
      <c r="B61" s="70" t="s">
        <v>75</v>
      </c>
      <c r="C61" s="88" t="s">
        <v>515</v>
      </c>
      <c r="D61" s="70" t="s">
        <v>516</v>
      </c>
      <c r="E61" s="88" t="s">
        <v>502</v>
      </c>
    </row>
    <row r="62" customFormat="false" ht="18" hidden="false" customHeight="true" outlineLevel="0" collapsed="false">
      <c r="A62" s="111" t="s">
        <v>517</v>
      </c>
      <c r="B62" s="112" t="s">
        <v>518</v>
      </c>
      <c r="C62" s="113" t="s">
        <v>402</v>
      </c>
      <c r="D62" s="89" t="s">
        <v>519</v>
      </c>
      <c r="E62" s="114" t="s">
        <v>520</v>
      </c>
    </row>
    <row r="63" customFormat="false" ht="18" hidden="false" customHeight="true" outlineLevel="0" collapsed="false">
      <c r="A63" s="115" t="s">
        <v>521</v>
      </c>
      <c r="B63" s="116" t="s">
        <v>522</v>
      </c>
      <c r="C63" s="113" t="s">
        <v>402</v>
      </c>
      <c r="D63" s="90" t="s">
        <v>523</v>
      </c>
      <c r="E63" s="114" t="s">
        <v>520</v>
      </c>
    </row>
    <row r="64" customFormat="false" ht="18" hidden="false" customHeight="true" outlineLevel="0" collapsed="false">
      <c r="A64" s="111" t="s">
        <v>524</v>
      </c>
      <c r="B64" s="112" t="s">
        <v>525</v>
      </c>
      <c r="C64" s="113" t="s">
        <v>402</v>
      </c>
      <c r="D64" s="89" t="s">
        <v>526</v>
      </c>
      <c r="E64" s="114" t="s">
        <v>520</v>
      </c>
    </row>
    <row r="65" customFormat="false" ht="18" hidden="false" customHeight="true" outlineLevel="0" collapsed="false">
      <c r="A65" s="115" t="s">
        <v>527</v>
      </c>
      <c r="B65" s="116" t="s">
        <v>528</v>
      </c>
      <c r="C65" s="113" t="s">
        <v>402</v>
      </c>
      <c r="D65" s="90" t="s">
        <v>529</v>
      </c>
      <c r="E65" s="114" t="s">
        <v>520</v>
      </c>
    </row>
    <row r="66" customFormat="false" ht="18" hidden="false" customHeight="true" outlineLevel="0" collapsed="false">
      <c r="A66" s="111" t="s">
        <v>530</v>
      </c>
      <c r="B66" s="112" t="s">
        <v>531</v>
      </c>
      <c r="C66" s="113" t="s">
        <v>402</v>
      </c>
      <c r="D66" s="89" t="s">
        <v>532</v>
      </c>
      <c r="E66" s="114" t="s">
        <v>520</v>
      </c>
    </row>
    <row r="67" customFormat="false" ht="18" hidden="false" customHeight="true" outlineLevel="0" collapsed="false">
      <c r="A67" s="115" t="s">
        <v>533</v>
      </c>
      <c r="B67" s="116" t="s">
        <v>534</v>
      </c>
      <c r="C67" s="113" t="s">
        <v>402</v>
      </c>
      <c r="D67" s="90" t="s">
        <v>535</v>
      </c>
      <c r="E67" s="105" t="s">
        <v>536</v>
      </c>
    </row>
    <row r="68" customFormat="false" ht="18" hidden="false" customHeight="true" outlineLevel="0" collapsed="false">
      <c r="A68" s="111" t="s">
        <v>537</v>
      </c>
      <c r="B68" s="112" t="s">
        <v>538</v>
      </c>
      <c r="C68" s="113" t="s">
        <v>402</v>
      </c>
      <c r="D68" s="89" t="s">
        <v>539</v>
      </c>
      <c r="E68" s="105" t="s">
        <v>536</v>
      </c>
    </row>
    <row r="69" customFormat="false" ht="18" hidden="false" customHeight="true" outlineLevel="0" collapsed="false">
      <c r="A69" s="115" t="s">
        <v>540</v>
      </c>
      <c r="B69" s="116" t="s">
        <v>541</v>
      </c>
      <c r="C69" s="113" t="s">
        <v>402</v>
      </c>
      <c r="D69" s="90" t="s">
        <v>542</v>
      </c>
      <c r="E69" s="114" t="s">
        <v>520</v>
      </c>
    </row>
    <row r="70" customFormat="false" ht="18" hidden="false" customHeight="true" outlineLevel="0" collapsed="false">
      <c r="A70" s="111" t="s">
        <v>543</v>
      </c>
      <c r="B70" s="112" t="s">
        <v>544</v>
      </c>
      <c r="C70" s="113" t="s">
        <v>402</v>
      </c>
      <c r="D70" s="89" t="s">
        <v>545</v>
      </c>
      <c r="E70" s="114" t="s">
        <v>520</v>
      </c>
    </row>
    <row r="71" customFormat="false" ht="18" hidden="false" customHeight="true" outlineLevel="0" collapsed="false">
      <c r="A71" s="115" t="s">
        <v>546</v>
      </c>
      <c r="B71" s="116" t="s">
        <v>547</v>
      </c>
      <c r="C71" s="113" t="s">
        <v>402</v>
      </c>
      <c r="D71" s="90" t="s">
        <v>548</v>
      </c>
      <c r="E71" s="105" t="s">
        <v>536</v>
      </c>
    </row>
    <row r="72" customFormat="false" ht="18" hidden="false" customHeight="true" outlineLevel="0" collapsed="false">
      <c r="A72" s="111" t="s">
        <v>549</v>
      </c>
      <c r="B72" s="112" t="s">
        <v>550</v>
      </c>
      <c r="C72" s="117" t="s">
        <v>403</v>
      </c>
      <c r="D72" s="89" t="s">
        <v>551</v>
      </c>
      <c r="E72" s="105" t="s">
        <v>536</v>
      </c>
    </row>
    <row r="73" customFormat="false" ht="18" hidden="false" customHeight="true" outlineLevel="0" collapsed="false">
      <c r="A73" s="115" t="s">
        <v>552</v>
      </c>
      <c r="B73" s="116" t="s">
        <v>553</v>
      </c>
      <c r="C73" s="117" t="s">
        <v>403</v>
      </c>
      <c r="D73" s="90" t="s">
        <v>554</v>
      </c>
      <c r="E73" s="114" t="s">
        <v>520</v>
      </c>
    </row>
    <row r="74" customFormat="false" ht="18" hidden="false" customHeight="true" outlineLevel="0" collapsed="false">
      <c r="A74" s="111" t="s">
        <v>555</v>
      </c>
      <c r="B74" s="112" t="s">
        <v>556</v>
      </c>
      <c r="C74" s="117" t="s">
        <v>403</v>
      </c>
      <c r="D74" s="89" t="s">
        <v>557</v>
      </c>
      <c r="E74" s="105" t="s">
        <v>536</v>
      </c>
    </row>
    <row r="75" customFormat="false" ht="18" hidden="false" customHeight="true" outlineLevel="0" collapsed="false">
      <c r="A75" s="115" t="s">
        <v>558</v>
      </c>
      <c r="B75" s="116" t="s">
        <v>559</v>
      </c>
      <c r="C75" s="117" t="s">
        <v>403</v>
      </c>
      <c r="D75" s="90" t="s">
        <v>560</v>
      </c>
      <c r="E75" s="105" t="s">
        <v>536</v>
      </c>
    </row>
    <row r="76" customFormat="false" ht="18" hidden="false" customHeight="true" outlineLevel="0" collapsed="false">
      <c r="A76" s="111" t="s">
        <v>561</v>
      </c>
      <c r="B76" s="112" t="s">
        <v>562</v>
      </c>
      <c r="C76" s="117" t="s">
        <v>403</v>
      </c>
      <c r="D76" s="89" t="s">
        <v>563</v>
      </c>
      <c r="E76" s="105" t="s">
        <v>536</v>
      </c>
    </row>
    <row r="77" customFormat="false" ht="18" hidden="false" customHeight="true" outlineLevel="0" collapsed="false">
      <c r="A77" s="115" t="s">
        <v>564</v>
      </c>
      <c r="B77" s="116" t="s">
        <v>565</v>
      </c>
      <c r="C77" s="117" t="s">
        <v>403</v>
      </c>
      <c r="D77" s="90" t="s">
        <v>566</v>
      </c>
      <c r="E77" s="114" t="s">
        <v>520</v>
      </c>
    </row>
    <row r="78" customFormat="false" ht="18" hidden="false" customHeight="true" outlineLevel="0" collapsed="false">
      <c r="A78" s="111" t="s">
        <v>567</v>
      </c>
      <c r="B78" s="112" t="s">
        <v>568</v>
      </c>
      <c r="C78" s="117" t="s">
        <v>403</v>
      </c>
      <c r="D78" s="89" t="s">
        <v>569</v>
      </c>
      <c r="E78" s="105" t="s">
        <v>536</v>
      </c>
    </row>
    <row r="79" customFormat="false" ht="18" hidden="false" customHeight="true" outlineLevel="0" collapsed="false">
      <c r="A79" s="115" t="s">
        <v>570</v>
      </c>
      <c r="B79" s="116" t="s">
        <v>571</v>
      </c>
      <c r="C79" s="117" t="s">
        <v>403</v>
      </c>
      <c r="D79" s="90" t="s">
        <v>572</v>
      </c>
      <c r="E79" s="105" t="s">
        <v>536</v>
      </c>
    </row>
    <row r="80" customFormat="false" ht="18" hidden="false" customHeight="true" outlineLevel="0" collapsed="false">
      <c r="A80" s="111" t="s">
        <v>573</v>
      </c>
      <c r="B80" s="112" t="s">
        <v>574</v>
      </c>
      <c r="C80" s="117" t="s">
        <v>403</v>
      </c>
      <c r="D80" s="89" t="s">
        <v>575</v>
      </c>
      <c r="E80" s="105" t="s">
        <v>536</v>
      </c>
    </row>
    <row r="81" customFormat="false" ht="18" hidden="false" customHeight="true" outlineLevel="0" collapsed="false">
      <c r="A81" s="115" t="s">
        <v>576</v>
      </c>
      <c r="B81" s="116" t="s">
        <v>577</v>
      </c>
      <c r="C81" s="117" t="s">
        <v>403</v>
      </c>
      <c r="D81" s="90" t="s">
        <v>578</v>
      </c>
      <c r="E81" s="105" t="s">
        <v>536</v>
      </c>
    </row>
    <row r="82" customFormat="false" ht="18" hidden="false" customHeight="true" outlineLevel="0" collapsed="false">
      <c r="A82" s="111" t="s">
        <v>579</v>
      </c>
      <c r="B82" s="112" t="s">
        <v>580</v>
      </c>
      <c r="C82" s="118" t="s">
        <v>404</v>
      </c>
      <c r="D82" s="89" t="s">
        <v>581</v>
      </c>
      <c r="E82" s="114" t="s">
        <v>520</v>
      </c>
    </row>
    <row r="83" customFormat="false" ht="18" hidden="false" customHeight="true" outlineLevel="0" collapsed="false">
      <c r="A83" s="115" t="s">
        <v>582</v>
      </c>
      <c r="B83" s="116" t="s">
        <v>583</v>
      </c>
      <c r="C83" s="118" t="s">
        <v>404</v>
      </c>
      <c r="D83" s="90" t="s">
        <v>584</v>
      </c>
      <c r="E83" s="114" t="s">
        <v>520</v>
      </c>
    </row>
    <row r="84" customFormat="false" ht="18" hidden="false" customHeight="true" outlineLevel="0" collapsed="false">
      <c r="A84" s="111" t="s">
        <v>585</v>
      </c>
      <c r="B84" s="112" t="s">
        <v>586</v>
      </c>
      <c r="C84" s="118" t="s">
        <v>404</v>
      </c>
      <c r="D84" s="89" t="s">
        <v>587</v>
      </c>
      <c r="E84" s="114" t="s">
        <v>520</v>
      </c>
    </row>
    <row r="85" customFormat="false" ht="18" hidden="false" customHeight="true" outlineLevel="0" collapsed="false">
      <c r="A85" s="115" t="s">
        <v>588</v>
      </c>
      <c r="B85" s="116" t="s">
        <v>589</v>
      </c>
      <c r="C85" s="118" t="s">
        <v>404</v>
      </c>
      <c r="D85" s="90" t="s">
        <v>590</v>
      </c>
      <c r="E85" s="105" t="s">
        <v>536</v>
      </c>
    </row>
    <row r="86" customFormat="false" ht="18" hidden="false" customHeight="true" outlineLevel="0" collapsed="false">
      <c r="A86" s="111" t="s">
        <v>591</v>
      </c>
      <c r="B86" s="112" t="s">
        <v>592</v>
      </c>
      <c r="C86" s="118" t="s">
        <v>404</v>
      </c>
      <c r="D86" s="89" t="s">
        <v>593</v>
      </c>
      <c r="E86" s="105" t="s">
        <v>536</v>
      </c>
    </row>
    <row r="87" customFormat="false" ht="18" hidden="false" customHeight="true" outlineLevel="0" collapsed="false">
      <c r="A87" s="115" t="s">
        <v>594</v>
      </c>
      <c r="B87" s="116" t="s">
        <v>595</v>
      </c>
      <c r="C87" s="118" t="s">
        <v>404</v>
      </c>
      <c r="D87" s="90" t="s">
        <v>596</v>
      </c>
      <c r="E87" s="105" t="s">
        <v>536</v>
      </c>
    </row>
    <row r="88" customFormat="false" ht="18" hidden="false" customHeight="true" outlineLevel="0" collapsed="false">
      <c r="A88" s="111" t="s">
        <v>597</v>
      </c>
      <c r="B88" s="112" t="s">
        <v>598</v>
      </c>
      <c r="C88" s="118" t="s">
        <v>404</v>
      </c>
      <c r="D88" s="89" t="s">
        <v>599</v>
      </c>
      <c r="E88" s="114" t="s">
        <v>520</v>
      </c>
    </row>
    <row r="89" customFormat="false" ht="18" hidden="false" customHeight="true" outlineLevel="0" collapsed="false">
      <c r="A89" s="115" t="s">
        <v>600</v>
      </c>
      <c r="B89" s="116" t="s">
        <v>601</v>
      </c>
      <c r="C89" s="118" t="s">
        <v>404</v>
      </c>
      <c r="D89" s="90" t="s">
        <v>602</v>
      </c>
      <c r="E89" s="114" t="s">
        <v>520</v>
      </c>
    </row>
    <row r="90" customFormat="false" ht="18" hidden="false" customHeight="true" outlineLevel="0" collapsed="false">
      <c r="A90" s="111" t="s">
        <v>603</v>
      </c>
      <c r="B90" s="112" t="s">
        <v>604</v>
      </c>
      <c r="C90" s="118" t="s">
        <v>404</v>
      </c>
      <c r="D90" s="89" t="s">
        <v>605</v>
      </c>
      <c r="E90" s="108" t="s">
        <v>606</v>
      </c>
    </row>
    <row r="91" customFormat="false" ht="18" hidden="false" customHeight="true" outlineLevel="0" collapsed="false">
      <c r="A91" s="115" t="s">
        <v>607</v>
      </c>
      <c r="B91" s="116" t="s">
        <v>608</v>
      </c>
      <c r="C91" s="118" t="s">
        <v>404</v>
      </c>
      <c r="D91" s="90" t="s">
        <v>609</v>
      </c>
      <c r="E91" s="105" t="s">
        <v>536</v>
      </c>
    </row>
    <row r="94" customFormat="false" ht="15.75" hidden="false" customHeight="true" outlineLevel="0" collapsed="false">
      <c r="A94" s="119" t="s">
        <v>610</v>
      </c>
      <c r="B94" s="119"/>
      <c r="C94" s="119"/>
      <c r="D94" s="119"/>
      <c r="E94" s="119"/>
    </row>
  </sheetData>
  <mergeCells count="29">
    <mergeCell ref="A1:E1"/>
    <mergeCell ref="A2:E2"/>
    <mergeCell ref="A4:E4"/>
    <mergeCell ref="A14:E14"/>
    <mergeCell ref="B15:E15"/>
    <mergeCell ref="B16:E16"/>
    <mergeCell ref="B17:E17"/>
    <mergeCell ref="B18:E18"/>
    <mergeCell ref="B19:E19"/>
    <mergeCell ref="B20:E20"/>
    <mergeCell ref="A22:E22"/>
    <mergeCell ref="A35:E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A46:E46"/>
    <mergeCell ref="A54:E54"/>
    <mergeCell ref="C55:E55"/>
    <mergeCell ref="C56:E56"/>
    <mergeCell ref="C57:E57"/>
    <mergeCell ref="C58:E58"/>
    <mergeCell ref="A60:E60"/>
    <mergeCell ref="A94:E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8"/>
    <col collapsed="false" customWidth="true" hidden="false" outlineLevel="0" max="12" min="3" style="1" width="18"/>
    <col collapsed="false" customWidth="true" hidden="false" outlineLevel="0" max="15" min="13" style="1" width="22"/>
  </cols>
  <sheetData>
    <row r="1" customFormat="false" ht="31.5" hidden="false" customHeight="true" outlineLevel="0" collapsed="false">
      <c r="A1" s="120" t="s">
        <v>236</v>
      </c>
      <c r="B1" s="120" t="s">
        <v>237</v>
      </c>
      <c r="C1" s="120" t="s">
        <v>230</v>
      </c>
      <c r="D1" s="120" t="s">
        <v>611</v>
      </c>
      <c r="E1" s="120" t="s">
        <v>612</v>
      </c>
      <c r="F1" s="120" t="s">
        <v>613</v>
      </c>
      <c r="G1" s="120" t="s">
        <v>614</v>
      </c>
      <c r="H1" s="120" t="s">
        <v>615</v>
      </c>
      <c r="I1" s="120" t="s">
        <v>616</v>
      </c>
      <c r="J1" s="120" t="s">
        <v>617</v>
      </c>
      <c r="K1" s="120" t="s">
        <v>618</v>
      </c>
      <c r="L1" s="120" t="s">
        <v>619</v>
      </c>
      <c r="M1" s="121" t="s">
        <v>620</v>
      </c>
      <c r="N1" s="122" t="s">
        <v>621</v>
      </c>
      <c r="O1" s="123" t="s">
        <v>622</v>
      </c>
    </row>
    <row r="2" customFormat="false" ht="48" hidden="false" customHeight="true" outlineLevel="0" collapsed="false">
      <c r="A2" s="124" t="s">
        <v>623</v>
      </c>
      <c r="B2" s="125" t="s">
        <v>624</v>
      </c>
      <c r="C2" s="126" t="s">
        <v>625</v>
      </c>
      <c r="D2" s="126" t="s">
        <v>626</v>
      </c>
      <c r="E2" s="126" t="s">
        <v>627</v>
      </c>
      <c r="F2" s="126" t="s">
        <v>628</v>
      </c>
      <c r="G2" s="126" t="s">
        <v>629</v>
      </c>
      <c r="H2" s="126" t="s">
        <v>630</v>
      </c>
      <c r="I2" s="126" t="s">
        <v>631</v>
      </c>
      <c r="J2" s="126" t="s">
        <v>631</v>
      </c>
      <c r="K2" s="126" t="s">
        <v>631</v>
      </c>
      <c r="L2" s="126" t="s">
        <v>631</v>
      </c>
      <c r="M2" s="127" t="s">
        <v>632</v>
      </c>
      <c r="N2" s="128" t="s">
        <v>633</v>
      </c>
      <c r="O2" s="129" t="s">
        <v>634</v>
      </c>
    </row>
    <row r="3" customFormat="false" ht="15" hidden="false" customHeight="true" outlineLevel="0" collapsed="false">
      <c r="A3" s="130" t="s">
        <v>635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</row>
    <row r="4" customFormat="false" ht="15" hidden="false" customHeight="true" outlineLevel="0" collapsed="false">
      <c r="A4" s="124" t="s">
        <v>242</v>
      </c>
      <c r="B4" s="63" t="s">
        <v>243</v>
      </c>
      <c r="C4" s="131" t="s">
        <v>244</v>
      </c>
      <c r="D4" s="131" t="s">
        <v>233</v>
      </c>
      <c r="E4" s="131" t="s">
        <v>244</v>
      </c>
      <c r="F4" s="131" t="s">
        <v>244</v>
      </c>
      <c r="G4" s="131" t="s">
        <v>233</v>
      </c>
      <c r="H4" s="131" t="s">
        <v>244</v>
      </c>
      <c r="I4" s="131" t="s">
        <v>244</v>
      </c>
      <c r="J4" s="131" t="s">
        <v>244</v>
      </c>
      <c r="K4" s="131" t="s">
        <v>244</v>
      </c>
      <c r="L4" s="131" t="s">
        <v>244</v>
      </c>
      <c r="M4" s="132" t="s">
        <v>233</v>
      </c>
      <c r="N4" s="132" t="s">
        <v>233</v>
      </c>
      <c r="O4" s="133" t="s">
        <v>244</v>
      </c>
    </row>
    <row r="5" customFormat="false" ht="15" hidden="false" customHeight="true" outlineLevel="0" collapsed="false">
      <c r="A5" s="124" t="s">
        <v>245</v>
      </c>
      <c r="B5" s="63" t="s">
        <v>246</v>
      </c>
      <c r="C5" s="131" t="s">
        <v>244</v>
      </c>
      <c r="D5" s="131" t="s">
        <v>244</v>
      </c>
      <c r="E5" s="131" t="s">
        <v>233</v>
      </c>
      <c r="F5" s="131" t="s">
        <v>233</v>
      </c>
      <c r="G5" s="131" t="s">
        <v>244</v>
      </c>
      <c r="H5" s="131" t="s">
        <v>233</v>
      </c>
      <c r="I5" s="131" t="s">
        <v>244</v>
      </c>
      <c r="J5" s="131" t="s">
        <v>244</v>
      </c>
      <c r="K5" s="131" t="s">
        <v>244</v>
      </c>
      <c r="L5" s="131" t="s">
        <v>244</v>
      </c>
      <c r="M5" s="132" t="s">
        <v>233</v>
      </c>
      <c r="N5" s="132" t="s">
        <v>233</v>
      </c>
      <c r="O5" s="132" t="s">
        <v>233</v>
      </c>
    </row>
    <row r="6" customFormat="false" ht="15" hidden="false" customHeight="true" outlineLevel="0" collapsed="false">
      <c r="A6" s="124" t="s">
        <v>247</v>
      </c>
      <c r="B6" s="63" t="s">
        <v>248</v>
      </c>
      <c r="C6" s="131" t="s">
        <v>244</v>
      </c>
      <c r="D6" s="131" t="s">
        <v>233</v>
      </c>
      <c r="E6" s="131" t="s">
        <v>244</v>
      </c>
      <c r="F6" s="131" t="s">
        <v>233</v>
      </c>
      <c r="G6" s="131" t="s">
        <v>233</v>
      </c>
      <c r="H6" s="131" t="s">
        <v>244</v>
      </c>
      <c r="I6" s="131" t="s">
        <v>244</v>
      </c>
      <c r="J6" s="131" t="s">
        <v>244</v>
      </c>
      <c r="K6" s="131" t="s">
        <v>244</v>
      </c>
      <c r="L6" s="131" t="s">
        <v>244</v>
      </c>
      <c r="M6" s="132" t="s">
        <v>233</v>
      </c>
      <c r="N6" s="132" t="s">
        <v>233</v>
      </c>
      <c r="O6" s="133" t="s">
        <v>244</v>
      </c>
    </row>
    <row r="7" customFormat="false" ht="15" hidden="false" customHeight="true" outlineLevel="0" collapsed="false">
      <c r="A7" s="124" t="s">
        <v>249</v>
      </c>
      <c r="B7" s="63" t="s">
        <v>250</v>
      </c>
      <c r="C7" s="131" t="s">
        <v>244</v>
      </c>
      <c r="D7" s="131" t="s">
        <v>233</v>
      </c>
      <c r="E7" s="131" t="s">
        <v>244</v>
      </c>
      <c r="F7" s="131" t="s">
        <v>244</v>
      </c>
      <c r="G7" s="131" t="s">
        <v>233</v>
      </c>
      <c r="H7" s="131" t="s">
        <v>244</v>
      </c>
      <c r="I7" s="131" t="s">
        <v>244</v>
      </c>
      <c r="J7" s="131" t="s">
        <v>244</v>
      </c>
      <c r="K7" s="131" t="s">
        <v>244</v>
      </c>
      <c r="L7" s="131" t="s">
        <v>244</v>
      </c>
      <c r="M7" s="132" t="s">
        <v>233</v>
      </c>
      <c r="N7" s="132" t="s">
        <v>233</v>
      </c>
      <c r="O7" s="132" t="s">
        <v>233</v>
      </c>
    </row>
    <row r="8" customFormat="false" ht="15" hidden="false" customHeight="true" outlineLevel="0" collapsed="false">
      <c r="A8" s="124" t="s">
        <v>251</v>
      </c>
      <c r="B8" s="63" t="s">
        <v>252</v>
      </c>
      <c r="C8" s="131" t="s">
        <v>244</v>
      </c>
      <c r="D8" s="131" t="s">
        <v>244</v>
      </c>
      <c r="E8" s="131" t="s">
        <v>244</v>
      </c>
      <c r="F8" s="131" t="s">
        <v>233</v>
      </c>
      <c r="G8" s="131" t="s">
        <v>233</v>
      </c>
      <c r="H8" s="131" t="s">
        <v>244</v>
      </c>
      <c r="I8" s="131" t="s">
        <v>244</v>
      </c>
      <c r="J8" s="131" t="s">
        <v>244</v>
      </c>
      <c r="K8" s="131" t="s">
        <v>244</v>
      </c>
      <c r="L8" s="131" t="s">
        <v>244</v>
      </c>
      <c r="M8" s="132" t="s">
        <v>233</v>
      </c>
      <c r="N8" s="133" t="s">
        <v>244</v>
      </c>
      <c r="O8" s="133" t="s">
        <v>244</v>
      </c>
    </row>
    <row r="9" customFormat="false" ht="15" hidden="false" customHeight="true" outlineLevel="0" collapsed="false">
      <c r="A9" s="124" t="s">
        <v>253</v>
      </c>
      <c r="B9" s="63" t="s">
        <v>254</v>
      </c>
      <c r="C9" s="131" t="s">
        <v>244</v>
      </c>
      <c r="D9" s="131" t="s">
        <v>233</v>
      </c>
      <c r="E9" s="131" t="s">
        <v>244</v>
      </c>
      <c r="F9" s="131" t="s">
        <v>233</v>
      </c>
      <c r="G9" s="131" t="s">
        <v>233</v>
      </c>
      <c r="H9" s="131" t="s">
        <v>244</v>
      </c>
      <c r="I9" s="131" t="s">
        <v>244</v>
      </c>
      <c r="J9" s="131" t="s">
        <v>244</v>
      </c>
      <c r="K9" s="131" t="s">
        <v>244</v>
      </c>
      <c r="L9" s="131" t="s">
        <v>244</v>
      </c>
      <c r="M9" s="132" t="s">
        <v>233</v>
      </c>
      <c r="N9" s="132" t="s">
        <v>233</v>
      </c>
      <c r="O9" s="132" t="s">
        <v>233</v>
      </c>
    </row>
    <row r="10" customFormat="false" ht="15" hidden="false" customHeight="true" outlineLevel="0" collapsed="false">
      <c r="A10" s="124" t="s">
        <v>255</v>
      </c>
      <c r="B10" s="63" t="s">
        <v>256</v>
      </c>
      <c r="C10" s="131" t="s">
        <v>244</v>
      </c>
      <c r="D10" s="131" t="s">
        <v>233</v>
      </c>
      <c r="E10" s="131" t="s">
        <v>244</v>
      </c>
      <c r="F10" s="131" t="s">
        <v>233</v>
      </c>
      <c r="G10" s="131" t="s">
        <v>233</v>
      </c>
      <c r="H10" s="131" t="s">
        <v>244</v>
      </c>
      <c r="I10" s="131" t="s">
        <v>244</v>
      </c>
      <c r="J10" s="131" t="s">
        <v>244</v>
      </c>
      <c r="K10" s="131" t="s">
        <v>244</v>
      </c>
      <c r="L10" s="131" t="s">
        <v>244</v>
      </c>
      <c r="M10" s="132" t="s">
        <v>233</v>
      </c>
      <c r="N10" s="132" t="s">
        <v>233</v>
      </c>
      <c r="O10" s="132" t="s">
        <v>233</v>
      </c>
    </row>
    <row r="11" customFormat="false" ht="15" hidden="false" customHeight="true" outlineLevel="0" collapsed="false">
      <c r="A11" s="124" t="s">
        <v>257</v>
      </c>
      <c r="B11" s="63" t="s">
        <v>258</v>
      </c>
      <c r="C11" s="131" t="s">
        <v>244</v>
      </c>
      <c r="D11" s="131" t="s">
        <v>233</v>
      </c>
      <c r="E11" s="131" t="s">
        <v>244</v>
      </c>
      <c r="F11" s="131" t="s">
        <v>233</v>
      </c>
      <c r="G11" s="131" t="s">
        <v>233</v>
      </c>
      <c r="H11" s="131" t="s">
        <v>233</v>
      </c>
      <c r="I11" s="131" t="s">
        <v>244</v>
      </c>
      <c r="J11" s="131" t="s">
        <v>244</v>
      </c>
      <c r="K11" s="131" t="s">
        <v>244</v>
      </c>
      <c r="L11" s="131" t="s">
        <v>244</v>
      </c>
      <c r="M11" s="132" t="s">
        <v>233</v>
      </c>
      <c r="N11" s="132" t="s">
        <v>233</v>
      </c>
      <c r="O11" s="132" t="s">
        <v>233</v>
      </c>
    </row>
    <row r="12" customFormat="false" ht="15" hidden="false" customHeight="true" outlineLevel="0" collapsed="false">
      <c r="A12" s="124" t="s">
        <v>259</v>
      </c>
      <c r="B12" s="63" t="s">
        <v>260</v>
      </c>
      <c r="C12" s="131" t="s">
        <v>244</v>
      </c>
      <c r="D12" s="131" t="s">
        <v>244</v>
      </c>
      <c r="E12" s="131" t="s">
        <v>244</v>
      </c>
      <c r="F12" s="131" t="s">
        <v>233</v>
      </c>
      <c r="G12" s="131" t="s">
        <v>244</v>
      </c>
      <c r="H12" s="131" t="s">
        <v>233</v>
      </c>
      <c r="I12" s="131" t="s">
        <v>244</v>
      </c>
      <c r="J12" s="131" t="s">
        <v>244</v>
      </c>
      <c r="K12" s="131" t="s">
        <v>244</v>
      </c>
      <c r="L12" s="131" t="s">
        <v>244</v>
      </c>
      <c r="M12" s="132" t="s">
        <v>233</v>
      </c>
      <c r="N12" s="132" t="s">
        <v>233</v>
      </c>
      <c r="O12" s="132" t="s">
        <v>233</v>
      </c>
    </row>
    <row r="13" customFormat="false" ht="15" hidden="false" customHeight="true" outlineLevel="0" collapsed="false">
      <c r="A13" s="124" t="s">
        <v>261</v>
      </c>
      <c r="B13" s="63" t="s">
        <v>262</v>
      </c>
      <c r="C13" s="131" t="s">
        <v>244</v>
      </c>
      <c r="D13" s="131" t="s">
        <v>233</v>
      </c>
      <c r="E13" s="131" t="s">
        <v>233</v>
      </c>
      <c r="F13" s="131" t="s">
        <v>244</v>
      </c>
      <c r="G13" s="131" t="s">
        <v>244</v>
      </c>
      <c r="H13" s="131" t="s">
        <v>244</v>
      </c>
      <c r="I13" s="131" t="s">
        <v>244</v>
      </c>
      <c r="J13" s="131" t="s">
        <v>244</v>
      </c>
      <c r="K13" s="131" t="s">
        <v>244</v>
      </c>
      <c r="L13" s="131" t="s">
        <v>244</v>
      </c>
      <c r="M13" s="132" t="s">
        <v>233</v>
      </c>
      <c r="N13" s="132" t="s">
        <v>233</v>
      </c>
      <c r="O13" s="132" t="s">
        <v>233</v>
      </c>
    </row>
    <row r="14" customFormat="false" ht="15" hidden="false" customHeight="true" outlineLevel="0" collapsed="false">
      <c r="A14" s="124" t="s">
        <v>263</v>
      </c>
      <c r="B14" s="63" t="s">
        <v>264</v>
      </c>
      <c r="C14" s="131" t="s">
        <v>244</v>
      </c>
      <c r="D14" s="131" t="s">
        <v>244</v>
      </c>
      <c r="E14" s="131" t="s">
        <v>233</v>
      </c>
      <c r="F14" s="131" t="s">
        <v>244</v>
      </c>
      <c r="G14" s="131" t="s">
        <v>233</v>
      </c>
      <c r="H14" s="131" t="s">
        <v>233</v>
      </c>
      <c r="I14" s="131" t="s">
        <v>244</v>
      </c>
      <c r="J14" s="131" t="s">
        <v>244</v>
      </c>
      <c r="K14" s="131" t="s">
        <v>244</v>
      </c>
      <c r="L14" s="131" t="s">
        <v>244</v>
      </c>
      <c r="M14" s="133" t="s">
        <v>244</v>
      </c>
      <c r="N14" s="133" t="s">
        <v>244</v>
      </c>
      <c r="O14" s="133" t="s">
        <v>244</v>
      </c>
    </row>
    <row r="15" customFormat="false" ht="15" hidden="false" customHeight="true" outlineLevel="0" collapsed="false">
      <c r="A15" s="124" t="s">
        <v>265</v>
      </c>
      <c r="B15" s="63" t="s">
        <v>266</v>
      </c>
      <c r="C15" s="131" t="s">
        <v>244</v>
      </c>
      <c r="D15" s="131" t="s">
        <v>244</v>
      </c>
      <c r="E15" s="131" t="s">
        <v>233</v>
      </c>
      <c r="F15" s="131" t="s">
        <v>233</v>
      </c>
      <c r="G15" s="131" t="s">
        <v>244</v>
      </c>
      <c r="H15" s="131" t="s">
        <v>233</v>
      </c>
      <c r="I15" s="131" t="s">
        <v>244</v>
      </c>
      <c r="J15" s="131" t="s">
        <v>244</v>
      </c>
      <c r="K15" s="131" t="s">
        <v>244</v>
      </c>
      <c r="L15" s="131" t="s">
        <v>244</v>
      </c>
      <c r="M15" s="133" t="s">
        <v>244</v>
      </c>
      <c r="N15" s="133" t="s">
        <v>244</v>
      </c>
      <c r="O15" s="133" t="s">
        <v>244</v>
      </c>
    </row>
    <row r="16" customFormat="false" ht="15" hidden="false" customHeight="true" outlineLevel="0" collapsed="false">
      <c r="A16" s="124" t="s">
        <v>267</v>
      </c>
      <c r="B16" s="63" t="s">
        <v>268</v>
      </c>
      <c r="C16" s="131" t="s">
        <v>244</v>
      </c>
      <c r="D16" s="131" t="s">
        <v>244</v>
      </c>
      <c r="E16" s="131" t="s">
        <v>244</v>
      </c>
      <c r="F16" s="131" t="s">
        <v>244</v>
      </c>
      <c r="G16" s="131" t="s">
        <v>244</v>
      </c>
      <c r="H16" s="131" t="s">
        <v>244</v>
      </c>
      <c r="I16" s="131" t="s">
        <v>244</v>
      </c>
      <c r="J16" s="131" t="s">
        <v>244</v>
      </c>
      <c r="K16" s="131" t="s">
        <v>244</v>
      </c>
      <c r="L16" s="131" t="s">
        <v>244</v>
      </c>
      <c r="M16" s="133" t="s">
        <v>244</v>
      </c>
      <c r="N16" s="133" t="s">
        <v>244</v>
      </c>
      <c r="O16" s="133" t="s">
        <v>244</v>
      </c>
    </row>
    <row r="17" customFormat="false" ht="15" hidden="false" customHeight="true" outlineLevel="0" collapsed="false">
      <c r="A17" s="124" t="s">
        <v>269</v>
      </c>
      <c r="B17" s="63" t="s">
        <v>270</v>
      </c>
      <c r="C17" s="131" t="s">
        <v>244</v>
      </c>
      <c r="D17" s="131" t="s">
        <v>233</v>
      </c>
      <c r="E17" s="131" t="s">
        <v>244</v>
      </c>
      <c r="F17" s="131" t="s">
        <v>233</v>
      </c>
      <c r="G17" s="131" t="s">
        <v>233</v>
      </c>
      <c r="H17" s="131" t="s">
        <v>244</v>
      </c>
      <c r="I17" s="131" t="s">
        <v>244</v>
      </c>
      <c r="J17" s="131" t="s">
        <v>244</v>
      </c>
      <c r="K17" s="131" t="s">
        <v>244</v>
      </c>
      <c r="L17" s="131" t="s">
        <v>244</v>
      </c>
      <c r="M17" s="132" t="s">
        <v>233</v>
      </c>
      <c r="N17" s="132" t="s">
        <v>233</v>
      </c>
      <c r="O17" s="132" t="s">
        <v>233</v>
      </c>
    </row>
    <row r="18" customFormat="false" ht="15" hidden="false" customHeight="true" outlineLevel="0" collapsed="false">
      <c r="A18" s="124" t="s">
        <v>271</v>
      </c>
      <c r="B18" s="63" t="s">
        <v>272</v>
      </c>
      <c r="C18" s="131" t="s">
        <v>244</v>
      </c>
      <c r="D18" s="131" t="s">
        <v>233</v>
      </c>
      <c r="E18" s="131" t="s">
        <v>233</v>
      </c>
      <c r="F18" s="131" t="s">
        <v>244</v>
      </c>
      <c r="G18" s="131" t="s">
        <v>233</v>
      </c>
      <c r="H18" s="131" t="s">
        <v>233</v>
      </c>
      <c r="I18" s="131" t="s">
        <v>244</v>
      </c>
      <c r="J18" s="131" t="s">
        <v>244</v>
      </c>
      <c r="K18" s="131" t="s">
        <v>244</v>
      </c>
      <c r="L18" s="131" t="s">
        <v>244</v>
      </c>
      <c r="M18" s="132" t="s">
        <v>233</v>
      </c>
      <c r="N18" s="133" t="s">
        <v>244</v>
      </c>
      <c r="O18" s="133" t="s">
        <v>244</v>
      </c>
    </row>
    <row r="19" customFormat="false" ht="15" hidden="false" customHeight="true" outlineLevel="0" collapsed="false">
      <c r="A19" s="124" t="s">
        <v>273</v>
      </c>
      <c r="B19" s="63" t="s">
        <v>274</v>
      </c>
      <c r="C19" s="131" t="s">
        <v>244</v>
      </c>
      <c r="D19" s="131" t="s">
        <v>233</v>
      </c>
      <c r="E19" s="131" t="s">
        <v>244</v>
      </c>
      <c r="F19" s="131" t="s">
        <v>233</v>
      </c>
      <c r="G19" s="131" t="s">
        <v>233</v>
      </c>
      <c r="H19" s="131" t="s">
        <v>244</v>
      </c>
      <c r="I19" s="131" t="s">
        <v>244</v>
      </c>
      <c r="J19" s="131" t="s">
        <v>244</v>
      </c>
      <c r="K19" s="131" t="s">
        <v>244</v>
      </c>
      <c r="L19" s="131" t="s">
        <v>244</v>
      </c>
      <c r="M19" s="132" t="s">
        <v>233</v>
      </c>
      <c r="N19" s="133" t="s">
        <v>244</v>
      </c>
      <c r="O19" s="133" t="s">
        <v>244</v>
      </c>
    </row>
    <row r="20" customFormat="false" ht="15" hidden="false" customHeight="true" outlineLevel="0" collapsed="false">
      <c r="A20" s="124" t="s">
        <v>275</v>
      </c>
      <c r="B20" s="63" t="s">
        <v>276</v>
      </c>
      <c r="C20" s="131" t="s">
        <v>244</v>
      </c>
      <c r="D20" s="131" t="s">
        <v>244</v>
      </c>
      <c r="E20" s="131" t="s">
        <v>244</v>
      </c>
      <c r="F20" s="131" t="s">
        <v>244</v>
      </c>
      <c r="G20" s="131" t="s">
        <v>233</v>
      </c>
      <c r="H20" s="131" t="s">
        <v>244</v>
      </c>
      <c r="I20" s="131" t="s">
        <v>244</v>
      </c>
      <c r="J20" s="131" t="s">
        <v>244</v>
      </c>
      <c r="K20" s="131" t="s">
        <v>244</v>
      </c>
      <c r="L20" s="131" t="s">
        <v>244</v>
      </c>
      <c r="M20" s="132" t="s">
        <v>233</v>
      </c>
      <c r="N20" s="133" t="s">
        <v>244</v>
      </c>
      <c r="O20" s="133" t="s">
        <v>244</v>
      </c>
    </row>
    <row r="21" customFormat="false" ht="15" hidden="false" customHeight="true" outlineLevel="0" collapsed="false">
      <c r="A21" s="124" t="s">
        <v>277</v>
      </c>
      <c r="B21" s="63" t="s">
        <v>278</v>
      </c>
      <c r="C21" s="131" t="s">
        <v>244</v>
      </c>
      <c r="D21" s="131" t="s">
        <v>233</v>
      </c>
      <c r="E21" s="131" t="s">
        <v>233</v>
      </c>
      <c r="F21" s="131" t="s">
        <v>233</v>
      </c>
      <c r="G21" s="131" t="s">
        <v>233</v>
      </c>
      <c r="H21" s="131" t="s">
        <v>233</v>
      </c>
      <c r="I21" s="131" t="s">
        <v>244</v>
      </c>
      <c r="J21" s="131" t="s">
        <v>244</v>
      </c>
      <c r="K21" s="131" t="s">
        <v>244</v>
      </c>
      <c r="L21" s="131" t="s">
        <v>244</v>
      </c>
      <c r="M21" s="132" t="s">
        <v>233</v>
      </c>
      <c r="N21" s="132" t="s">
        <v>233</v>
      </c>
      <c r="O21" s="132" t="s">
        <v>233</v>
      </c>
    </row>
    <row r="22" customFormat="false" ht="15" hidden="false" customHeight="true" outlineLevel="0" collapsed="false">
      <c r="A22" s="124" t="s">
        <v>279</v>
      </c>
      <c r="B22" s="63" t="s">
        <v>280</v>
      </c>
      <c r="C22" s="131" t="s">
        <v>244</v>
      </c>
      <c r="D22" s="131" t="s">
        <v>244</v>
      </c>
      <c r="E22" s="131" t="s">
        <v>233</v>
      </c>
      <c r="F22" s="131" t="s">
        <v>233</v>
      </c>
      <c r="G22" s="131" t="s">
        <v>233</v>
      </c>
      <c r="H22" s="131" t="s">
        <v>233</v>
      </c>
      <c r="I22" s="131" t="s">
        <v>244</v>
      </c>
      <c r="J22" s="131" t="s">
        <v>244</v>
      </c>
      <c r="K22" s="131" t="s">
        <v>244</v>
      </c>
      <c r="L22" s="131" t="s">
        <v>244</v>
      </c>
      <c r="M22" s="133" t="s">
        <v>244</v>
      </c>
      <c r="N22" s="133" t="s">
        <v>244</v>
      </c>
      <c r="O22" s="133" t="s">
        <v>244</v>
      </c>
    </row>
    <row r="23" customFormat="false" ht="15" hidden="false" customHeight="true" outlineLevel="0" collapsed="false">
      <c r="A23" s="124" t="s">
        <v>281</v>
      </c>
      <c r="B23" s="63" t="s">
        <v>282</v>
      </c>
      <c r="C23" s="131" t="s">
        <v>244</v>
      </c>
      <c r="D23" s="131" t="s">
        <v>233</v>
      </c>
      <c r="E23" s="131" t="s">
        <v>244</v>
      </c>
      <c r="F23" s="131" t="s">
        <v>233</v>
      </c>
      <c r="G23" s="131" t="s">
        <v>233</v>
      </c>
      <c r="H23" s="131" t="s">
        <v>244</v>
      </c>
      <c r="I23" s="131" t="s">
        <v>244</v>
      </c>
      <c r="J23" s="131" t="s">
        <v>244</v>
      </c>
      <c r="K23" s="131" t="s">
        <v>244</v>
      </c>
      <c r="L23" s="131" t="s">
        <v>244</v>
      </c>
      <c r="M23" s="132" t="s">
        <v>233</v>
      </c>
      <c r="N23" s="132" t="s">
        <v>233</v>
      </c>
      <c r="O23" s="133" t="s">
        <v>244</v>
      </c>
    </row>
    <row r="24" customFormat="false" ht="15" hidden="false" customHeight="true" outlineLevel="0" collapsed="false">
      <c r="A24" s="124" t="s">
        <v>283</v>
      </c>
      <c r="B24" s="63" t="s">
        <v>284</v>
      </c>
      <c r="C24" s="131" t="s">
        <v>244</v>
      </c>
      <c r="D24" s="131" t="s">
        <v>233</v>
      </c>
      <c r="E24" s="131" t="s">
        <v>233</v>
      </c>
      <c r="F24" s="131" t="s">
        <v>244</v>
      </c>
      <c r="G24" s="131" t="s">
        <v>233</v>
      </c>
      <c r="H24" s="131" t="s">
        <v>233</v>
      </c>
      <c r="I24" s="131" t="s">
        <v>244</v>
      </c>
      <c r="J24" s="131" t="s">
        <v>244</v>
      </c>
      <c r="K24" s="131" t="s">
        <v>244</v>
      </c>
      <c r="L24" s="131" t="s">
        <v>244</v>
      </c>
      <c r="M24" s="132" t="s">
        <v>233</v>
      </c>
      <c r="N24" s="132" t="s">
        <v>233</v>
      </c>
      <c r="O24" s="132" t="s">
        <v>233</v>
      </c>
    </row>
    <row r="25" customFormat="false" ht="15" hidden="false" customHeight="true" outlineLevel="0" collapsed="false">
      <c r="A25" s="124" t="s">
        <v>285</v>
      </c>
      <c r="B25" s="63" t="s">
        <v>286</v>
      </c>
      <c r="C25" s="131" t="s">
        <v>244</v>
      </c>
      <c r="D25" s="131" t="s">
        <v>244</v>
      </c>
      <c r="E25" s="131" t="s">
        <v>244</v>
      </c>
      <c r="F25" s="131" t="s">
        <v>233</v>
      </c>
      <c r="G25" s="131" t="s">
        <v>244</v>
      </c>
      <c r="H25" s="131" t="s">
        <v>244</v>
      </c>
      <c r="I25" s="131" t="s">
        <v>244</v>
      </c>
      <c r="J25" s="131" t="s">
        <v>244</v>
      </c>
      <c r="K25" s="131" t="s">
        <v>244</v>
      </c>
      <c r="L25" s="131" t="s">
        <v>244</v>
      </c>
      <c r="M25" s="133" t="s">
        <v>244</v>
      </c>
      <c r="N25" s="133" t="s">
        <v>244</v>
      </c>
      <c r="O25" s="133" t="s">
        <v>244</v>
      </c>
    </row>
    <row r="26" customFormat="false" ht="15" hidden="false" customHeight="true" outlineLevel="0" collapsed="false">
      <c r="A26" s="124" t="s">
        <v>287</v>
      </c>
      <c r="B26" s="63" t="s">
        <v>288</v>
      </c>
      <c r="C26" s="131" t="s">
        <v>244</v>
      </c>
      <c r="D26" s="131" t="s">
        <v>233</v>
      </c>
      <c r="E26" s="131" t="s">
        <v>233</v>
      </c>
      <c r="F26" s="131" t="s">
        <v>233</v>
      </c>
      <c r="G26" s="131" t="s">
        <v>233</v>
      </c>
      <c r="H26" s="131" t="s">
        <v>233</v>
      </c>
      <c r="I26" s="131" t="s">
        <v>244</v>
      </c>
      <c r="J26" s="131" t="s">
        <v>244</v>
      </c>
      <c r="K26" s="131" t="s">
        <v>244</v>
      </c>
      <c r="L26" s="131" t="s">
        <v>244</v>
      </c>
      <c r="M26" s="132" t="s">
        <v>233</v>
      </c>
      <c r="N26" s="132" t="s">
        <v>233</v>
      </c>
      <c r="O26" s="132" t="s">
        <v>233</v>
      </c>
    </row>
    <row r="27" customFormat="false" ht="15" hidden="false" customHeight="true" outlineLevel="0" collapsed="false">
      <c r="A27" s="124" t="s">
        <v>289</v>
      </c>
      <c r="B27" s="63" t="s">
        <v>290</v>
      </c>
      <c r="C27" s="131" t="s">
        <v>244</v>
      </c>
      <c r="D27" s="131" t="s">
        <v>233</v>
      </c>
      <c r="E27" s="131" t="s">
        <v>233</v>
      </c>
      <c r="F27" s="131" t="s">
        <v>244</v>
      </c>
      <c r="G27" s="131" t="s">
        <v>233</v>
      </c>
      <c r="H27" s="131" t="s">
        <v>244</v>
      </c>
      <c r="I27" s="131" t="s">
        <v>244</v>
      </c>
      <c r="J27" s="131" t="s">
        <v>244</v>
      </c>
      <c r="K27" s="131" t="s">
        <v>244</v>
      </c>
      <c r="L27" s="131" t="s">
        <v>244</v>
      </c>
      <c r="M27" s="132" t="s">
        <v>233</v>
      </c>
      <c r="N27" s="133" t="s">
        <v>244</v>
      </c>
      <c r="O27" s="133" t="s">
        <v>244</v>
      </c>
    </row>
    <row r="28" customFormat="false" ht="15" hidden="false" customHeight="true" outlineLevel="0" collapsed="false">
      <c r="A28" s="124" t="s">
        <v>291</v>
      </c>
      <c r="B28" s="63" t="s">
        <v>292</v>
      </c>
      <c r="C28" s="131" t="s">
        <v>244</v>
      </c>
      <c r="D28" s="131" t="s">
        <v>233</v>
      </c>
      <c r="E28" s="131" t="s">
        <v>244</v>
      </c>
      <c r="F28" s="131" t="s">
        <v>233</v>
      </c>
      <c r="G28" s="131" t="s">
        <v>233</v>
      </c>
      <c r="H28" s="131" t="s">
        <v>233</v>
      </c>
      <c r="I28" s="131" t="s">
        <v>244</v>
      </c>
      <c r="J28" s="131" t="s">
        <v>244</v>
      </c>
      <c r="K28" s="131" t="s">
        <v>244</v>
      </c>
      <c r="L28" s="131" t="s">
        <v>244</v>
      </c>
      <c r="M28" s="132" t="s">
        <v>233</v>
      </c>
      <c r="N28" s="132" t="s">
        <v>233</v>
      </c>
      <c r="O28" s="132" t="s">
        <v>233</v>
      </c>
    </row>
    <row r="29" customFormat="false" ht="15" hidden="false" customHeight="true" outlineLevel="0" collapsed="false">
      <c r="A29" s="124" t="s">
        <v>293</v>
      </c>
      <c r="B29" s="63" t="s">
        <v>294</v>
      </c>
      <c r="C29" s="131" t="s">
        <v>244</v>
      </c>
      <c r="D29" s="131" t="s">
        <v>244</v>
      </c>
      <c r="E29" s="131" t="s">
        <v>233</v>
      </c>
      <c r="F29" s="131" t="s">
        <v>233</v>
      </c>
      <c r="G29" s="131" t="s">
        <v>244</v>
      </c>
      <c r="H29" s="131" t="s">
        <v>233</v>
      </c>
      <c r="I29" s="131" t="s">
        <v>244</v>
      </c>
      <c r="J29" s="131" t="s">
        <v>244</v>
      </c>
      <c r="K29" s="131" t="s">
        <v>244</v>
      </c>
      <c r="L29" s="131" t="s">
        <v>244</v>
      </c>
      <c r="M29" s="133" t="s">
        <v>244</v>
      </c>
      <c r="N29" s="133" t="s">
        <v>244</v>
      </c>
      <c r="O29" s="133" t="s">
        <v>244</v>
      </c>
    </row>
    <row r="30" customFormat="false" ht="15" hidden="false" customHeight="true" outlineLevel="0" collapsed="false">
      <c r="A30" s="124" t="s">
        <v>295</v>
      </c>
      <c r="B30" s="63" t="s">
        <v>296</v>
      </c>
      <c r="C30" s="131" t="s">
        <v>244</v>
      </c>
      <c r="D30" s="131" t="s">
        <v>244</v>
      </c>
      <c r="E30" s="131" t="s">
        <v>233</v>
      </c>
      <c r="F30" s="131" t="s">
        <v>233</v>
      </c>
      <c r="G30" s="131" t="s">
        <v>244</v>
      </c>
      <c r="H30" s="131" t="s">
        <v>233</v>
      </c>
      <c r="I30" s="131" t="s">
        <v>244</v>
      </c>
      <c r="J30" s="131" t="s">
        <v>244</v>
      </c>
      <c r="K30" s="131" t="s">
        <v>244</v>
      </c>
      <c r="L30" s="131" t="s">
        <v>244</v>
      </c>
      <c r="M30" s="133" t="s">
        <v>244</v>
      </c>
      <c r="N30" s="133" t="s">
        <v>244</v>
      </c>
      <c r="O30" s="133" t="s">
        <v>244</v>
      </c>
    </row>
    <row r="31" customFormat="false" ht="15" hidden="false" customHeight="true" outlineLevel="0" collapsed="false">
      <c r="A31" s="124" t="s">
        <v>297</v>
      </c>
      <c r="B31" s="63" t="s">
        <v>298</v>
      </c>
      <c r="C31" s="131" t="s">
        <v>244</v>
      </c>
      <c r="D31" s="131" t="s">
        <v>233</v>
      </c>
      <c r="E31" s="131" t="s">
        <v>244</v>
      </c>
      <c r="F31" s="131" t="s">
        <v>244</v>
      </c>
      <c r="G31" s="131" t="s">
        <v>244</v>
      </c>
      <c r="H31" s="131" t="s">
        <v>244</v>
      </c>
      <c r="I31" s="131" t="s">
        <v>244</v>
      </c>
      <c r="J31" s="131" t="s">
        <v>244</v>
      </c>
      <c r="K31" s="131" t="s">
        <v>244</v>
      </c>
      <c r="L31" s="131" t="s">
        <v>244</v>
      </c>
      <c r="M31" s="133" t="s">
        <v>244</v>
      </c>
      <c r="N31" s="133" t="s">
        <v>244</v>
      </c>
      <c r="O31" s="133" t="s">
        <v>244</v>
      </c>
    </row>
    <row r="32" customFormat="false" ht="15" hidden="false" customHeight="true" outlineLevel="0" collapsed="false">
      <c r="A32" s="124" t="s">
        <v>299</v>
      </c>
      <c r="B32" s="63" t="s">
        <v>300</v>
      </c>
      <c r="C32" s="131" t="s">
        <v>244</v>
      </c>
      <c r="D32" s="131" t="s">
        <v>244</v>
      </c>
      <c r="E32" s="131" t="s">
        <v>233</v>
      </c>
      <c r="F32" s="131" t="s">
        <v>233</v>
      </c>
      <c r="G32" s="131" t="s">
        <v>244</v>
      </c>
      <c r="H32" s="131" t="s">
        <v>233</v>
      </c>
      <c r="I32" s="131" t="s">
        <v>244</v>
      </c>
      <c r="J32" s="131" t="s">
        <v>244</v>
      </c>
      <c r="K32" s="131" t="s">
        <v>244</v>
      </c>
      <c r="L32" s="131" t="s">
        <v>244</v>
      </c>
      <c r="M32" s="132" t="s">
        <v>233</v>
      </c>
      <c r="N32" s="132" t="s">
        <v>233</v>
      </c>
      <c r="O32" s="133" t="s">
        <v>244</v>
      </c>
    </row>
    <row r="33" customFormat="false" ht="15" hidden="false" customHeight="true" outlineLevel="0" collapsed="false">
      <c r="A33" s="124" t="s">
        <v>301</v>
      </c>
      <c r="B33" s="63" t="s">
        <v>302</v>
      </c>
      <c r="C33" s="131" t="s">
        <v>244</v>
      </c>
      <c r="D33" s="131" t="s">
        <v>233</v>
      </c>
      <c r="E33" s="131" t="s">
        <v>233</v>
      </c>
      <c r="F33" s="131" t="s">
        <v>233</v>
      </c>
      <c r="G33" s="131" t="s">
        <v>233</v>
      </c>
      <c r="H33" s="131" t="s">
        <v>233</v>
      </c>
      <c r="I33" s="131" t="s">
        <v>244</v>
      </c>
      <c r="J33" s="131" t="s">
        <v>244</v>
      </c>
      <c r="K33" s="131" t="s">
        <v>244</v>
      </c>
      <c r="L33" s="131" t="s">
        <v>244</v>
      </c>
      <c r="M33" s="132" t="s">
        <v>233</v>
      </c>
      <c r="N33" s="132" t="s">
        <v>233</v>
      </c>
      <c r="O33" s="133" t="s">
        <v>244</v>
      </c>
    </row>
    <row r="34" customFormat="false" ht="15" hidden="false" customHeight="true" outlineLevel="0" collapsed="false">
      <c r="A34" s="124" t="s">
        <v>303</v>
      </c>
      <c r="B34" s="63" t="s">
        <v>304</v>
      </c>
      <c r="C34" s="131" t="s">
        <v>244</v>
      </c>
      <c r="D34" s="131" t="s">
        <v>244</v>
      </c>
      <c r="E34" s="131" t="s">
        <v>233</v>
      </c>
      <c r="F34" s="131" t="s">
        <v>244</v>
      </c>
      <c r="G34" s="131" t="s">
        <v>233</v>
      </c>
      <c r="H34" s="131" t="s">
        <v>233</v>
      </c>
      <c r="I34" s="131" t="s">
        <v>244</v>
      </c>
      <c r="J34" s="131" t="s">
        <v>244</v>
      </c>
      <c r="K34" s="131" t="s">
        <v>244</v>
      </c>
      <c r="L34" s="131" t="s">
        <v>244</v>
      </c>
      <c r="M34" s="133" t="s">
        <v>244</v>
      </c>
      <c r="N34" s="133" t="s">
        <v>244</v>
      </c>
      <c r="O34" s="132" t="s">
        <v>233</v>
      </c>
    </row>
    <row r="35" customFormat="false" ht="15" hidden="false" customHeight="true" outlineLevel="0" collapsed="false">
      <c r="A35" s="124" t="s">
        <v>305</v>
      </c>
      <c r="B35" s="63" t="s">
        <v>306</v>
      </c>
      <c r="C35" s="131" t="s">
        <v>244</v>
      </c>
      <c r="D35" s="131" t="s">
        <v>233</v>
      </c>
      <c r="E35" s="131" t="s">
        <v>233</v>
      </c>
      <c r="F35" s="131" t="s">
        <v>244</v>
      </c>
      <c r="G35" s="131" t="s">
        <v>233</v>
      </c>
      <c r="H35" s="131" t="s">
        <v>233</v>
      </c>
      <c r="I35" s="131" t="s">
        <v>244</v>
      </c>
      <c r="J35" s="131" t="s">
        <v>244</v>
      </c>
      <c r="K35" s="131" t="s">
        <v>244</v>
      </c>
      <c r="L35" s="131" t="s">
        <v>244</v>
      </c>
      <c r="M35" s="133" t="s">
        <v>244</v>
      </c>
      <c r="N35" s="133" t="s">
        <v>244</v>
      </c>
      <c r="O35" s="133" t="s">
        <v>244</v>
      </c>
    </row>
    <row r="36" customFormat="false" ht="15" hidden="false" customHeight="true" outlineLevel="0" collapsed="false">
      <c r="A36" s="124" t="s">
        <v>307</v>
      </c>
      <c r="B36" s="63" t="s">
        <v>308</v>
      </c>
      <c r="C36" s="131" t="s">
        <v>244</v>
      </c>
      <c r="D36" s="131" t="s">
        <v>233</v>
      </c>
      <c r="E36" s="131" t="s">
        <v>244</v>
      </c>
      <c r="F36" s="131" t="s">
        <v>233</v>
      </c>
      <c r="G36" s="131" t="s">
        <v>233</v>
      </c>
      <c r="H36" s="131" t="s">
        <v>244</v>
      </c>
      <c r="I36" s="131" t="s">
        <v>244</v>
      </c>
      <c r="J36" s="131" t="s">
        <v>244</v>
      </c>
      <c r="K36" s="131" t="s">
        <v>244</v>
      </c>
      <c r="L36" s="131" t="s">
        <v>244</v>
      </c>
      <c r="M36" s="132" t="s">
        <v>233</v>
      </c>
      <c r="N36" s="132" t="s">
        <v>233</v>
      </c>
      <c r="O36" s="133" t="s">
        <v>244</v>
      </c>
    </row>
    <row r="37" customFormat="false" ht="15" hidden="false" customHeight="true" outlineLevel="0" collapsed="false">
      <c r="A37" s="130" t="s">
        <v>636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</row>
    <row r="38" customFormat="false" ht="15" hidden="false" customHeight="true" outlineLevel="0" collapsed="false">
      <c r="A38" s="124" t="s">
        <v>310</v>
      </c>
      <c r="B38" s="63" t="s">
        <v>311</v>
      </c>
      <c r="C38" s="131" t="n">
        <v>2</v>
      </c>
      <c r="D38" s="131" t="n">
        <v>2</v>
      </c>
      <c r="E38" s="131" t="n">
        <v>2</v>
      </c>
      <c r="F38" s="131" t="n">
        <v>2</v>
      </c>
      <c r="G38" s="131" t="n">
        <v>2</v>
      </c>
      <c r="H38" s="131" t="n">
        <v>2</v>
      </c>
      <c r="I38" s="131" t="n">
        <v>2</v>
      </c>
      <c r="J38" s="131" t="n">
        <v>2</v>
      </c>
      <c r="K38" s="131" t="n">
        <v>2</v>
      </c>
      <c r="L38" s="131" t="n">
        <v>2</v>
      </c>
      <c r="M38" s="134" t="n">
        <v>2</v>
      </c>
      <c r="N38" s="134" t="n">
        <v>2</v>
      </c>
      <c r="O38" s="134" t="n">
        <v>2</v>
      </c>
    </row>
    <row r="39" customFormat="false" ht="15" hidden="false" customHeight="true" outlineLevel="0" collapsed="false">
      <c r="A39" s="124" t="s">
        <v>312</v>
      </c>
      <c r="B39" s="63" t="s">
        <v>313</v>
      </c>
      <c r="C39" s="131" t="n">
        <v>2</v>
      </c>
      <c r="D39" s="131" t="n">
        <v>2</v>
      </c>
      <c r="E39" s="131" t="n">
        <v>2</v>
      </c>
      <c r="F39" s="131" t="n">
        <v>2</v>
      </c>
      <c r="G39" s="131" t="n">
        <v>2</v>
      </c>
      <c r="H39" s="131" t="n">
        <v>2</v>
      </c>
      <c r="I39" s="131" t="n">
        <v>2</v>
      </c>
      <c r="J39" s="131" t="n">
        <v>2</v>
      </c>
      <c r="K39" s="131" t="n">
        <v>2</v>
      </c>
      <c r="L39" s="131" t="n">
        <v>2</v>
      </c>
      <c r="M39" s="134" t="n">
        <v>2</v>
      </c>
      <c r="N39" s="134" t="n">
        <v>2</v>
      </c>
      <c r="O39" s="134" t="n">
        <v>2</v>
      </c>
    </row>
    <row r="40" customFormat="false" ht="15" hidden="false" customHeight="true" outlineLevel="0" collapsed="false">
      <c r="A40" s="124" t="s">
        <v>314</v>
      </c>
      <c r="B40" s="63" t="s">
        <v>315</v>
      </c>
      <c r="C40" s="131" t="n">
        <v>2</v>
      </c>
      <c r="D40" s="131" t="n">
        <v>2</v>
      </c>
      <c r="E40" s="131" t="n">
        <v>2</v>
      </c>
      <c r="F40" s="131" t="n">
        <v>2</v>
      </c>
      <c r="G40" s="131" t="n">
        <v>2</v>
      </c>
      <c r="H40" s="131" t="n">
        <v>2</v>
      </c>
      <c r="I40" s="131" t="n">
        <v>2</v>
      </c>
      <c r="J40" s="131" t="n">
        <v>2</v>
      </c>
      <c r="K40" s="131" t="n">
        <v>2</v>
      </c>
      <c r="L40" s="131" t="n">
        <v>2</v>
      </c>
      <c r="M40" s="134" t="n">
        <v>2</v>
      </c>
      <c r="N40" s="134" t="n">
        <v>2</v>
      </c>
      <c r="O40" s="134" t="n">
        <v>2</v>
      </c>
    </row>
    <row r="41" customFormat="false" ht="15" hidden="false" customHeight="true" outlineLevel="0" collapsed="false">
      <c r="A41" s="124" t="s">
        <v>316</v>
      </c>
      <c r="B41" s="63" t="s">
        <v>317</v>
      </c>
      <c r="C41" s="131" t="n">
        <v>2</v>
      </c>
      <c r="D41" s="131" t="n">
        <v>2</v>
      </c>
      <c r="E41" s="131" t="n">
        <v>2</v>
      </c>
      <c r="F41" s="131" t="n">
        <v>2</v>
      </c>
      <c r="G41" s="131" t="n">
        <v>2</v>
      </c>
      <c r="H41" s="131" t="n">
        <v>2</v>
      </c>
      <c r="I41" s="131" t="n">
        <v>2</v>
      </c>
      <c r="J41" s="131" t="n">
        <v>2</v>
      </c>
      <c r="K41" s="131" t="n">
        <v>2</v>
      </c>
      <c r="L41" s="131" t="n">
        <v>2</v>
      </c>
      <c r="M41" s="134" t="n">
        <v>2</v>
      </c>
      <c r="N41" s="134" t="n">
        <v>2</v>
      </c>
      <c r="O41" s="134" t="n">
        <v>2</v>
      </c>
    </row>
    <row r="42" customFormat="false" ht="15" hidden="false" customHeight="true" outlineLevel="0" collapsed="false">
      <c r="A42" s="124" t="s">
        <v>318</v>
      </c>
      <c r="B42" s="63" t="s">
        <v>319</v>
      </c>
      <c r="C42" s="131" t="n">
        <v>2</v>
      </c>
      <c r="D42" s="131" t="n">
        <v>2</v>
      </c>
      <c r="E42" s="131" t="n">
        <v>3</v>
      </c>
      <c r="F42" s="131" t="n">
        <v>2</v>
      </c>
      <c r="G42" s="131" t="n">
        <v>2</v>
      </c>
      <c r="H42" s="131" t="n">
        <v>2</v>
      </c>
      <c r="I42" s="131" t="n">
        <v>2</v>
      </c>
      <c r="J42" s="131" t="n">
        <v>2</v>
      </c>
      <c r="K42" s="131" t="n">
        <v>2</v>
      </c>
      <c r="L42" s="131" t="n">
        <v>2</v>
      </c>
      <c r="M42" s="134" t="n">
        <v>2</v>
      </c>
      <c r="N42" s="134" t="n">
        <v>2</v>
      </c>
      <c r="O42" s="134" t="n">
        <v>2</v>
      </c>
    </row>
    <row r="43" customFormat="false" ht="23.25" hidden="false" customHeight="true" outlineLevel="0" collapsed="false">
      <c r="A43" s="124" t="s">
        <v>320</v>
      </c>
      <c r="B43" s="63" t="s">
        <v>321</v>
      </c>
      <c r="C43" s="131" t="n">
        <v>2</v>
      </c>
      <c r="D43" s="131" t="n">
        <v>2</v>
      </c>
      <c r="E43" s="131" t="n">
        <v>2</v>
      </c>
      <c r="F43" s="131" t="n">
        <v>2</v>
      </c>
      <c r="G43" s="131" t="n">
        <v>2</v>
      </c>
      <c r="H43" s="131" t="n">
        <v>2</v>
      </c>
      <c r="I43" s="131" t="n">
        <v>2</v>
      </c>
      <c r="J43" s="131" t="n">
        <v>2</v>
      </c>
      <c r="K43" s="131" t="n">
        <v>2</v>
      </c>
      <c r="L43" s="131" t="n">
        <v>2</v>
      </c>
      <c r="M43" s="134" t="n">
        <v>2</v>
      </c>
      <c r="N43" s="134" t="n">
        <v>2</v>
      </c>
      <c r="O43" s="134" t="n">
        <v>2</v>
      </c>
    </row>
    <row r="44" customFormat="false" ht="15" hidden="false" customHeight="true" outlineLevel="0" collapsed="false">
      <c r="A44" s="124" t="s">
        <v>322</v>
      </c>
      <c r="B44" s="63" t="s">
        <v>323</v>
      </c>
      <c r="C44" s="131" t="n">
        <v>2</v>
      </c>
      <c r="D44" s="131" t="n">
        <v>2</v>
      </c>
      <c r="E44" s="131" t="n">
        <v>2</v>
      </c>
      <c r="F44" s="131" t="n">
        <v>2</v>
      </c>
      <c r="G44" s="131" t="n">
        <v>2</v>
      </c>
      <c r="H44" s="131" t="n">
        <v>2</v>
      </c>
      <c r="I44" s="131" t="n">
        <v>2</v>
      </c>
      <c r="J44" s="131" t="n">
        <v>2</v>
      </c>
      <c r="K44" s="131" t="n">
        <v>2</v>
      </c>
      <c r="L44" s="131" t="n">
        <v>2</v>
      </c>
      <c r="M44" s="134" t="n">
        <v>2</v>
      </c>
      <c r="N44" s="134" t="n">
        <v>2</v>
      </c>
      <c r="O44" s="134" t="n">
        <v>2</v>
      </c>
    </row>
    <row r="45" customFormat="false" ht="23.25" hidden="false" customHeight="true" outlineLevel="0" collapsed="false">
      <c r="A45" s="124" t="s">
        <v>324</v>
      </c>
      <c r="B45" s="63" t="s">
        <v>325</v>
      </c>
      <c r="C45" s="131" t="n">
        <v>2</v>
      </c>
      <c r="D45" s="131" t="n">
        <v>2</v>
      </c>
      <c r="E45" s="131" t="n">
        <v>2</v>
      </c>
      <c r="F45" s="131" t="n">
        <v>2</v>
      </c>
      <c r="G45" s="131" t="n">
        <v>2</v>
      </c>
      <c r="H45" s="131" t="n">
        <v>2</v>
      </c>
      <c r="I45" s="131" t="n">
        <v>2</v>
      </c>
      <c r="J45" s="131" t="n">
        <v>2</v>
      </c>
      <c r="K45" s="131" t="n">
        <v>2</v>
      </c>
      <c r="L45" s="131" t="n">
        <v>2</v>
      </c>
      <c r="M45" s="134" t="n">
        <v>2</v>
      </c>
      <c r="N45" s="134" t="n">
        <v>2</v>
      </c>
      <c r="O45" s="134" t="n">
        <v>2</v>
      </c>
    </row>
    <row r="46" customFormat="false" ht="23.25" hidden="false" customHeight="true" outlineLevel="0" collapsed="false">
      <c r="A46" s="124" t="s">
        <v>326</v>
      </c>
      <c r="B46" s="63" t="s">
        <v>327</v>
      </c>
      <c r="C46" s="131" t="n">
        <v>2</v>
      </c>
      <c r="D46" s="131" t="n">
        <v>2</v>
      </c>
      <c r="E46" s="131" t="n">
        <v>2</v>
      </c>
      <c r="F46" s="131" t="n">
        <v>2</v>
      </c>
      <c r="G46" s="131" t="n">
        <v>2</v>
      </c>
      <c r="H46" s="131" t="n">
        <v>2</v>
      </c>
      <c r="I46" s="131" t="n">
        <v>2</v>
      </c>
      <c r="J46" s="131" t="n">
        <v>2</v>
      </c>
      <c r="K46" s="131" t="n">
        <v>2</v>
      </c>
      <c r="L46" s="131" t="n">
        <v>2</v>
      </c>
      <c r="M46" s="134" t="n">
        <v>3</v>
      </c>
      <c r="N46" s="134" t="n">
        <v>2</v>
      </c>
      <c r="O46" s="134" t="n">
        <v>2</v>
      </c>
    </row>
    <row r="47" customFormat="false" ht="23.25" hidden="false" customHeight="true" outlineLevel="0" collapsed="false">
      <c r="A47" s="124" t="s">
        <v>328</v>
      </c>
      <c r="B47" s="63" t="s">
        <v>329</v>
      </c>
      <c r="C47" s="131" t="n">
        <v>15</v>
      </c>
      <c r="D47" s="131" t="n">
        <v>10</v>
      </c>
      <c r="E47" s="131" t="n">
        <v>15</v>
      </c>
      <c r="F47" s="131" t="n">
        <v>15</v>
      </c>
      <c r="G47" s="131" t="n">
        <v>15</v>
      </c>
      <c r="H47" s="131" t="n">
        <v>15</v>
      </c>
      <c r="I47" s="131" t="n">
        <v>15</v>
      </c>
      <c r="J47" s="131" t="n">
        <v>15</v>
      </c>
      <c r="K47" s="131" t="n">
        <v>15</v>
      </c>
      <c r="L47" s="131" t="n">
        <v>15</v>
      </c>
      <c r="M47" s="134" t="n">
        <v>10</v>
      </c>
      <c r="N47" s="134" t="n">
        <v>10</v>
      </c>
      <c r="O47" s="134" t="n">
        <v>10</v>
      </c>
    </row>
    <row r="48" customFormat="false" ht="23.25" hidden="false" customHeight="true" outlineLevel="0" collapsed="false">
      <c r="A48" s="124" t="s">
        <v>330</v>
      </c>
      <c r="B48" s="63" t="s">
        <v>331</v>
      </c>
      <c r="C48" s="131" t="n">
        <v>1</v>
      </c>
      <c r="D48" s="131" t="n">
        <v>1</v>
      </c>
      <c r="E48" s="131" t="n">
        <v>1</v>
      </c>
      <c r="F48" s="131" t="n">
        <v>1</v>
      </c>
      <c r="G48" s="131" t="n">
        <v>1</v>
      </c>
      <c r="H48" s="131" t="n">
        <v>1</v>
      </c>
      <c r="I48" s="131" t="n">
        <v>1</v>
      </c>
      <c r="J48" s="131" t="n">
        <v>1</v>
      </c>
      <c r="K48" s="131" t="n">
        <v>1</v>
      </c>
      <c r="L48" s="131" t="n">
        <v>1</v>
      </c>
      <c r="M48" s="134" t="n">
        <v>1</v>
      </c>
      <c r="N48" s="134" t="n">
        <v>3</v>
      </c>
      <c r="O48" s="134" t="n">
        <v>6</v>
      </c>
    </row>
    <row r="49" customFormat="false" ht="23.25" hidden="false" customHeight="true" outlineLevel="0" collapsed="false">
      <c r="A49" s="124" t="s">
        <v>332</v>
      </c>
      <c r="B49" s="63" t="s">
        <v>333</v>
      </c>
      <c r="C49" s="131" t="n">
        <v>4</v>
      </c>
      <c r="D49" s="131" t="n">
        <v>4</v>
      </c>
      <c r="E49" s="131" t="n">
        <v>4</v>
      </c>
      <c r="F49" s="131" t="n">
        <v>4</v>
      </c>
      <c r="G49" s="131" t="n">
        <v>4</v>
      </c>
      <c r="H49" s="131" t="n">
        <v>4</v>
      </c>
      <c r="I49" s="131" t="n">
        <v>4</v>
      </c>
      <c r="J49" s="131" t="n">
        <v>4</v>
      </c>
      <c r="K49" s="131" t="n">
        <v>4</v>
      </c>
      <c r="L49" s="131" t="n">
        <v>4</v>
      </c>
      <c r="M49" s="134" t="n">
        <v>2</v>
      </c>
      <c r="N49" s="134" t="n">
        <v>5</v>
      </c>
      <c r="O49" s="134" t="n">
        <v>8</v>
      </c>
    </row>
    <row r="50" customFormat="false" ht="15" hidden="false" customHeight="true" outlineLevel="0" collapsed="false">
      <c r="A50" s="124" t="s">
        <v>334</v>
      </c>
      <c r="B50" s="63" t="s">
        <v>335</v>
      </c>
      <c r="C50" s="131" t="n">
        <v>1</v>
      </c>
      <c r="D50" s="131" t="n">
        <v>1</v>
      </c>
      <c r="E50" s="131" t="n">
        <v>1</v>
      </c>
      <c r="F50" s="131" t="n">
        <v>2</v>
      </c>
      <c r="G50" s="131" t="n">
        <v>1</v>
      </c>
      <c r="H50" s="131" t="n">
        <v>1</v>
      </c>
      <c r="I50" s="131" t="n">
        <v>1</v>
      </c>
      <c r="J50" s="131" t="n">
        <v>1</v>
      </c>
      <c r="K50" s="131" t="n">
        <v>1</v>
      </c>
      <c r="L50" s="131" t="n">
        <v>1</v>
      </c>
      <c r="M50" s="134" t="n">
        <v>1</v>
      </c>
      <c r="N50" s="134" t="n">
        <v>1</v>
      </c>
      <c r="O50" s="134" t="n">
        <v>1</v>
      </c>
    </row>
    <row r="51" customFormat="false" ht="15" hidden="false" customHeight="true" outlineLevel="0" collapsed="false">
      <c r="A51" s="124" t="s">
        <v>336</v>
      </c>
      <c r="B51" s="63" t="s">
        <v>337</v>
      </c>
      <c r="C51" s="131" t="n">
        <v>5</v>
      </c>
      <c r="D51" s="131" t="n">
        <v>5</v>
      </c>
      <c r="E51" s="131" t="n">
        <v>5</v>
      </c>
      <c r="F51" s="131" t="n">
        <v>8</v>
      </c>
      <c r="G51" s="131" t="n">
        <v>5</v>
      </c>
      <c r="H51" s="131" t="n">
        <v>5</v>
      </c>
      <c r="I51" s="131" t="n">
        <v>5</v>
      </c>
      <c r="J51" s="131" t="n">
        <v>5</v>
      </c>
      <c r="K51" s="131" t="n">
        <v>5</v>
      </c>
      <c r="L51" s="131" t="n">
        <v>5</v>
      </c>
      <c r="M51" s="134" t="n">
        <v>2</v>
      </c>
      <c r="N51" s="134" t="n">
        <v>3</v>
      </c>
      <c r="O51" s="134" t="n">
        <v>5</v>
      </c>
    </row>
    <row r="52" customFormat="false" ht="15" hidden="false" customHeight="true" outlineLevel="0" collapsed="false">
      <c r="A52" s="124" t="s">
        <v>338</v>
      </c>
      <c r="B52" s="63" t="s">
        <v>339</v>
      </c>
      <c r="C52" s="131" t="n">
        <v>1</v>
      </c>
      <c r="D52" s="131" t="n">
        <v>1</v>
      </c>
      <c r="E52" s="131" t="n">
        <v>1</v>
      </c>
      <c r="F52" s="131" t="n">
        <v>1</v>
      </c>
      <c r="G52" s="131" t="n">
        <v>1</v>
      </c>
      <c r="H52" s="131" t="n">
        <v>1</v>
      </c>
      <c r="I52" s="131" t="n">
        <v>1</v>
      </c>
      <c r="J52" s="131" t="n">
        <v>1</v>
      </c>
      <c r="K52" s="131" t="n">
        <v>1</v>
      </c>
      <c r="L52" s="131" t="n">
        <v>1</v>
      </c>
      <c r="M52" s="134" t="n">
        <v>1</v>
      </c>
      <c r="N52" s="134" t="n">
        <v>1</v>
      </c>
      <c r="O52" s="134" t="n">
        <v>1</v>
      </c>
    </row>
    <row r="53" customFormat="false" ht="23.25" hidden="false" customHeight="true" outlineLevel="0" collapsed="false">
      <c r="A53" s="124" t="s">
        <v>340</v>
      </c>
      <c r="B53" s="63" t="s">
        <v>341</v>
      </c>
      <c r="C53" s="131" t="n">
        <v>4</v>
      </c>
      <c r="D53" s="131" t="n">
        <v>4</v>
      </c>
      <c r="E53" s="131" t="n">
        <v>4</v>
      </c>
      <c r="F53" s="131" t="n">
        <v>4</v>
      </c>
      <c r="G53" s="131" t="n">
        <v>4</v>
      </c>
      <c r="H53" s="131" t="n">
        <v>4</v>
      </c>
      <c r="I53" s="131" t="n">
        <v>4</v>
      </c>
      <c r="J53" s="131" t="n">
        <v>4</v>
      </c>
      <c r="K53" s="131" t="n">
        <v>4</v>
      </c>
      <c r="L53" s="131" t="n">
        <v>4</v>
      </c>
      <c r="M53" s="134" t="n">
        <v>3</v>
      </c>
      <c r="N53" s="134" t="n">
        <v>3</v>
      </c>
      <c r="O53" s="134" t="n">
        <v>4</v>
      </c>
    </row>
    <row r="54" customFormat="false" ht="23.25" hidden="false" customHeight="true" outlineLevel="0" collapsed="false">
      <c r="A54" s="124" t="s">
        <v>342</v>
      </c>
      <c r="B54" s="63" t="s">
        <v>343</v>
      </c>
      <c r="C54" s="131" t="n">
        <v>2</v>
      </c>
      <c r="D54" s="131" t="n">
        <v>2</v>
      </c>
      <c r="E54" s="131" t="n">
        <v>2</v>
      </c>
      <c r="F54" s="131" t="n">
        <v>2</v>
      </c>
      <c r="G54" s="131" t="n">
        <v>2</v>
      </c>
      <c r="H54" s="131" t="n">
        <v>2</v>
      </c>
      <c r="I54" s="131" t="n">
        <v>2</v>
      </c>
      <c r="J54" s="131" t="n">
        <v>2</v>
      </c>
      <c r="K54" s="131" t="n">
        <v>2</v>
      </c>
      <c r="L54" s="131" t="n">
        <v>2</v>
      </c>
      <c r="M54" s="134" t="n">
        <v>2</v>
      </c>
      <c r="N54" s="134" t="n">
        <v>2</v>
      </c>
      <c r="O54" s="134" t="n">
        <v>2</v>
      </c>
    </row>
    <row r="55" customFormat="false" ht="23.25" hidden="false" customHeight="true" outlineLevel="0" collapsed="false">
      <c r="A55" s="124" t="s">
        <v>344</v>
      </c>
      <c r="B55" s="63" t="s">
        <v>345</v>
      </c>
      <c r="C55" s="131" t="n">
        <v>10</v>
      </c>
      <c r="D55" s="131" t="n">
        <v>10</v>
      </c>
      <c r="E55" s="131" t="n">
        <v>10</v>
      </c>
      <c r="F55" s="131" t="n">
        <v>10</v>
      </c>
      <c r="G55" s="131" t="n">
        <v>10</v>
      </c>
      <c r="H55" s="131" t="n">
        <v>10</v>
      </c>
      <c r="I55" s="131" t="n">
        <v>10</v>
      </c>
      <c r="J55" s="131" t="n">
        <v>10</v>
      </c>
      <c r="K55" s="131" t="n">
        <v>10</v>
      </c>
      <c r="L55" s="131" t="n">
        <v>10</v>
      </c>
      <c r="M55" s="134" t="n">
        <v>1</v>
      </c>
      <c r="N55" s="134" t="n">
        <v>3</v>
      </c>
      <c r="O55" s="134" t="n">
        <v>6</v>
      </c>
    </row>
    <row r="56" customFormat="false" ht="15" hidden="false" customHeight="true" outlineLevel="0" collapsed="false">
      <c r="A56" s="130" t="s">
        <v>637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</row>
    <row r="57" customFormat="false" ht="15" hidden="false" customHeight="true" outlineLevel="0" collapsed="false">
      <c r="A57" s="124" t="s">
        <v>347</v>
      </c>
      <c r="B57" s="63" t="s">
        <v>348</v>
      </c>
      <c r="C57" s="131" t="s">
        <v>244</v>
      </c>
      <c r="D57" s="131" t="s">
        <v>244</v>
      </c>
      <c r="E57" s="131" t="s">
        <v>244</v>
      </c>
      <c r="F57" s="131" t="s">
        <v>233</v>
      </c>
      <c r="G57" s="131" t="s">
        <v>244</v>
      </c>
      <c r="H57" s="131" t="s">
        <v>244</v>
      </c>
      <c r="I57" s="131" t="s">
        <v>244</v>
      </c>
      <c r="J57" s="131" t="s">
        <v>244</v>
      </c>
      <c r="K57" s="131" t="s">
        <v>244</v>
      </c>
      <c r="L57" s="131" t="s">
        <v>244</v>
      </c>
      <c r="M57" s="133" t="s">
        <v>244</v>
      </c>
      <c r="N57" s="133" t="s">
        <v>244</v>
      </c>
      <c r="O57" s="133" t="s">
        <v>244</v>
      </c>
    </row>
    <row r="58" customFormat="false" ht="15" hidden="false" customHeight="true" outlineLevel="0" collapsed="false">
      <c r="A58" s="124" t="s">
        <v>349</v>
      </c>
      <c r="B58" s="63" t="s">
        <v>350</v>
      </c>
      <c r="C58" s="131" t="s">
        <v>244</v>
      </c>
      <c r="D58" s="131" t="s">
        <v>244</v>
      </c>
      <c r="E58" s="131" t="s">
        <v>244</v>
      </c>
      <c r="F58" s="131" t="s">
        <v>244</v>
      </c>
      <c r="G58" s="131" t="s">
        <v>244</v>
      </c>
      <c r="H58" s="131" t="s">
        <v>244</v>
      </c>
      <c r="I58" s="131" t="s">
        <v>244</v>
      </c>
      <c r="J58" s="131" t="s">
        <v>244</v>
      </c>
      <c r="K58" s="131" t="s">
        <v>244</v>
      </c>
      <c r="L58" s="131" t="s">
        <v>244</v>
      </c>
      <c r="M58" s="133" t="s">
        <v>244</v>
      </c>
      <c r="N58" s="133" t="s">
        <v>244</v>
      </c>
      <c r="O58" s="133" t="s">
        <v>244</v>
      </c>
    </row>
    <row r="59" customFormat="false" ht="15" hidden="false" customHeight="true" outlineLevel="0" collapsed="false">
      <c r="A59" s="124" t="s">
        <v>351</v>
      </c>
      <c r="B59" s="63" t="s">
        <v>352</v>
      </c>
      <c r="C59" s="131" t="s">
        <v>244</v>
      </c>
      <c r="D59" s="131" t="s">
        <v>244</v>
      </c>
      <c r="E59" s="131" t="s">
        <v>233</v>
      </c>
      <c r="F59" s="131" t="s">
        <v>233</v>
      </c>
      <c r="G59" s="131" t="s">
        <v>244</v>
      </c>
      <c r="H59" s="131" t="s">
        <v>233</v>
      </c>
      <c r="I59" s="131" t="s">
        <v>244</v>
      </c>
      <c r="J59" s="131" t="s">
        <v>244</v>
      </c>
      <c r="K59" s="131" t="s">
        <v>244</v>
      </c>
      <c r="L59" s="131" t="s">
        <v>244</v>
      </c>
      <c r="M59" s="133" t="s">
        <v>244</v>
      </c>
      <c r="N59" s="133" t="s">
        <v>244</v>
      </c>
      <c r="O59" s="133" t="s">
        <v>244</v>
      </c>
    </row>
    <row r="60" customFormat="false" ht="15" hidden="false" customHeight="true" outlineLevel="0" collapsed="false">
      <c r="A60" s="124" t="s">
        <v>353</v>
      </c>
      <c r="B60" s="63" t="s">
        <v>354</v>
      </c>
      <c r="C60" s="131" t="s">
        <v>244</v>
      </c>
      <c r="D60" s="131" t="s">
        <v>244</v>
      </c>
      <c r="E60" s="131" t="s">
        <v>233</v>
      </c>
      <c r="F60" s="131" t="s">
        <v>233</v>
      </c>
      <c r="G60" s="131" t="s">
        <v>244</v>
      </c>
      <c r="H60" s="131" t="s">
        <v>233</v>
      </c>
      <c r="I60" s="131" t="s">
        <v>244</v>
      </c>
      <c r="J60" s="131" t="s">
        <v>244</v>
      </c>
      <c r="K60" s="131" t="s">
        <v>244</v>
      </c>
      <c r="L60" s="131" t="s">
        <v>244</v>
      </c>
      <c r="M60" s="133" t="s">
        <v>244</v>
      </c>
      <c r="N60" s="133" t="s">
        <v>244</v>
      </c>
      <c r="O60" s="133" t="s">
        <v>244</v>
      </c>
    </row>
    <row r="61" customFormat="false" ht="15" hidden="false" customHeight="true" outlineLevel="0" collapsed="false">
      <c r="A61" s="124" t="s">
        <v>355</v>
      </c>
      <c r="B61" s="63" t="s">
        <v>356</v>
      </c>
      <c r="C61" s="131" t="s">
        <v>244</v>
      </c>
      <c r="D61" s="131" t="s">
        <v>233</v>
      </c>
      <c r="E61" s="131" t="s">
        <v>244</v>
      </c>
      <c r="F61" s="131" t="s">
        <v>233</v>
      </c>
      <c r="G61" s="131" t="s">
        <v>244</v>
      </c>
      <c r="H61" s="131" t="s">
        <v>244</v>
      </c>
      <c r="I61" s="131" t="s">
        <v>244</v>
      </c>
      <c r="J61" s="131" t="s">
        <v>244</v>
      </c>
      <c r="K61" s="131" t="s">
        <v>244</v>
      </c>
      <c r="L61" s="131" t="s">
        <v>244</v>
      </c>
      <c r="M61" s="132" t="s">
        <v>233</v>
      </c>
      <c r="N61" s="132" t="s">
        <v>233</v>
      </c>
      <c r="O61" s="133" t="s">
        <v>244</v>
      </c>
    </row>
    <row r="64" customFormat="false" ht="15" hidden="false" customHeight="true" outlineLevel="0" collapsed="false">
      <c r="A64" s="135" t="s">
        <v>638</v>
      </c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</row>
    <row r="65" customFormat="false" ht="15" hidden="false" customHeight="true" outlineLevel="0" collapsed="false">
      <c r="A65" s="136" t="s">
        <v>639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</row>
    <row r="66" customFormat="false" ht="15" hidden="false" customHeight="true" outlineLevel="0" collapsed="false">
      <c r="A66" s="136" t="s">
        <v>640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</row>
    <row r="67" customFormat="false" ht="15" hidden="false" customHeight="true" outlineLevel="0" collapsed="false">
      <c r="A67" s="136" t="s">
        <v>641</v>
      </c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</row>
    <row r="68" customFormat="false" ht="15" hidden="false" customHeight="true" outlineLevel="0" collapsed="false">
      <c r="A68" s="136" t="s">
        <v>642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</row>
    <row r="69" customFormat="false" ht="15" hidden="false" customHeight="true" outlineLevel="0" collapsed="false">
      <c r="A69" s="136" t="s">
        <v>643</v>
      </c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</row>
    <row r="70" customFormat="false" ht="15" hidden="false" customHeight="true" outlineLevel="0" collapsed="false">
      <c r="A70" s="136" t="s">
        <v>644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</row>
    <row r="71" customFormat="false" ht="15" hidden="false" customHeight="true" outlineLevel="0" collapsed="false">
      <c r="A71" s="136" t="s">
        <v>645</v>
      </c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</row>
    <row r="72" customFormat="false" ht="15" hidden="false" customHeight="true" outlineLevel="0" collapsed="false">
      <c r="A72" s="136" t="s">
        <v>646</v>
      </c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</row>
    <row r="73" customFormat="false" ht="15" hidden="false" customHeight="true" outlineLevel="0" collapsed="false">
      <c r="A73" s="136" t="s">
        <v>647</v>
      </c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</row>
    <row r="74" customFormat="false" ht="15" hidden="false" customHeight="true" outlineLevel="0" collapsed="false">
      <c r="A74" s="136" t="s">
        <v>648</v>
      </c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</row>
  </sheetData>
  <mergeCells count="14">
    <mergeCell ref="A3:L3"/>
    <mergeCell ref="A37:L37"/>
    <mergeCell ref="A56:L56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</mergeCells>
  <dataValidations count="1">
    <dataValidation allowBlank="false" errorStyle="stop" operator="between" showDropDown="false" showErrorMessage="false" showInputMessage="false" sqref="C4:L36 C57:L6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5" min="5" style="1" width="40"/>
    <col collapsed="false" customWidth="true" hidden="false" outlineLevel="0" max="6" min="6" style="1" width="22"/>
  </cols>
  <sheetData>
    <row r="1" customFormat="false" ht="30" hidden="false" customHeight="true" outlineLevel="0" collapsed="false">
      <c r="A1" s="120" t="s">
        <v>649</v>
      </c>
      <c r="B1" s="120" t="s">
        <v>650</v>
      </c>
      <c r="C1" s="120" t="s">
        <v>651</v>
      </c>
      <c r="D1" s="120" t="s">
        <v>237</v>
      </c>
      <c r="E1" s="120" t="s">
        <v>652</v>
      </c>
      <c r="F1" s="120" t="s">
        <v>653</v>
      </c>
    </row>
    <row r="2" customFormat="false" ht="15" hidden="false" customHeight="true" outlineLevel="0" collapsed="false">
      <c r="A2" s="137" t="s">
        <v>654</v>
      </c>
      <c r="B2" s="126" t="s">
        <v>132</v>
      </c>
      <c r="C2" s="126" t="s">
        <v>655</v>
      </c>
      <c r="D2" s="126" t="s">
        <v>656</v>
      </c>
      <c r="E2" s="126" t="s">
        <v>657</v>
      </c>
      <c r="F2" s="126" t="s">
        <v>658</v>
      </c>
    </row>
    <row r="3" customFormat="false" ht="15" hidden="false" customHeight="true" outlineLevel="0" collapsed="false">
      <c r="A3" s="137" t="s">
        <v>654</v>
      </c>
      <c r="B3" s="126" t="s">
        <v>106</v>
      </c>
      <c r="C3" s="126" t="s">
        <v>659</v>
      </c>
      <c r="D3" s="126" t="s">
        <v>660</v>
      </c>
      <c r="E3" s="126" t="s">
        <v>661</v>
      </c>
      <c r="F3" s="126" t="s">
        <v>662</v>
      </c>
    </row>
    <row r="4" customFormat="false" ht="23.25" hidden="false" customHeight="true" outlineLevel="0" collapsed="false">
      <c r="A4" s="137" t="s">
        <v>654</v>
      </c>
      <c r="B4" s="126" t="s">
        <v>162</v>
      </c>
      <c r="C4" s="126" t="s">
        <v>663</v>
      </c>
      <c r="D4" s="126" t="s">
        <v>664</v>
      </c>
      <c r="E4" s="126" t="s">
        <v>665</v>
      </c>
      <c r="F4" s="126" t="s">
        <v>666</v>
      </c>
    </row>
    <row r="5" customFormat="false" ht="15" hidden="false" customHeight="true" outlineLevel="0" collapsed="false">
      <c r="A5" s="137" t="s">
        <v>654</v>
      </c>
      <c r="B5" s="126" t="s">
        <v>163</v>
      </c>
      <c r="C5" s="126" t="s">
        <v>667</v>
      </c>
      <c r="D5" s="126" t="s">
        <v>668</v>
      </c>
      <c r="E5" s="126" t="s">
        <v>669</v>
      </c>
      <c r="F5" s="126" t="s">
        <v>670</v>
      </c>
    </row>
    <row r="6" customFormat="false" ht="15" hidden="false" customHeight="true" outlineLevel="0" collapsed="false">
      <c r="A6" s="137" t="s">
        <v>654</v>
      </c>
      <c r="B6" s="126" t="s">
        <v>164</v>
      </c>
      <c r="C6" s="126" t="s">
        <v>671</v>
      </c>
      <c r="D6" s="126" t="s">
        <v>672</v>
      </c>
      <c r="E6" s="126" t="s">
        <v>669</v>
      </c>
      <c r="F6" s="126" t="s">
        <v>673</v>
      </c>
    </row>
    <row r="7" customFormat="false" ht="15" hidden="false" customHeight="true" outlineLevel="0" collapsed="false">
      <c r="A7" s="138" t="s">
        <v>674</v>
      </c>
      <c r="B7" s="126" t="s">
        <v>165</v>
      </c>
      <c r="C7" s="126" t="s">
        <v>675</v>
      </c>
      <c r="D7" s="126" t="s">
        <v>676</v>
      </c>
      <c r="E7" s="126" t="s">
        <v>677</v>
      </c>
      <c r="F7" s="126" t="s">
        <v>678</v>
      </c>
    </row>
    <row r="8" customFormat="false" ht="15" hidden="false" customHeight="true" outlineLevel="0" collapsed="false">
      <c r="A8" s="138" t="s">
        <v>674</v>
      </c>
      <c r="B8" s="126" t="s">
        <v>166</v>
      </c>
      <c r="C8" s="126" t="s">
        <v>679</v>
      </c>
      <c r="D8" s="126" t="s">
        <v>680</v>
      </c>
      <c r="E8" s="126" t="s">
        <v>657</v>
      </c>
      <c r="F8" s="126" t="s">
        <v>681</v>
      </c>
    </row>
    <row r="9" customFormat="false" ht="15" hidden="false" customHeight="true" outlineLevel="0" collapsed="false">
      <c r="A9" s="138" t="s">
        <v>674</v>
      </c>
      <c r="B9" s="126" t="s">
        <v>167</v>
      </c>
      <c r="C9" s="126" t="s">
        <v>682</v>
      </c>
      <c r="D9" s="126" t="s">
        <v>683</v>
      </c>
      <c r="E9" s="126" t="s">
        <v>684</v>
      </c>
      <c r="F9" s="126" t="s">
        <v>685</v>
      </c>
    </row>
    <row r="10" customFormat="false" ht="15" hidden="false" customHeight="true" outlineLevel="0" collapsed="false">
      <c r="A10" s="139" t="s">
        <v>686</v>
      </c>
      <c r="B10" s="126" t="s">
        <v>168</v>
      </c>
      <c r="C10" s="126" t="s">
        <v>687</v>
      </c>
      <c r="D10" s="126" t="s">
        <v>688</v>
      </c>
      <c r="E10" s="126" t="s">
        <v>689</v>
      </c>
      <c r="F10" s="126" t="s">
        <v>690</v>
      </c>
    </row>
    <row r="11" customFormat="false" ht="15" hidden="false" customHeight="true" outlineLevel="0" collapsed="false">
      <c r="A11" s="139" t="s">
        <v>686</v>
      </c>
      <c r="B11" s="126" t="s">
        <v>169</v>
      </c>
      <c r="C11" s="126" t="s">
        <v>691</v>
      </c>
      <c r="D11" s="126" t="s">
        <v>692</v>
      </c>
      <c r="E11" s="126" t="s">
        <v>693</v>
      </c>
      <c r="F11" s="126" t="s">
        <v>685</v>
      </c>
    </row>
    <row r="12" customFormat="false" ht="15" hidden="false" customHeight="true" outlineLevel="0" collapsed="false">
      <c r="A12" s="139" t="s">
        <v>686</v>
      </c>
      <c r="B12" s="126" t="s">
        <v>127</v>
      </c>
      <c r="C12" s="126" t="s">
        <v>694</v>
      </c>
      <c r="D12" s="126" t="s">
        <v>695</v>
      </c>
      <c r="E12" s="126" t="s">
        <v>696</v>
      </c>
      <c r="F12" s="126" t="s">
        <v>678</v>
      </c>
    </row>
    <row r="13" customFormat="false" ht="15" hidden="false" customHeight="true" outlineLevel="0" collapsed="false">
      <c r="A13" s="139" t="s">
        <v>686</v>
      </c>
      <c r="B13" s="126" t="s">
        <v>170</v>
      </c>
      <c r="C13" s="126" t="s">
        <v>697</v>
      </c>
      <c r="D13" s="126" t="s">
        <v>698</v>
      </c>
      <c r="E13" s="126" t="s">
        <v>699</v>
      </c>
      <c r="F13" s="126" t="s">
        <v>678</v>
      </c>
    </row>
    <row r="14" customFormat="false" ht="23.25" hidden="false" customHeight="true" outlineLevel="0" collapsed="false">
      <c r="A14" s="140" t="s">
        <v>150</v>
      </c>
      <c r="B14" s="126" t="s">
        <v>171</v>
      </c>
      <c r="C14" s="126" t="s">
        <v>700</v>
      </c>
      <c r="D14" s="126" t="s">
        <v>701</v>
      </c>
      <c r="E14" s="126" t="s">
        <v>702</v>
      </c>
      <c r="F14" s="126" t="s">
        <v>685</v>
      </c>
    </row>
    <row r="15" customFormat="false" ht="15" hidden="false" customHeight="true" outlineLevel="0" collapsed="false">
      <c r="A15" s="140" t="s">
        <v>150</v>
      </c>
      <c r="B15" s="126" t="s">
        <v>172</v>
      </c>
      <c r="C15" s="126" t="s">
        <v>703</v>
      </c>
      <c r="D15" s="126" t="s">
        <v>704</v>
      </c>
      <c r="E15" s="126" t="s">
        <v>705</v>
      </c>
      <c r="F15" s="126" t="s">
        <v>678</v>
      </c>
    </row>
    <row r="16" customFormat="false" ht="15" hidden="false" customHeight="true" outlineLevel="0" collapsed="false">
      <c r="A16" s="140" t="s">
        <v>150</v>
      </c>
      <c r="B16" s="126" t="s">
        <v>173</v>
      </c>
      <c r="C16" s="126" t="s">
        <v>706</v>
      </c>
      <c r="D16" s="126" t="s">
        <v>707</v>
      </c>
      <c r="E16" s="126" t="s">
        <v>708</v>
      </c>
      <c r="F16" s="126" t="s">
        <v>685</v>
      </c>
    </row>
    <row r="17" customFormat="false" ht="23.25" hidden="false" customHeight="true" outlineLevel="0" collapsed="false">
      <c r="A17" s="141" t="s">
        <v>709</v>
      </c>
      <c r="B17" s="126" t="s">
        <v>113</v>
      </c>
      <c r="C17" s="126" t="s">
        <v>710</v>
      </c>
      <c r="D17" s="126" t="s">
        <v>711</v>
      </c>
      <c r="E17" s="126" t="s">
        <v>696</v>
      </c>
      <c r="F17" s="126" t="s">
        <v>712</v>
      </c>
    </row>
    <row r="18" customFormat="false" ht="15" hidden="false" customHeight="true" outlineLevel="0" collapsed="false">
      <c r="A18" s="141" t="s">
        <v>709</v>
      </c>
      <c r="B18" s="126" t="s">
        <v>97</v>
      </c>
      <c r="C18" s="126" t="s">
        <v>713</v>
      </c>
      <c r="D18" s="126" t="s">
        <v>714</v>
      </c>
      <c r="E18" s="126" t="s">
        <v>715</v>
      </c>
      <c r="F18" s="126" t="s">
        <v>716</v>
      </c>
    </row>
    <row r="19" customFormat="false" ht="15" hidden="false" customHeight="true" outlineLevel="0" collapsed="false">
      <c r="A19" s="141" t="s">
        <v>709</v>
      </c>
      <c r="B19" s="126" t="s">
        <v>174</v>
      </c>
      <c r="C19" s="126" t="s">
        <v>717</v>
      </c>
      <c r="D19" s="126" t="s">
        <v>718</v>
      </c>
      <c r="E19" s="126" t="s">
        <v>719</v>
      </c>
      <c r="F19" s="126" t="s">
        <v>244</v>
      </c>
    </row>
    <row r="20" customFormat="false" ht="15" hidden="false" customHeight="true" outlineLevel="0" collapsed="false">
      <c r="A20" s="141" t="s">
        <v>709</v>
      </c>
      <c r="B20" s="126" t="s">
        <v>93</v>
      </c>
      <c r="C20" s="126" t="s">
        <v>720</v>
      </c>
      <c r="D20" s="126" t="s">
        <v>721</v>
      </c>
      <c r="E20" s="126" t="s">
        <v>696</v>
      </c>
      <c r="F20" s="126" t="s">
        <v>722</v>
      </c>
    </row>
    <row r="21" customFormat="false" ht="15" hidden="false" customHeight="true" outlineLevel="0" collapsed="false">
      <c r="A21" s="141" t="s">
        <v>709</v>
      </c>
      <c r="B21" s="126" t="s">
        <v>101</v>
      </c>
      <c r="C21" s="126" t="s">
        <v>723</v>
      </c>
      <c r="D21" s="126" t="s">
        <v>724</v>
      </c>
      <c r="E21" s="126" t="s">
        <v>725</v>
      </c>
      <c r="F21" s="126" t="s">
        <v>726</v>
      </c>
    </row>
    <row r="22" customFormat="false" ht="15" hidden="false" customHeight="true" outlineLevel="0" collapsed="false">
      <c r="A22" s="142" t="s">
        <v>727</v>
      </c>
      <c r="B22" s="126" t="s">
        <v>116</v>
      </c>
      <c r="C22" s="126" t="s">
        <v>728</v>
      </c>
      <c r="D22" s="126" t="s">
        <v>729</v>
      </c>
      <c r="E22" s="126" t="s">
        <v>730</v>
      </c>
      <c r="F22" s="126" t="s">
        <v>731</v>
      </c>
    </row>
    <row r="23" customFormat="false" ht="15" hidden="false" customHeight="true" outlineLevel="0" collapsed="false">
      <c r="A23" s="142" t="s">
        <v>727</v>
      </c>
      <c r="B23" s="126" t="s">
        <v>175</v>
      </c>
      <c r="C23" s="126" t="s">
        <v>732</v>
      </c>
      <c r="D23" s="126" t="s">
        <v>733</v>
      </c>
      <c r="E23" s="126" t="s">
        <v>719</v>
      </c>
      <c r="F23" s="126" t="s">
        <v>244</v>
      </c>
    </row>
    <row r="24" customFormat="false" ht="15" hidden="false" customHeight="true" outlineLevel="0" collapsed="false">
      <c r="A24" s="142" t="s">
        <v>727</v>
      </c>
      <c r="B24" s="126" t="s">
        <v>176</v>
      </c>
      <c r="C24" s="126" t="s">
        <v>734</v>
      </c>
      <c r="D24" s="126" t="s">
        <v>735</v>
      </c>
      <c r="E24" s="126" t="s">
        <v>705</v>
      </c>
      <c r="F24" s="126" t="s">
        <v>678</v>
      </c>
    </row>
    <row r="25" customFormat="false" ht="23.25" hidden="false" customHeight="true" outlineLevel="0" collapsed="false">
      <c r="A25" s="143" t="s">
        <v>736</v>
      </c>
      <c r="B25" s="126" t="s">
        <v>177</v>
      </c>
      <c r="C25" s="126" t="s">
        <v>737</v>
      </c>
      <c r="D25" s="126" t="s">
        <v>738</v>
      </c>
      <c r="E25" s="126" t="s">
        <v>661</v>
      </c>
      <c r="F25" s="126" t="s">
        <v>739</v>
      </c>
    </row>
    <row r="26" customFormat="false" ht="15" hidden="false" customHeight="true" outlineLevel="0" collapsed="false">
      <c r="A26" s="143" t="s">
        <v>736</v>
      </c>
      <c r="B26" s="126" t="s">
        <v>178</v>
      </c>
      <c r="C26" s="126" t="s">
        <v>740</v>
      </c>
      <c r="D26" s="126" t="s">
        <v>741</v>
      </c>
      <c r="E26" s="126" t="s">
        <v>742</v>
      </c>
      <c r="F26" s="126" t="s">
        <v>743</v>
      </c>
    </row>
    <row r="27" customFormat="false" ht="15" hidden="false" customHeight="true" outlineLevel="0" collapsed="false">
      <c r="A27" s="143" t="s">
        <v>736</v>
      </c>
      <c r="B27" s="126" t="s">
        <v>179</v>
      </c>
      <c r="C27" s="126" t="s">
        <v>744</v>
      </c>
      <c r="D27" s="126" t="s">
        <v>745</v>
      </c>
      <c r="E27" s="126" t="s">
        <v>746</v>
      </c>
      <c r="F27" s="126" t="s">
        <v>685</v>
      </c>
    </row>
    <row r="28" customFormat="false" ht="23.25" hidden="false" customHeight="true" outlineLevel="0" collapsed="false">
      <c r="A28" s="144" t="s">
        <v>747</v>
      </c>
      <c r="B28" s="126" t="s">
        <v>180</v>
      </c>
      <c r="C28" s="126" t="s">
        <v>748</v>
      </c>
      <c r="D28" s="126" t="s">
        <v>749</v>
      </c>
      <c r="E28" s="126" t="s">
        <v>750</v>
      </c>
      <c r="F28" s="126" t="s">
        <v>685</v>
      </c>
    </row>
    <row r="29" customFormat="false" ht="23.25" hidden="false" customHeight="true" outlineLevel="0" collapsed="false">
      <c r="A29" s="144" t="s">
        <v>747</v>
      </c>
      <c r="B29" s="126" t="s">
        <v>181</v>
      </c>
      <c r="C29" s="126" t="s">
        <v>751</v>
      </c>
      <c r="D29" s="126" t="s">
        <v>752</v>
      </c>
      <c r="E29" s="126" t="s">
        <v>753</v>
      </c>
      <c r="F29" s="126" t="s">
        <v>678</v>
      </c>
    </row>
    <row r="30" customFormat="false" ht="23.25" hidden="false" customHeight="true" outlineLevel="0" collapsed="false">
      <c r="A30" s="144" t="s">
        <v>747</v>
      </c>
      <c r="B30" s="126" t="s">
        <v>182</v>
      </c>
      <c r="C30" s="126" t="s">
        <v>754</v>
      </c>
      <c r="D30" s="126" t="s">
        <v>755</v>
      </c>
      <c r="E30" s="126" t="s">
        <v>756</v>
      </c>
      <c r="F30" s="126" t="s">
        <v>685</v>
      </c>
    </row>
    <row r="31" customFormat="false" ht="23.25" hidden="false" customHeight="true" outlineLevel="0" collapsed="false">
      <c r="A31" s="144" t="s">
        <v>747</v>
      </c>
      <c r="B31" s="126" t="s">
        <v>183</v>
      </c>
      <c r="C31" s="126" t="s">
        <v>757</v>
      </c>
      <c r="D31" s="126" t="s">
        <v>758</v>
      </c>
      <c r="E31" s="126" t="s">
        <v>759</v>
      </c>
      <c r="F31" s="126" t="s">
        <v>678</v>
      </c>
    </row>
    <row r="32" customFormat="false" ht="23.25" hidden="false" customHeight="true" outlineLevel="0" collapsed="false">
      <c r="A32" s="144" t="s">
        <v>747</v>
      </c>
      <c r="B32" s="126" t="s">
        <v>121</v>
      </c>
      <c r="C32" s="126" t="s">
        <v>760</v>
      </c>
      <c r="D32" s="126" t="s">
        <v>761</v>
      </c>
      <c r="E32" s="126" t="s">
        <v>696</v>
      </c>
      <c r="F32" s="126" t="s">
        <v>762</v>
      </c>
    </row>
    <row r="33" customFormat="false" ht="23.25" hidden="false" customHeight="true" outlineLevel="0" collapsed="false">
      <c r="A33" s="144" t="s">
        <v>747</v>
      </c>
      <c r="B33" s="126" t="s">
        <v>124</v>
      </c>
      <c r="C33" s="126" t="s">
        <v>763</v>
      </c>
      <c r="D33" s="126" t="s">
        <v>764</v>
      </c>
      <c r="E33" s="126" t="s">
        <v>696</v>
      </c>
      <c r="F33" s="126" t="s">
        <v>765</v>
      </c>
    </row>
    <row r="34" customFormat="false" ht="23.25" hidden="false" customHeight="true" outlineLevel="0" collapsed="false">
      <c r="A34" s="144" t="s">
        <v>747</v>
      </c>
      <c r="B34" s="126" t="s">
        <v>184</v>
      </c>
      <c r="C34" s="126" t="s">
        <v>766</v>
      </c>
      <c r="D34" s="126" t="s">
        <v>767</v>
      </c>
      <c r="E34" s="126" t="s">
        <v>768</v>
      </c>
      <c r="F34" s="126" t="s">
        <v>769</v>
      </c>
    </row>
    <row r="35" customFormat="false" ht="23.25" hidden="false" customHeight="true" outlineLevel="0" collapsed="false">
      <c r="A35" s="144" t="s">
        <v>747</v>
      </c>
      <c r="B35" s="126" t="s">
        <v>185</v>
      </c>
      <c r="C35" s="126" t="s">
        <v>770</v>
      </c>
      <c r="D35" s="126" t="s">
        <v>771</v>
      </c>
      <c r="E35" s="126" t="s">
        <v>772</v>
      </c>
      <c r="F35" s="126" t="s">
        <v>773</v>
      </c>
    </row>
    <row r="36" customFormat="false" ht="23.25" hidden="false" customHeight="true" outlineLevel="0" collapsed="false">
      <c r="A36" s="144" t="s">
        <v>747</v>
      </c>
      <c r="B36" s="126" t="s">
        <v>186</v>
      </c>
      <c r="C36" s="126" t="s">
        <v>774</v>
      </c>
      <c r="D36" s="126" t="s">
        <v>775</v>
      </c>
      <c r="E36" s="126" t="s">
        <v>776</v>
      </c>
      <c r="F36" s="126" t="s">
        <v>777</v>
      </c>
    </row>
    <row r="37" customFormat="false" ht="23.25" hidden="false" customHeight="true" outlineLevel="0" collapsed="false">
      <c r="A37" s="144" t="s">
        <v>747</v>
      </c>
      <c r="B37" s="126" t="s">
        <v>187</v>
      </c>
      <c r="C37" s="126" t="s">
        <v>778</v>
      </c>
      <c r="D37" s="126" t="s">
        <v>779</v>
      </c>
      <c r="E37" s="126" t="s">
        <v>780</v>
      </c>
      <c r="F37" s="126" t="s">
        <v>781</v>
      </c>
    </row>
    <row r="38" customFormat="false" ht="23.25" hidden="false" customHeight="true" outlineLevel="0" collapsed="false">
      <c r="A38" s="145" t="s">
        <v>782</v>
      </c>
      <c r="B38" s="126" t="s">
        <v>188</v>
      </c>
      <c r="C38" s="126" t="s">
        <v>783</v>
      </c>
      <c r="D38" s="126" t="s">
        <v>784</v>
      </c>
      <c r="E38" s="126" t="s">
        <v>705</v>
      </c>
      <c r="F38" s="126" t="s">
        <v>678</v>
      </c>
    </row>
    <row r="39" customFormat="false" ht="23.25" hidden="false" customHeight="true" outlineLevel="0" collapsed="false">
      <c r="A39" s="145" t="s">
        <v>782</v>
      </c>
      <c r="B39" s="126" t="s">
        <v>189</v>
      </c>
      <c r="C39" s="126" t="s">
        <v>785</v>
      </c>
      <c r="D39" s="126" t="s">
        <v>786</v>
      </c>
      <c r="E39" s="126" t="s">
        <v>787</v>
      </c>
      <c r="F39" s="126" t="s">
        <v>788</v>
      </c>
    </row>
    <row r="40" customFormat="false" ht="23.25" hidden="false" customHeight="true" outlineLevel="0" collapsed="false">
      <c r="A40" s="145" t="s">
        <v>782</v>
      </c>
      <c r="B40" s="126" t="s">
        <v>190</v>
      </c>
      <c r="C40" s="126" t="s">
        <v>789</v>
      </c>
      <c r="D40" s="126" t="s">
        <v>790</v>
      </c>
      <c r="E40" s="126" t="s">
        <v>705</v>
      </c>
      <c r="F40" s="126" t="s">
        <v>685</v>
      </c>
    </row>
    <row r="41" customFormat="false" ht="23.25" hidden="false" customHeight="true" outlineLevel="0" collapsed="false">
      <c r="A41" s="145" t="s">
        <v>782</v>
      </c>
      <c r="B41" s="126" t="s">
        <v>191</v>
      </c>
      <c r="C41" s="126" t="s">
        <v>791</v>
      </c>
      <c r="D41" s="126" t="s">
        <v>792</v>
      </c>
      <c r="E41" s="126" t="s">
        <v>793</v>
      </c>
      <c r="F41" s="126" t="s">
        <v>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42"/>
    <col collapsed="false" customWidth="true" hidden="false" outlineLevel="0" max="6" min="6" style="1" width="54"/>
    <col collapsed="false" customWidth="true" hidden="false" outlineLevel="0" max="7" min="7" style="1" width="38"/>
  </cols>
  <sheetData>
    <row r="1" customFormat="false" ht="30" hidden="false" customHeight="true" outlineLevel="0" collapsed="false">
      <c r="A1" s="146" t="s">
        <v>794</v>
      </c>
      <c r="B1" s="146"/>
      <c r="C1" s="146"/>
      <c r="D1" s="146"/>
      <c r="E1" s="146"/>
      <c r="F1" s="146"/>
      <c r="G1" s="146"/>
    </row>
    <row r="2" customFormat="false" ht="36" hidden="false" customHeight="true" outlineLevel="0" collapsed="false">
      <c r="A2" s="147" t="s">
        <v>795</v>
      </c>
      <c r="B2" s="147"/>
      <c r="C2" s="147"/>
      <c r="D2" s="147"/>
      <c r="E2" s="147"/>
      <c r="F2" s="147"/>
      <c r="G2" s="147"/>
    </row>
    <row r="3" customFormat="false" ht="15" hidden="false" customHeight="true" outlineLevel="0" collapsed="false">
      <c r="A3" s="148" t="s">
        <v>796</v>
      </c>
      <c r="B3" s="148"/>
      <c r="C3" s="148"/>
      <c r="D3" s="148"/>
      <c r="E3" s="148"/>
      <c r="F3" s="148"/>
      <c r="G3" s="148"/>
    </row>
    <row r="4" customFormat="false" ht="45.75" hidden="false" customHeight="true" outlineLevel="0" collapsed="false">
      <c r="A4" s="149" t="s">
        <v>797</v>
      </c>
      <c r="B4" s="150" t="s">
        <v>798</v>
      </c>
      <c r="C4" s="150"/>
      <c r="D4" s="150"/>
      <c r="E4" s="150"/>
      <c r="F4" s="150"/>
      <c r="G4" s="150"/>
    </row>
    <row r="5" customFormat="false" ht="34.5" hidden="false" customHeight="true" outlineLevel="0" collapsed="false">
      <c r="A5" s="151" t="s">
        <v>799</v>
      </c>
      <c r="B5" s="150" t="s">
        <v>800</v>
      </c>
      <c r="C5" s="150"/>
      <c r="D5" s="150"/>
      <c r="E5" s="150"/>
      <c r="F5" s="150"/>
      <c r="G5" s="150"/>
    </row>
    <row r="6" customFormat="false" ht="45.75" hidden="false" customHeight="true" outlineLevel="0" collapsed="false">
      <c r="A6" s="152" t="s">
        <v>801</v>
      </c>
      <c r="B6" s="150" t="s">
        <v>802</v>
      </c>
      <c r="C6" s="150"/>
      <c r="D6" s="150"/>
      <c r="E6" s="150"/>
      <c r="F6" s="150"/>
      <c r="G6" s="150"/>
    </row>
    <row r="7" customFormat="false" ht="68.25" hidden="false" customHeight="true" outlineLevel="0" collapsed="false">
      <c r="A7" s="152" t="s">
        <v>803</v>
      </c>
      <c r="B7" s="150" t="s">
        <v>804</v>
      </c>
      <c r="C7" s="150"/>
      <c r="D7" s="150"/>
      <c r="E7" s="150"/>
      <c r="F7" s="150"/>
      <c r="G7" s="150"/>
    </row>
    <row r="9" customFormat="false" ht="15" hidden="false" customHeight="true" outlineLevel="0" collapsed="false">
      <c r="A9" s="148" t="s">
        <v>805</v>
      </c>
      <c r="B9" s="148"/>
      <c r="C9" s="148"/>
      <c r="D9" s="148"/>
      <c r="E9" s="148"/>
      <c r="F9" s="148"/>
      <c r="G9" s="148"/>
    </row>
    <row r="10" customFormat="false" ht="15" hidden="false" customHeight="true" outlineLevel="0" collapsed="false">
      <c r="A10" s="120" t="s">
        <v>156</v>
      </c>
      <c r="B10" s="120" t="s">
        <v>806</v>
      </c>
      <c r="C10" s="153" t="s">
        <v>807</v>
      </c>
      <c r="D10" s="153"/>
      <c r="E10" s="153"/>
      <c r="F10" s="153" t="s">
        <v>808</v>
      </c>
      <c r="G10" s="153"/>
    </row>
    <row r="11" customFormat="false" ht="49.5" hidden="false" customHeight="true" outlineLevel="0" collapsed="false">
      <c r="A11" s="154" t="n">
        <v>1</v>
      </c>
      <c r="B11" s="155" t="s">
        <v>809</v>
      </c>
      <c r="C11" s="156" t="s">
        <v>810</v>
      </c>
      <c r="D11" s="156"/>
      <c r="E11" s="156"/>
      <c r="F11" s="157" t="s">
        <v>811</v>
      </c>
      <c r="G11" s="157"/>
    </row>
    <row r="12" customFormat="false" ht="49.5" hidden="false" customHeight="true" outlineLevel="0" collapsed="false">
      <c r="A12" s="154" t="n">
        <v>2</v>
      </c>
      <c r="B12" s="155" t="s">
        <v>812</v>
      </c>
      <c r="C12" s="156" t="s">
        <v>813</v>
      </c>
      <c r="D12" s="156"/>
      <c r="E12" s="156"/>
      <c r="F12" s="157" t="s">
        <v>814</v>
      </c>
      <c r="G12" s="157"/>
    </row>
    <row r="13" customFormat="false" ht="49.5" hidden="false" customHeight="true" outlineLevel="0" collapsed="false">
      <c r="A13" s="154" t="n">
        <v>3</v>
      </c>
      <c r="B13" s="155" t="s">
        <v>815</v>
      </c>
      <c r="C13" s="156" t="s">
        <v>816</v>
      </c>
      <c r="D13" s="156"/>
      <c r="E13" s="156"/>
      <c r="F13" s="157" t="s">
        <v>817</v>
      </c>
      <c r="G13" s="157"/>
    </row>
    <row r="14" customFormat="false" ht="49.5" hidden="false" customHeight="true" outlineLevel="0" collapsed="false">
      <c r="A14" s="154" t="n">
        <v>4</v>
      </c>
      <c r="B14" s="155" t="s">
        <v>818</v>
      </c>
      <c r="C14" s="156" t="s">
        <v>819</v>
      </c>
      <c r="D14" s="156"/>
      <c r="E14" s="156"/>
      <c r="F14" s="157" t="s">
        <v>820</v>
      </c>
      <c r="G14" s="157"/>
    </row>
    <row r="15" customFormat="false" ht="49.5" hidden="false" customHeight="true" outlineLevel="0" collapsed="false">
      <c r="A15" s="154" t="n">
        <v>5</v>
      </c>
      <c r="B15" s="155" t="s">
        <v>821</v>
      </c>
      <c r="C15" s="156" t="s">
        <v>822</v>
      </c>
      <c r="D15" s="156"/>
      <c r="E15" s="156"/>
      <c r="F15" s="157" t="s">
        <v>823</v>
      </c>
      <c r="G15" s="157"/>
    </row>
    <row r="16" customFormat="false" ht="49.5" hidden="false" customHeight="true" outlineLevel="0" collapsed="false">
      <c r="A16" s="154" t="n">
        <v>6</v>
      </c>
      <c r="B16" s="155" t="s">
        <v>824</v>
      </c>
      <c r="C16" s="156" t="s">
        <v>825</v>
      </c>
      <c r="D16" s="156"/>
      <c r="E16" s="156"/>
      <c r="F16" s="157" t="s">
        <v>826</v>
      </c>
      <c r="G16" s="157"/>
    </row>
    <row r="17" customFormat="false" ht="49.5" hidden="false" customHeight="true" outlineLevel="0" collapsed="false">
      <c r="A17" s="154" t="n">
        <v>7</v>
      </c>
      <c r="B17" s="155" t="s">
        <v>827</v>
      </c>
      <c r="C17" s="156" t="s">
        <v>828</v>
      </c>
      <c r="D17" s="156"/>
      <c r="E17" s="156"/>
      <c r="F17" s="157" t="s">
        <v>829</v>
      </c>
      <c r="G17" s="157"/>
    </row>
    <row r="18" customFormat="false" ht="49.5" hidden="false" customHeight="true" outlineLevel="0" collapsed="false">
      <c r="A18" s="154" t="n">
        <v>8</v>
      </c>
      <c r="B18" s="155" t="s">
        <v>830</v>
      </c>
      <c r="C18" s="156" t="s">
        <v>831</v>
      </c>
      <c r="D18" s="156"/>
      <c r="E18" s="156"/>
      <c r="F18" s="157" t="s">
        <v>832</v>
      </c>
      <c r="G18" s="157"/>
    </row>
    <row r="19" customFormat="false" ht="49.5" hidden="false" customHeight="true" outlineLevel="0" collapsed="false">
      <c r="A19" s="154" t="n">
        <v>9</v>
      </c>
      <c r="B19" s="155" t="s">
        <v>833</v>
      </c>
      <c r="C19" s="156" t="s">
        <v>834</v>
      </c>
      <c r="D19" s="156"/>
      <c r="E19" s="156"/>
      <c r="F19" s="157" t="s">
        <v>835</v>
      </c>
      <c r="G19" s="157"/>
    </row>
    <row r="20" customFormat="false" ht="49.5" hidden="false" customHeight="true" outlineLevel="0" collapsed="false">
      <c r="A20" s="154" t="n">
        <v>10</v>
      </c>
      <c r="B20" s="155" t="s">
        <v>836</v>
      </c>
      <c r="C20" s="156" t="s">
        <v>837</v>
      </c>
      <c r="D20" s="156"/>
      <c r="E20" s="156"/>
      <c r="F20" s="157" t="s">
        <v>838</v>
      </c>
      <c r="G20" s="157"/>
    </row>
    <row r="23" customFormat="false" ht="15" hidden="false" customHeight="true" outlineLevel="0" collapsed="false">
      <c r="A23" s="148" t="s">
        <v>839</v>
      </c>
      <c r="B23" s="148"/>
      <c r="C23" s="148"/>
      <c r="D23" s="148"/>
      <c r="E23" s="148"/>
      <c r="F23" s="148"/>
      <c r="G23" s="148"/>
    </row>
    <row r="24" customFormat="false" ht="15" hidden="false" customHeight="true" outlineLevel="0" collapsed="false">
      <c r="A24" s="120" t="s">
        <v>840</v>
      </c>
      <c r="B24" s="120" t="s">
        <v>650</v>
      </c>
      <c r="C24" s="120" t="s">
        <v>651</v>
      </c>
      <c r="D24" s="120" t="s">
        <v>841</v>
      </c>
      <c r="E24" s="120" t="s">
        <v>842</v>
      </c>
      <c r="F24" s="120" t="s">
        <v>843</v>
      </c>
      <c r="G24" s="120" t="s">
        <v>844</v>
      </c>
    </row>
    <row r="25" customFormat="false" ht="69.75" hidden="false" customHeight="true" outlineLevel="0" collapsed="false">
      <c r="A25" s="158" t="s">
        <v>845</v>
      </c>
      <c r="B25" s="159" t="s">
        <v>132</v>
      </c>
      <c r="C25" s="155" t="s">
        <v>655</v>
      </c>
      <c r="D25" s="160" t="s">
        <v>797</v>
      </c>
      <c r="E25" s="161" t="s">
        <v>846</v>
      </c>
      <c r="F25" s="161" t="s">
        <v>847</v>
      </c>
      <c r="G25" s="162" t="s">
        <v>848</v>
      </c>
    </row>
    <row r="26" customFormat="false" ht="69.75" hidden="false" customHeight="true" outlineLevel="0" collapsed="false">
      <c r="A26" s="158" t="s">
        <v>845</v>
      </c>
      <c r="B26" s="159" t="s">
        <v>106</v>
      </c>
      <c r="C26" s="155" t="s">
        <v>659</v>
      </c>
      <c r="D26" s="160" t="s">
        <v>797</v>
      </c>
      <c r="E26" s="161" t="s">
        <v>849</v>
      </c>
      <c r="F26" s="161" t="s">
        <v>850</v>
      </c>
      <c r="G26" s="162" t="s">
        <v>851</v>
      </c>
    </row>
    <row r="27" customFormat="false" ht="102" hidden="false" customHeight="true" outlineLevel="0" collapsed="false">
      <c r="A27" s="158" t="s">
        <v>845</v>
      </c>
      <c r="B27" s="159" t="s">
        <v>162</v>
      </c>
      <c r="C27" s="155" t="s">
        <v>663</v>
      </c>
      <c r="D27" s="163" t="s">
        <v>801</v>
      </c>
      <c r="E27" s="161" t="s">
        <v>852</v>
      </c>
      <c r="F27" s="161" t="s">
        <v>853</v>
      </c>
      <c r="G27" s="162" t="s">
        <v>854</v>
      </c>
    </row>
    <row r="28" customFormat="false" ht="72.75" hidden="false" customHeight="true" outlineLevel="0" collapsed="false">
      <c r="A28" s="158" t="s">
        <v>845</v>
      </c>
      <c r="B28" s="159" t="s">
        <v>163</v>
      </c>
      <c r="C28" s="155" t="s">
        <v>667</v>
      </c>
      <c r="D28" s="163" t="s">
        <v>801</v>
      </c>
      <c r="E28" s="161" t="s">
        <v>855</v>
      </c>
      <c r="F28" s="161" t="s">
        <v>856</v>
      </c>
      <c r="G28" s="162" t="s">
        <v>857</v>
      </c>
    </row>
    <row r="29" customFormat="false" ht="69.75" hidden="false" customHeight="true" outlineLevel="0" collapsed="false">
      <c r="A29" s="158" t="s">
        <v>845</v>
      </c>
      <c r="B29" s="159" t="s">
        <v>164</v>
      </c>
      <c r="C29" s="155" t="s">
        <v>671</v>
      </c>
      <c r="D29" s="163" t="s">
        <v>801</v>
      </c>
      <c r="E29" s="161" t="s">
        <v>858</v>
      </c>
      <c r="F29" s="161" t="s">
        <v>859</v>
      </c>
      <c r="G29" s="162" t="s">
        <v>860</v>
      </c>
    </row>
    <row r="30" customFormat="false" ht="93" hidden="false" customHeight="true" outlineLevel="0" collapsed="false">
      <c r="A30" s="164" t="s">
        <v>861</v>
      </c>
      <c r="B30" s="159" t="s">
        <v>165</v>
      </c>
      <c r="C30" s="155" t="s">
        <v>675</v>
      </c>
      <c r="D30" s="163" t="s">
        <v>801</v>
      </c>
      <c r="E30" s="161" t="s">
        <v>862</v>
      </c>
      <c r="F30" s="161" t="s">
        <v>863</v>
      </c>
      <c r="G30" s="162" t="s">
        <v>864</v>
      </c>
    </row>
    <row r="31" customFormat="false" ht="69.75" hidden="false" customHeight="true" outlineLevel="0" collapsed="false">
      <c r="A31" s="164" t="s">
        <v>861</v>
      </c>
      <c r="B31" s="159" t="s">
        <v>166</v>
      </c>
      <c r="C31" s="155" t="s">
        <v>679</v>
      </c>
      <c r="D31" s="160" t="s">
        <v>797</v>
      </c>
      <c r="E31" s="161" t="s">
        <v>865</v>
      </c>
      <c r="F31" s="161" t="s">
        <v>866</v>
      </c>
      <c r="G31" s="162" t="s">
        <v>867</v>
      </c>
    </row>
    <row r="32" customFormat="false" ht="85.5" hidden="false" customHeight="true" outlineLevel="0" collapsed="false">
      <c r="A32" s="164" t="s">
        <v>861</v>
      </c>
      <c r="B32" s="159" t="s">
        <v>167</v>
      </c>
      <c r="C32" s="155" t="s">
        <v>682</v>
      </c>
      <c r="D32" s="163" t="s">
        <v>801</v>
      </c>
      <c r="E32" s="161" t="s">
        <v>868</v>
      </c>
      <c r="F32" s="161" t="s">
        <v>869</v>
      </c>
      <c r="G32" s="162" t="s">
        <v>870</v>
      </c>
    </row>
    <row r="33" customFormat="false" ht="100.5" hidden="false" customHeight="true" outlineLevel="0" collapsed="false">
      <c r="A33" s="165" t="s">
        <v>871</v>
      </c>
      <c r="B33" s="159" t="s">
        <v>168</v>
      </c>
      <c r="C33" s="155" t="s">
        <v>687</v>
      </c>
      <c r="D33" s="160" t="s">
        <v>797</v>
      </c>
      <c r="E33" s="161" t="s">
        <v>872</v>
      </c>
      <c r="F33" s="161" t="s">
        <v>873</v>
      </c>
      <c r="G33" s="162" t="s">
        <v>874</v>
      </c>
    </row>
    <row r="34" customFormat="false" ht="108" hidden="false" customHeight="true" outlineLevel="0" collapsed="false">
      <c r="A34" s="165" t="s">
        <v>871</v>
      </c>
      <c r="B34" s="159" t="s">
        <v>169</v>
      </c>
      <c r="C34" s="155" t="s">
        <v>691</v>
      </c>
      <c r="D34" s="163" t="s">
        <v>801</v>
      </c>
      <c r="E34" s="161" t="s">
        <v>875</v>
      </c>
      <c r="F34" s="161" t="s">
        <v>876</v>
      </c>
      <c r="G34" s="162" t="s">
        <v>877</v>
      </c>
    </row>
    <row r="35" customFormat="false" ht="69.75" hidden="false" customHeight="true" outlineLevel="0" collapsed="false">
      <c r="A35" s="165" t="s">
        <v>871</v>
      </c>
      <c r="B35" s="159" t="s">
        <v>127</v>
      </c>
      <c r="C35" s="155" t="s">
        <v>694</v>
      </c>
      <c r="D35" s="160" t="s">
        <v>878</v>
      </c>
      <c r="E35" s="161" t="s">
        <v>879</v>
      </c>
      <c r="F35" s="161" t="s">
        <v>880</v>
      </c>
      <c r="G35" s="162" t="s">
        <v>881</v>
      </c>
    </row>
    <row r="36" customFormat="false" ht="99.75" hidden="false" customHeight="true" outlineLevel="0" collapsed="false">
      <c r="A36" s="165" t="s">
        <v>871</v>
      </c>
      <c r="B36" s="159" t="s">
        <v>170</v>
      </c>
      <c r="C36" s="155" t="s">
        <v>697</v>
      </c>
      <c r="D36" s="163" t="s">
        <v>803</v>
      </c>
      <c r="E36" s="161" t="s">
        <v>882</v>
      </c>
      <c r="F36" s="161" t="s">
        <v>883</v>
      </c>
      <c r="G36" s="162" t="s">
        <v>884</v>
      </c>
    </row>
    <row r="37" customFormat="false" ht="77.25" hidden="false" customHeight="true" outlineLevel="0" collapsed="false">
      <c r="A37" s="166" t="s">
        <v>885</v>
      </c>
      <c r="B37" s="159" t="s">
        <v>171</v>
      </c>
      <c r="C37" s="155" t="s">
        <v>700</v>
      </c>
      <c r="D37" s="163" t="s">
        <v>801</v>
      </c>
      <c r="E37" s="161" t="s">
        <v>886</v>
      </c>
      <c r="F37" s="161" t="s">
        <v>887</v>
      </c>
      <c r="G37" s="162" t="s">
        <v>888</v>
      </c>
    </row>
    <row r="38" customFormat="false" ht="102.75" hidden="false" customHeight="true" outlineLevel="0" collapsed="false">
      <c r="A38" s="166" t="s">
        <v>885</v>
      </c>
      <c r="B38" s="159" t="s">
        <v>172</v>
      </c>
      <c r="C38" s="155" t="s">
        <v>703</v>
      </c>
      <c r="D38" s="163" t="s">
        <v>801</v>
      </c>
      <c r="E38" s="161" t="s">
        <v>889</v>
      </c>
      <c r="F38" s="161" t="s">
        <v>890</v>
      </c>
      <c r="G38" s="162" t="s">
        <v>891</v>
      </c>
    </row>
    <row r="39" customFormat="false" ht="69.75" hidden="false" customHeight="true" outlineLevel="0" collapsed="false">
      <c r="A39" s="166" t="s">
        <v>885</v>
      </c>
      <c r="B39" s="159" t="s">
        <v>173</v>
      </c>
      <c r="C39" s="155" t="s">
        <v>706</v>
      </c>
      <c r="D39" s="163" t="s">
        <v>892</v>
      </c>
      <c r="E39" s="161" t="s">
        <v>893</v>
      </c>
      <c r="F39" s="161" t="s">
        <v>894</v>
      </c>
      <c r="G39" s="162" t="s">
        <v>895</v>
      </c>
    </row>
    <row r="40" customFormat="false" ht="69.75" hidden="false" customHeight="true" outlineLevel="0" collapsed="false">
      <c r="A40" s="167" t="s">
        <v>896</v>
      </c>
      <c r="B40" s="159" t="s">
        <v>113</v>
      </c>
      <c r="C40" s="155" t="s">
        <v>710</v>
      </c>
      <c r="D40" s="160" t="s">
        <v>878</v>
      </c>
      <c r="E40" s="161" t="s">
        <v>897</v>
      </c>
      <c r="F40" s="161" t="s">
        <v>898</v>
      </c>
      <c r="G40" s="162" t="s">
        <v>899</v>
      </c>
    </row>
    <row r="41" customFormat="false" ht="69.75" hidden="false" customHeight="true" outlineLevel="0" collapsed="false">
      <c r="A41" s="167" t="s">
        <v>896</v>
      </c>
      <c r="B41" s="159" t="s">
        <v>97</v>
      </c>
      <c r="C41" s="155" t="s">
        <v>713</v>
      </c>
      <c r="D41" s="160" t="s">
        <v>797</v>
      </c>
      <c r="E41" s="161" t="s">
        <v>900</v>
      </c>
      <c r="F41" s="161" t="s">
        <v>901</v>
      </c>
      <c r="G41" s="162" t="s">
        <v>902</v>
      </c>
    </row>
    <row r="42" customFormat="false" ht="69.75" hidden="false" customHeight="true" outlineLevel="0" collapsed="false">
      <c r="A42" s="167" t="s">
        <v>896</v>
      </c>
      <c r="B42" s="159" t="s">
        <v>174</v>
      </c>
      <c r="C42" s="155" t="s">
        <v>717</v>
      </c>
      <c r="D42" s="160" t="s">
        <v>903</v>
      </c>
      <c r="E42" s="161" t="s">
        <v>904</v>
      </c>
      <c r="F42" s="161" t="s">
        <v>905</v>
      </c>
      <c r="G42" s="162" t="s">
        <v>906</v>
      </c>
    </row>
    <row r="43" customFormat="false" ht="72" hidden="false" customHeight="true" outlineLevel="0" collapsed="false">
      <c r="A43" s="167" t="s">
        <v>896</v>
      </c>
      <c r="B43" s="159" t="s">
        <v>93</v>
      </c>
      <c r="C43" s="155" t="s">
        <v>720</v>
      </c>
      <c r="D43" s="168" t="s">
        <v>799</v>
      </c>
      <c r="E43" s="161" t="s">
        <v>907</v>
      </c>
      <c r="F43" s="161" t="s">
        <v>908</v>
      </c>
      <c r="G43" s="162" t="s">
        <v>909</v>
      </c>
    </row>
    <row r="44" customFormat="false" ht="72" hidden="false" customHeight="true" outlineLevel="0" collapsed="false">
      <c r="A44" s="167" t="s">
        <v>896</v>
      </c>
      <c r="B44" s="159" t="s">
        <v>101</v>
      </c>
      <c r="C44" s="155" t="s">
        <v>723</v>
      </c>
      <c r="D44" s="160" t="s">
        <v>797</v>
      </c>
      <c r="E44" s="161" t="s">
        <v>910</v>
      </c>
      <c r="F44" s="161" t="s">
        <v>911</v>
      </c>
      <c r="G44" s="162" t="s">
        <v>912</v>
      </c>
    </row>
    <row r="45" customFormat="false" ht="69.75" hidden="false" customHeight="true" outlineLevel="0" collapsed="false">
      <c r="A45" s="169" t="s">
        <v>913</v>
      </c>
      <c r="B45" s="159" t="s">
        <v>116</v>
      </c>
      <c r="C45" s="155" t="s">
        <v>728</v>
      </c>
      <c r="D45" s="160" t="s">
        <v>914</v>
      </c>
      <c r="E45" s="161" t="s">
        <v>915</v>
      </c>
      <c r="F45" s="161" t="s">
        <v>916</v>
      </c>
      <c r="G45" s="162" t="s">
        <v>917</v>
      </c>
    </row>
    <row r="46" customFormat="false" ht="69.75" hidden="false" customHeight="true" outlineLevel="0" collapsed="false">
      <c r="A46" s="169" t="s">
        <v>913</v>
      </c>
      <c r="B46" s="159" t="s">
        <v>175</v>
      </c>
      <c r="C46" s="155" t="s">
        <v>732</v>
      </c>
      <c r="D46" s="168" t="s">
        <v>918</v>
      </c>
      <c r="E46" s="161" t="s">
        <v>919</v>
      </c>
      <c r="F46" s="161" t="s">
        <v>920</v>
      </c>
      <c r="G46" s="162" t="s">
        <v>921</v>
      </c>
    </row>
    <row r="47" customFormat="false" ht="69.75" hidden="false" customHeight="true" outlineLevel="0" collapsed="false">
      <c r="A47" s="169" t="s">
        <v>913</v>
      </c>
      <c r="B47" s="159" t="s">
        <v>176</v>
      </c>
      <c r="C47" s="155" t="s">
        <v>734</v>
      </c>
      <c r="D47" s="168" t="s">
        <v>922</v>
      </c>
      <c r="E47" s="161" t="s">
        <v>919</v>
      </c>
      <c r="F47" s="161" t="s">
        <v>923</v>
      </c>
      <c r="G47" s="162" t="s">
        <v>921</v>
      </c>
    </row>
    <row r="48" customFormat="false" ht="86.25" hidden="false" customHeight="true" outlineLevel="0" collapsed="false">
      <c r="A48" s="170" t="s">
        <v>924</v>
      </c>
      <c r="B48" s="159" t="s">
        <v>177</v>
      </c>
      <c r="C48" s="155" t="s">
        <v>737</v>
      </c>
      <c r="D48" s="163" t="s">
        <v>925</v>
      </c>
      <c r="E48" s="161" t="s">
        <v>926</v>
      </c>
      <c r="F48" s="161" t="s">
        <v>927</v>
      </c>
      <c r="G48" s="162" t="s">
        <v>928</v>
      </c>
    </row>
    <row r="49" customFormat="false" ht="69.75" hidden="false" customHeight="true" outlineLevel="0" collapsed="false">
      <c r="A49" s="170" t="s">
        <v>924</v>
      </c>
      <c r="B49" s="159" t="s">
        <v>178</v>
      </c>
      <c r="C49" s="155" t="s">
        <v>740</v>
      </c>
      <c r="D49" s="163" t="s">
        <v>801</v>
      </c>
      <c r="E49" s="161" t="s">
        <v>929</v>
      </c>
      <c r="F49" s="161" t="s">
        <v>930</v>
      </c>
      <c r="G49" s="162" t="s">
        <v>931</v>
      </c>
    </row>
    <row r="50" customFormat="false" ht="103.5" hidden="false" customHeight="true" outlineLevel="0" collapsed="false">
      <c r="A50" s="170" t="s">
        <v>924</v>
      </c>
      <c r="B50" s="159" t="s">
        <v>179</v>
      </c>
      <c r="C50" s="155" t="s">
        <v>744</v>
      </c>
      <c r="D50" s="163" t="s">
        <v>801</v>
      </c>
      <c r="E50" s="161" t="s">
        <v>932</v>
      </c>
      <c r="F50" s="161" t="s">
        <v>933</v>
      </c>
      <c r="G50" s="162" t="s">
        <v>934</v>
      </c>
    </row>
    <row r="51" customFormat="false" ht="105" hidden="false" customHeight="true" outlineLevel="0" collapsed="false">
      <c r="A51" s="171" t="s">
        <v>935</v>
      </c>
      <c r="B51" s="159" t="s">
        <v>180</v>
      </c>
      <c r="C51" s="155" t="s">
        <v>748</v>
      </c>
      <c r="D51" s="163" t="s">
        <v>803</v>
      </c>
      <c r="E51" s="161" t="s">
        <v>936</v>
      </c>
      <c r="F51" s="161" t="s">
        <v>937</v>
      </c>
      <c r="G51" s="162" t="s">
        <v>938</v>
      </c>
    </row>
    <row r="52" customFormat="false" ht="107.25" hidden="false" customHeight="true" outlineLevel="0" collapsed="false">
      <c r="A52" s="171" t="s">
        <v>935</v>
      </c>
      <c r="B52" s="159" t="s">
        <v>181</v>
      </c>
      <c r="C52" s="155" t="s">
        <v>751</v>
      </c>
      <c r="D52" s="163" t="s">
        <v>939</v>
      </c>
      <c r="E52" s="161" t="s">
        <v>940</v>
      </c>
      <c r="F52" s="161" t="s">
        <v>941</v>
      </c>
      <c r="G52" s="162" t="s">
        <v>942</v>
      </c>
    </row>
    <row r="53" customFormat="false" ht="110.25" hidden="false" customHeight="true" outlineLevel="0" collapsed="false">
      <c r="A53" s="171" t="s">
        <v>935</v>
      </c>
      <c r="B53" s="159" t="s">
        <v>182</v>
      </c>
      <c r="C53" s="155" t="s">
        <v>754</v>
      </c>
      <c r="D53" s="163" t="s">
        <v>943</v>
      </c>
      <c r="E53" s="161" t="s">
        <v>944</v>
      </c>
      <c r="F53" s="161" t="s">
        <v>945</v>
      </c>
      <c r="G53" s="162" t="s">
        <v>946</v>
      </c>
    </row>
    <row r="54" customFormat="false" ht="136.5" hidden="false" customHeight="true" outlineLevel="0" collapsed="false">
      <c r="A54" s="171" t="s">
        <v>935</v>
      </c>
      <c r="B54" s="159" t="s">
        <v>183</v>
      </c>
      <c r="C54" s="155" t="s">
        <v>757</v>
      </c>
      <c r="D54" s="163" t="s">
        <v>947</v>
      </c>
      <c r="E54" s="161" t="s">
        <v>948</v>
      </c>
      <c r="F54" s="161" t="s">
        <v>949</v>
      </c>
      <c r="G54" s="162" t="s">
        <v>950</v>
      </c>
    </row>
    <row r="55" customFormat="false" ht="69.75" hidden="false" customHeight="true" outlineLevel="0" collapsed="false">
      <c r="A55" s="171" t="s">
        <v>935</v>
      </c>
      <c r="B55" s="159" t="s">
        <v>121</v>
      </c>
      <c r="C55" s="155" t="s">
        <v>760</v>
      </c>
      <c r="D55" s="160" t="s">
        <v>878</v>
      </c>
      <c r="E55" s="161" t="s">
        <v>951</v>
      </c>
      <c r="F55" s="161" t="s">
        <v>952</v>
      </c>
      <c r="G55" s="162" t="s">
        <v>953</v>
      </c>
    </row>
    <row r="56" customFormat="false" ht="69.75" hidden="false" customHeight="true" outlineLevel="0" collapsed="false">
      <c r="A56" s="171" t="s">
        <v>935</v>
      </c>
      <c r="B56" s="159" t="s">
        <v>124</v>
      </c>
      <c r="C56" s="155" t="s">
        <v>763</v>
      </c>
      <c r="D56" s="160" t="s">
        <v>878</v>
      </c>
      <c r="E56" s="161" t="s">
        <v>954</v>
      </c>
      <c r="F56" s="161" t="s">
        <v>955</v>
      </c>
      <c r="G56" s="162" t="s">
        <v>956</v>
      </c>
    </row>
    <row r="57" customFormat="false" ht="86.25" hidden="false" customHeight="true" outlineLevel="0" collapsed="false">
      <c r="A57" s="171" t="s">
        <v>935</v>
      </c>
      <c r="B57" s="159" t="s">
        <v>184</v>
      </c>
      <c r="C57" s="155" t="s">
        <v>766</v>
      </c>
      <c r="D57" s="160" t="s">
        <v>797</v>
      </c>
      <c r="E57" s="161" t="s">
        <v>957</v>
      </c>
      <c r="F57" s="161" t="s">
        <v>958</v>
      </c>
      <c r="G57" s="162" t="s">
        <v>959</v>
      </c>
    </row>
    <row r="58" customFormat="false" ht="102" hidden="false" customHeight="true" outlineLevel="0" collapsed="false">
      <c r="A58" s="171" t="s">
        <v>935</v>
      </c>
      <c r="B58" s="159" t="s">
        <v>185</v>
      </c>
      <c r="C58" s="155" t="s">
        <v>770</v>
      </c>
      <c r="D58" s="160" t="s">
        <v>797</v>
      </c>
      <c r="E58" s="161" t="s">
        <v>960</v>
      </c>
      <c r="F58" s="161" t="s">
        <v>961</v>
      </c>
      <c r="G58" s="162" t="s">
        <v>962</v>
      </c>
    </row>
    <row r="59" customFormat="false" ht="90.75" hidden="false" customHeight="true" outlineLevel="0" collapsed="false">
      <c r="A59" s="171" t="s">
        <v>935</v>
      </c>
      <c r="B59" s="159" t="s">
        <v>186</v>
      </c>
      <c r="C59" s="155" t="s">
        <v>774</v>
      </c>
      <c r="D59" s="163" t="s">
        <v>963</v>
      </c>
      <c r="E59" s="161" t="s">
        <v>964</v>
      </c>
      <c r="F59" s="161" t="s">
        <v>965</v>
      </c>
      <c r="G59" s="162" t="s">
        <v>966</v>
      </c>
    </row>
    <row r="60" customFormat="false" ht="103.5" hidden="false" customHeight="true" outlineLevel="0" collapsed="false">
      <c r="A60" s="171" t="s">
        <v>935</v>
      </c>
      <c r="B60" s="159" t="s">
        <v>187</v>
      </c>
      <c r="C60" s="155" t="s">
        <v>778</v>
      </c>
      <c r="D60" s="160" t="s">
        <v>797</v>
      </c>
      <c r="E60" s="161" t="s">
        <v>967</v>
      </c>
      <c r="F60" s="161" t="s">
        <v>968</v>
      </c>
      <c r="G60" s="162" t="s">
        <v>969</v>
      </c>
    </row>
    <row r="61" customFormat="false" ht="72" hidden="false" customHeight="true" outlineLevel="0" collapsed="false">
      <c r="A61" s="172" t="s">
        <v>970</v>
      </c>
      <c r="B61" s="159" t="s">
        <v>188</v>
      </c>
      <c r="C61" s="155" t="s">
        <v>783</v>
      </c>
      <c r="D61" s="163" t="s">
        <v>801</v>
      </c>
      <c r="E61" s="161" t="s">
        <v>971</v>
      </c>
      <c r="F61" s="161" t="s">
        <v>972</v>
      </c>
      <c r="G61" s="162" t="s">
        <v>973</v>
      </c>
    </row>
    <row r="62" customFormat="false" ht="86.25" hidden="false" customHeight="true" outlineLevel="0" collapsed="false">
      <c r="A62" s="172" t="s">
        <v>970</v>
      </c>
      <c r="B62" s="159" t="s">
        <v>189</v>
      </c>
      <c r="C62" s="155" t="s">
        <v>785</v>
      </c>
      <c r="D62" s="163" t="s">
        <v>974</v>
      </c>
      <c r="E62" s="161" t="s">
        <v>975</v>
      </c>
      <c r="F62" s="161" t="s">
        <v>976</v>
      </c>
      <c r="G62" s="162" t="s">
        <v>977</v>
      </c>
    </row>
    <row r="63" customFormat="false" ht="96.75" hidden="false" customHeight="true" outlineLevel="0" collapsed="false">
      <c r="A63" s="172" t="s">
        <v>970</v>
      </c>
      <c r="B63" s="159" t="s">
        <v>190</v>
      </c>
      <c r="C63" s="155" t="s">
        <v>789</v>
      </c>
      <c r="D63" s="163" t="s">
        <v>803</v>
      </c>
      <c r="E63" s="161" t="s">
        <v>978</v>
      </c>
      <c r="F63" s="161" t="s">
        <v>979</v>
      </c>
      <c r="G63" s="162" t="s">
        <v>980</v>
      </c>
    </row>
    <row r="64" customFormat="false" ht="119.25" hidden="false" customHeight="true" outlineLevel="0" collapsed="false">
      <c r="A64" s="172" t="s">
        <v>970</v>
      </c>
      <c r="B64" s="159" t="s">
        <v>191</v>
      </c>
      <c r="C64" s="155" t="s">
        <v>791</v>
      </c>
      <c r="D64" s="163" t="s">
        <v>981</v>
      </c>
      <c r="E64" s="161" t="s">
        <v>982</v>
      </c>
      <c r="F64" s="161" t="s">
        <v>983</v>
      </c>
      <c r="G64" s="162" t="s">
        <v>984</v>
      </c>
    </row>
    <row r="67" customFormat="false" ht="15" hidden="false" customHeight="true" outlineLevel="0" collapsed="false">
      <c r="A67" s="148" t="s">
        <v>985</v>
      </c>
      <c r="B67" s="148"/>
      <c r="C67" s="148"/>
      <c r="D67" s="148"/>
      <c r="E67" s="148"/>
      <c r="F67" s="148"/>
      <c r="G67" s="148"/>
    </row>
    <row r="68" customFormat="false" ht="15" hidden="false" customHeight="true" outlineLevel="0" collapsed="false">
      <c r="A68" s="120" t="s">
        <v>502</v>
      </c>
      <c r="B68" s="120" t="s">
        <v>986</v>
      </c>
      <c r="C68" s="153" t="s">
        <v>987</v>
      </c>
      <c r="D68" s="153"/>
      <c r="E68" s="153" t="s">
        <v>988</v>
      </c>
      <c r="F68" s="153"/>
      <c r="G68" s="153"/>
    </row>
    <row r="69" customFormat="false" ht="31.5" hidden="false" customHeight="true" outlineLevel="0" collapsed="false">
      <c r="A69" s="173" t="s">
        <v>989</v>
      </c>
      <c r="B69" s="62" t="s">
        <v>990</v>
      </c>
      <c r="C69" s="174" t="s">
        <v>991</v>
      </c>
      <c r="D69" s="174"/>
      <c r="E69" s="161" t="s">
        <v>992</v>
      </c>
      <c r="F69" s="161"/>
      <c r="G69" s="161"/>
    </row>
    <row r="70" customFormat="false" ht="31.5" hidden="false" customHeight="true" outlineLevel="0" collapsed="false">
      <c r="A70" s="173" t="s">
        <v>989</v>
      </c>
      <c r="B70" s="62" t="s">
        <v>993</v>
      </c>
      <c r="C70" s="174" t="s">
        <v>994</v>
      </c>
      <c r="D70" s="174"/>
      <c r="E70" s="161" t="s">
        <v>995</v>
      </c>
      <c r="F70" s="161"/>
      <c r="G70" s="161"/>
    </row>
    <row r="71" customFormat="false" ht="31.5" hidden="false" customHeight="true" outlineLevel="0" collapsed="false">
      <c r="A71" s="173" t="s">
        <v>989</v>
      </c>
      <c r="B71" s="62" t="s">
        <v>996</v>
      </c>
      <c r="C71" s="174" t="s">
        <v>997</v>
      </c>
      <c r="D71" s="174"/>
      <c r="E71" s="161" t="s">
        <v>998</v>
      </c>
      <c r="F71" s="161"/>
      <c r="G71" s="161"/>
    </row>
    <row r="72" customFormat="false" ht="31.5" hidden="false" customHeight="true" outlineLevel="0" collapsed="false">
      <c r="A72" s="173" t="s">
        <v>989</v>
      </c>
      <c r="B72" s="62" t="s">
        <v>999</v>
      </c>
      <c r="C72" s="174" t="s">
        <v>1000</v>
      </c>
      <c r="D72" s="174"/>
      <c r="E72" s="161" t="s">
        <v>1001</v>
      </c>
      <c r="F72" s="161"/>
      <c r="G72" s="161"/>
    </row>
    <row r="73" customFormat="false" ht="31.5" hidden="false" customHeight="true" outlineLevel="0" collapsed="false">
      <c r="A73" s="173" t="s">
        <v>989</v>
      </c>
      <c r="B73" s="62" t="s">
        <v>1002</v>
      </c>
      <c r="C73" s="174" t="s">
        <v>1003</v>
      </c>
      <c r="D73" s="174"/>
      <c r="E73" s="161" t="s">
        <v>1004</v>
      </c>
      <c r="F73" s="161"/>
      <c r="G73" s="161"/>
    </row>
    <row r="74" customFormat="false" ht="31.5" hidden="false" customHeight="true" outlineLevel="0" collapsed="false">
      <c r="A74" s="173" t="s">
        <v>989</v>
      </c>
      <c r="B74" s="62" t="s">
        <v>1005</v>
      </c>
      <c r="C74" s="174" t="s">
        <v>1006</v>
      </c>
      <c r="D74" s="174"/>
      <c r="E74" s="161" t="s">
        <v>1007</v>
      </c>
      <c r="F74" s="161"/>
      <c r="G74" s="161"/>
    </row>
    <row r="75" customFormat="false" ht="31.5" hidden="false" customHeight="true" outlineLevel="0" collapsed="false">
      <c r="A75" s="173" t="s">
        <v>989</v>
      </c>
      <c r="B75" s="62" t="s">
        <v>1008</v>
      </c>
      <c r="C75" s="174" t="s">
        <v>1009</v>
      </c>
      <c r="D75" s="174"/>
      <c r="E75" s="161" t="s">
        <v>1010</v>
      </c>
      <c r="F75" s="161"/>
      <c r="G75" s="161"/>
    </row>
    <row r="76" customFormat="false" ht="31.5" hidden="false" customHeight="true" outlineLevel="0" collapsed="false">
      <c r="A76" s="173" t="s">
        <v>989</v>
      </c>
      <c r="B76" s="62" t="s">
        <v>1011</v>
      </c>
      <c r="C76" s="174" t="s">
        <v>1012</v>
      </c>
      <c r="D76" s="174"/>
      <c r="E76" s="161" t="s">
        <v>1013</v>
      </c>
      <c r="F76" s="161"/>
      <c r="G76" s="161"/>
    </row>
    <row r="77" customFormat="false" ht="31.5" hidden="false" customHeight="true" outlineLevel="0" collapsed="false">
      <c r="A77" s="173" t="s">
        <v>989</v>
      </c>
      <c r="B77" s="62" t="s">
        <v>1014</v>
      </c>
      <c r="C77" s="174" t="s">
        <v>1015</v>
      </c>
      <c r="D77" s="174"/>
      <c r="E77" s="161" t="s">
        <v>1016</v>
      </c>
      <c r="F77" s="161"/>
      <c r="G77" s="161"/>
    </row>
    <row r="78" customFormat="false" ht="31.5" hidden="false" customHeight="true" outlineLevel="0" collapsed="false">
      <c r="A78" s="175" t="s">
        <v>1017</v>
      </c>
      <c r="B78" s="62" t="s">
        <v>1018</v>
      </c>
      <c r="C78" s="174" t="s">
        <v>1019</v>
      </c>
      <c r="D78" s="174"/>
      <c r="E78" s="161" t="s">
        <v>1020</v>
      </c>
      <c r="F78" s="161"/>
      <c r="G78" s="161"/>
    </row>
    <row r="79" customFormat="false" ht="31.5" hidden="false" customHeight="true" outlineLevel="0" collapsed="false">
      <c r="A79" s="175" t="s">
        <v>1017</v>
      </c>
      <c r="B79" s="62" t="s">
        <v>1021</v>
      </c>
      <c r="C79" s="174" t="s">
        <v>1022</v>
      </c>
      <c r="D79" s="174"/>
      <c r="E79" s="161" t="s">
        <v>1023</v>
      </c>
      <c r="F79" s="161"/>
      <c r="G79" s="161"/>
    </row>
    <row r="80" customFormat="false" ht="31.5" hidden="false" customHeight="true" outlineLevel="0" collapsed="false">
      <c r="A80" s="175" t="s">
        <v>1017</v>
      </c>
      <c r="B80" s="62" t="s">
        <v>1024</v>
      </c>
      <c r="C80" s="174" t="s">
        <v>1025</v>
      </c>
      <c r="D80" s="174"/>
      <c r="E80" s="161" t="s">
        <v>1026</v>
      </c>
      <c r="F80" s="161"/>
      <c r="G80" s="161"/>
    </row>
    <row r="81" customFormat="false" ht="31.5" hidden="false" customHeight="true" outlineLevel="0" collapsed="false">
      <c r="A81" s="175" t="s">
        <v>1017</v>
      </c>
      <c r="B81" s="62" t="s">
        <v>1027</v>
      </c>
      <c r="C81" s="174" t="s">
        <v>1028</v>
      </c>
      <c r="D81" s="174"/>
      <c r="E81" s="161" t="s">
        <v>1029</v>
      </c>
      <c r="F81" s="161"/>
      <c r="G81" s="161"/>
    </row>
    <row r="82" customFormat="false" ht="31.5" hidden="false" customHeight="true" outlineLevel="0" collapsed="false">
      <c r="A82" s="175" t="s">
        <v>1017</v>
      </c>
      <c r="B82" s="62" t="s">
        <v>1030</v>
      </c>
      <c r="C82" s="174" t="s">
        <v>1031</v>
      </c>
      <c r="D82" s="174"/>
      <c r="E82" s="161" t="s">
        <v>1032</v>
      </c>
      <c r="F82" s="161"/>
      <c r="G82" s="161"/>
    </row>
    <row r="83" customFormat="false" ht="31.5" hidden="false" customHeight="true" outlineLevel="0" collapsed="false">
      <c r="A83" s="175" t="s">
        <v>1017</v>
      </c>
      <c r="B83" s="62" t="s">
        <v>1033</v>
      </c>
      <c r="C83" s="174" t="s">
        <v>1034</v>
      </c>
      <c r="D83" s="174"/>
      <c r="E83" s="161" t="s">
        <v>1035</v>
      </c>
      <c r="F83" s="161"/>
      <c r="G83" s="161"/>
    </row>
    <row r="84" customFormat="false" ht="31.5" hidden="false" customHeight="true" outlineLevel="0" collapsed="false">
      <c r="A84" s="175" t="s">
        <v>1017</v>
      </c>
      <c r="B84" s="62" t="s">
        <v>1036</v>
      </c>
      <c r="C84" s="174" t="s">
        <v>1037</v>
      </c>
      <c r="D84" s="174"/>
      <c r="E84" s="161" t="s">
        <v>1038</v>
      </c>
      <c r="F84" s="161"/>
      <c r="G84" s="161"/>
    </row>
    <row r="85" customFormat="false" ht="31.5" hidden="false" customHeight="true" outlineLevel="0" collapsed="false">
      <c r="A85" s="175" t="s">
        <v>1017</v>
      </c>
      <c r="B85" s="62" t="s">
        <v>1039</v>
      </c>
      <c r="C85" s="174" t="s">
        <v>1040</v>
      </c>
      <c r="D85" s="174"/>
      <c r="E85" s="161" t="s">
        <v>1041</v>
      </c>
      <c r="F85" s="161"/>
      <c r="G85" s="161"/>
    </row>
    <row r="86" customFormat="false" ht="31.5" hidden="false" customHeight="true" outlineLevel="0" collapsed="false">
      <c r="A86" s="175" t="s">
        <v>1017</v>
      </c>
      <c r="B86" s="62" t="s">
        <v>1042</v>
      </c>
      <c r="C86" s="174" t="s">
        <v>1043</v>
      </c>
      <c r="D86" s="174"/>
      <c r="E86" s="161" t="s">
        <v>1044</v>
      </c>
      <c r="F86" s="161"/>
      <c r="G86" s="161"/>
    </row>
    <row r="87" customFormat="false" ht="31.5" hidden="false" customHeight="true" outlineLevel="0" collapsed="false">
      <c r="A87" s="175" t="s">
        <v>1017</v>
      </c>
      <c r="B87" s="62" t="s">
        <v>1045</v>
      </c>
      <c r="C87" s="174" t="s">
        <v>1046</v>
      </c>
      <c r="D87" s="174"/>
      <c r="E87" s="161" t="s">
        <v>1047</v>
      </c>
      <c r="F87" s="161"/>
      <c r="G87" s="161"/>
    </row>
    <row r="90" customFormat="false" ht="15" hidden="false" customHeight="true" outlineLevel="0" collapsed="false">
      <c r="A90" s="148" t="s">
        <v>1048</v>
      </c>
      <c r="B90" s="148"/>
      <c r="C90" s="148"/>
      <c r="D90" s="148"/>
      <c r="E90" s="148"/>
      <c r="F90" s="148"/>
      <c r="G90" s="148"/>
    </row>
    <row r="91" customFormat="false" ht="15" hidden="false" customHeight="true" outlineLevel="0" collapsed="false">
      <c r="A91" s="176" t="s">
        <v>1049</v>
      </c>
      <c r="B91" s="176"/>
      <c r="C91" s="176"/>
      <c r="D91" s="176"/>
      <c r="E91" s="176"/>
      <c r="F91" s="176"/>
      <c r="G91" s="176"/>
    </row>
    <row r="92" customFormat="false" ht="60" hidden="false" customHeight="true" outlineLevel="0" collapsed="false">
      <c r="A92" s="177" t="s">
        <v>1050</v>
      </c>
      <c r="B92" s="177"/>
      <c r="C92" s="177"/>
      <c r="D92" s="177"/>
      <c r="E92" s="177"/>
      <c r="F92" s="177"/>
      <c r="G92" s="177"/>
    </row>
    <row r="93" customFormat="false" ht="15" hidden="false" customHeight="true" outlineLevel="0" collapsed="false">
      <c r="A93" s="176" t="s">
        <v>1051</v>
      </c>
      <c r="B93" s="176"/>
      <c r="C93" s="176"/>
      <c r="D93" s="176"/>
      <c r="E93" s="176"/>
      <c r="F93" s="176"/>
      <c r="G93" s="176"/>
    </row>
    <row r="94" customFormat="false" ht="60" hidden="false" customHeight="true" outlineLevel="0" collapsed="false">
      <c r="A94" s="177" t="s">
        <v>1052</v>
      </c>
      <c r="B94" s="177"/>
      <c r="C94" s="177"/>
      <c r="D94" s="177"/>
      <c r="E94" s="177"/>
      <c r="F94" s="177"/>
      <c r="G94" s="177"/>
    </row>
    <row r="95" customFormat="false" ht="15" hidden="false" customHeight="true" outlineLevel="0" collapsed="false">
      <c r="A95" s="176" t="s">
        <v>1053</v>
      </c>
      <c r="B95" s="176"/>
      <c r="C95" s="176"/>
      <c r="D95" s="176"/>
      <c r="E95" s="176"/>
      <c r="F95" s="176"/>
      <c r="G95" s="176"/>
    </row>
    <row r="96" customFormat="false" ht="60" hidden="false" customHeight="true" outlineLevel="0" collapsed="false">
      <c r="A96" s="177" t="s">
        <v>1054</v>
      </c>
      <c r="B96" s="177"/>
      <c r="C96" s="177"/>
      <c r="D96" s="177"/>
      <c r="E96" s="177"/>
      <c r="F96" s="177"/>
      <c r="G96" s="177"/>
    </row>
    <row r="97" customFormat="false" ht="15" hidden="false" customHeight="true" outlineLevel="0" collapsed="false">
      <c r="A97" s="176" t="s">
        <v>1055</v>
      </c>
      <c r="B97" s="176"/>
      <c r="C97" s="176"/>
      <c r="D97" s="176"/>
      <c r="E97" s="176"/>
      <c r="F97" s="176"/>
      <c r="G97" s="176"/>
    </row>
    <row r="98" customFormat="false" ht="60" hidden="false" customHeight="true" outlineLevel="0" collapsed="false">
      <c r="A98" s="177" t="s">
        <v>1056</v>
      </c>
      <c r="B98" s="177"/>
      <c r="C98" s="177"/>
      <c r="D98" s="177"/>
      <c r="E98" s="177"/>
      <c r="F98" s="177"/>
      <c r="G98" s="177"/>
    </row>
    <row r="99" customFormat="false" ht="15" hidden="false" customHeight="true" outlineLevel="0" collapsed="false">
      <c r="A99" s="176" t="s">
        <v>1057</v>
      </c>
      <c r="B99" s="176"/>
      <c r="C99" s="176"/>
      <c r="D99" s="176"/>
      <c r="E99" s="176"/>
      <c r="F99" s="176"/>
      <c r="G99" s="176"/>
    </row>
    <row r="100" customFormat="false" ht="60" hidden="false" customHeight="true" outlineLevel="0" collapsed="false">
      <c r="A100" s="177" t="s">
        <v>1058</v>
      </c>
      <c r="B100" s="177"/>
      <c r="C100" s="177"/>
      <c r="D100" s="177"/>
      <c r="E100" s="177"/>
      <c r="F100" s="177"/>
      <c r="G100" s="177"/>
    </row>
  </sheetData>
  <mergeCells count="83">
    <mergeCell ref="A1:G1"/>
    <mergeCell ref="A2:G2"/>
    <mergeCell ref="A3:G3"/>
    <mergeCell ref="B4:G4"/>
    <mergeCell ref="B5:G5"/>
    <mergeCell ref="B6:G6"/>
    <mergeCell ref="B7:G7"/>
    <mergeCell ref="A9:G9"/>
    <mergeCell ref="C10:E10"/>
    <mergeCell ref="F10:G10"/>
    <mergeCell ref="C11:E11"/>
    <mergeCell ref="F11:G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A23:G23"/>
    <mergeCell ref="A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A90:G90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3" min="12" style="1" width="12"/>
    <col collapsed="false" customWidth="true" hidden="false" outlineLevel="0" max="17" min="14" style="1" width="14"/>
    <col collapsed="false" customWidth="true" hidden="false" outlineLevel="0" max="18" min="18" style="1" width="12"/>
    <col collapsed="false" customWidth="true" hidden="false" outlineLevel="0" max="19" min="19" style="1" width="14"/>
    <col collapsed="false" customWidth="true" hidden="false" outlineLevel="0" max="20" min="20" style="1" width="12"/>
    <col collapsed="false" customWidth="true" hidden="false" outlineLevel="0" max="22" min="21" style="1" width="14"/>
    <col collapsed="false" customWidth="true" hidden="false" outlineLevel="0" max="23" min="23" style="1" width="24"/>
    <col collapsed="false" customWidth="true" hidden="false" outlineLevel="0" max="24" min="24" style="1" width="12"/>
    <col collapsed="false" customWidth="true" hidden="false" outlineLevel="0" max="25" min="25" style="1" width="14"/>
    <col collapsed="false" customWidth="true" hidden="false" outlineLevel="0" max="26" min="26" style="1" width="20"/>
    <col collapsed="false" customWidth="true" hidden="false" outlineLevel="0" max="32" min="27" style="1" width="14"/>
    <col collapsed="false" customWidth="true" hidden="false" outlineLevel="0" max="34" min="33" style="1" width="12"/>
    <col collapsed="false" customWidth="true" hidden="false" outlineLevel="0" max="35" min="35" style="1" width="16"/>
    <col collapsed="false" customWidth="true" hidden="false" outlineLevel="0" max="37" min="36" style="1" width="14"/>
    <col collapsed="false" customWidth="true" hidden="false" outlineLevel="0" max="38" min="38" style="1" width="22"/>
    <col collapsed="false" customWidth="true" hidden="false" outlineLevel="0" max="41" min="39" style="1" width="14"/>
    <col collapsed="false" customWidth="true" hidden="false" outlineLevel="0" max="42" min="42" style="1" width="16"/>
  </cols>
  <sheetData>
    <row r="1" customFormat="false" ht="21.75" hidden="false" customHeight="true" outlineLevel="0" collapsed="false">
      <c r="A1" s="153" t="s">
        <v>1059</v>
      </c>
      <c r="B1" s="153"/>
      <c r="C1" s="178" t="s">
        <v>654</v>
      </c>
      <c r="D1" s="178"/>
      <c r="E1" s="178"/>
      <c r="F1" s="178"/>
      <c r="G1" s="178"/>
      <c r="H1" s="179" t="s">
        <v>148</v>
      </c>
      <c r="I1" s="179"/>
      <c r="J1" s="179"/>
      <c r="K1" s="180" t="s">
        <v>686</v>
      </c>
      <c r="L1" s="180"/>
      <c r="M1" s="180"/>
      <c r="N1" s="180"/>
      <c r="O1" s="181" t="s">
        <v>150</v>
      </c>
      <c r="P1" s="181"/>
      <c r="Q1" s="181"/>
      <c r="R1" s="182" t="s">
        <v>709</v>
      </c>
      <c r="S1" s="182"/>
      <c r="T1" s="182"/>
      <c r="U1" s="182"/>
      <c r="V1" s="182"/>
      <c r="W1" s="183" t="s">
        <v>727</v>
      </c>
      <c r="X1" s="183"/>
      <c r="Y1" s="183"/>
      <c r="Z1" s="184" t="s">
        <v>153</v>
      </c>
      <c r="AA1" s="184"/>
      <c r="AB1" s="184"/>
      <c r="AC1" s="185" t="s">
        <v>747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6" t="s">
        <v>782</v>
      </c>
      <c r="AN1" s="186"/>
      <c r="AO1" s="186"/>
      <c r="AP1" s="186"/>
    </row>
    <row r="2" customFormat="false" ht="37.5" hidden="false" customHeight="true" outlineLevel="0" collapsed="false">
      <c r="A2" s="58" t="s">
        <v>72</v>
      </c>
      <c r="B2" s="58" t="s">
        <v>75</v>
      </c>
      <c r="C2" s="58" t="s">
        <v>1060</v>
      </c>
      <c r="D2" s="58" t="s">
        <v>1061</v>
      </c>
      <c r="E2" s="58" t="s">
        <v>1062</v>
      </c>
      <c r="F2" s="58" t="s">
        <v>1063</v>
      </c>
      <c r="G2" s="58" t="s">
        <v>1064</v>
      </c>
      <c r="H2" s="58" t="s">
        <v>1065</v>
      </c>
      <c r="I2" s="58" t="s">
        <v>1066</v>
      </c>
      <c r="J2" s="58" t="s">
        <v>1067</v>
      </c>
      <c r="K2" s="58" t="s">
        <v>1068</v>
      </c>
      <c r="L2" s="58" t="s">
        <v>1069</v>
      </c>
      <c r="M2" s="58" t="s">
        <v>1070</v>
      </c>
      <c r="N2" s="58" t="s">
        <v>1071</v>
      </c>
      <c r="O2" s="58" t="s">
        <v>1072</v>
      </c>
      <c r="P2" s="58" t="s">
        <v>1073</v>
      </c>
      <c r="Q2" s="58" t="s">
        <v>1074</v>
      </c>
      <c r="R2" s="58" t="s">
        <v>1075</v>
      </c>
      <c r="S2" s="58" t="s">
        <v>1076</v>
      </c>
      <c r="T2" s="58" t="s">
        <v>1077</v>
      </c>
      <c r="U2" s="58" t="s">
        <v>1078</v>
      </c>
      <c r="V2" s="58" t="s">
        <v>1079</v>
      </c>
      <c r="W2" s="58" t="s">
        <v>1080</v>
      </c>
      <c r="X2" s="58" t="s">
        <v>1081</v>
      </c>
      <c r="Y2" s="58" t="s">
        <v>1082</v>
      </c>
      <c r="Z2" s="58" t="s">
        <v>1083</v>
      </c>
      <c r="AA2" s="58" t="s">
        <v>1084</v>
      </c>
      <c r="AB2" s="58" t="s">
        <v>1085</v>
      </c>
      <c r="AC2" s="58" t="s">
        <v>1086</v>
      </c>
      <c r="AD2" s="58" t="s">
        <v>1087</v>
      </c>
      <c r="AE2" s="58" t="s">
        <v>1088</v>
      </c>
      <c r="AF2" s="58" t="s">
        <v>1089</v>
      </c>
      <c r="AG2" s="58" t="s">
        <v>1090</v>
      </c>
      <c r="AH2" s="58" t="s">
        <v>1091</v>
      </c>
      <c r="AI2" s="58" t="s">
        <v>1092</v>
      </c>
      <c r="AJ2" s="58" t="s">
        <v>1093</v>
      </c>
      <c r="AK2" s="58" t="s">
        <v>406</v>
      </c>
      <c r="AL2" s="58" t="s">
        <v>1094</v>
      </c>
      <c r="AM2" s="58" t="s">
        <v>1095</v>
      </c>
      <c r="AN2" s="58" t="s">
        <v>1096</v>
      </c>
      <c r="AO2" s="58" t="s">
        <v>1097</v>
      </c>
      <c r="AP2" s="58" t="s">
        <v>1098</v>
      </c>
    </row>
    <row r="3" customFormat="false" ht="15" hidden="false" customHeight="true" outlineLevel="0" collapsed="false">
      <c r="A3" s="187" t="s">
        <v>1099</v>
      </c>
      <c r="B3" s="187" t="s">
        <v>1100</v>
      </c>
      <c r="C3" s="188" t="s">
        <v>658</v>
      </c>
      <c r="D3" s="188" t="s">
        <v>1101</v>
      </c>
      <c r="E3" s="188" t="s">
        <v>666</v>
      </c>
      <c r="F3" s="188" t="s">
        <v>1102</v>
      </c>
      <c r="G3" s="188" t="s">
        <v>1103</v>
      </c>
      <c r="H3" s="188" t="n">
        <v>3</v>
      </c>
      <c r="I3" s="188" t="s">
        <v>681</v>
      </c>
      <c r="J3" s="188" t="n">
        <v>3</v>
      </c>
      <c r="K3" s="188" t="s">
        <v>690</v>
      </c>
      <c r="L3" s="188" t="n">
        <v>2</v>
      </c>
      <c r="M3" s="188" t="n">
        <v>3</v>
      </c>
      <c r="N3" s="188" t="n">
        <v>3</v>
      </c>
      <c r="O3" s="188" t="n">
        <v>1</v>
      </c>
      <c r="P3" s="188" t="n">
        <v>3</v>
      </c>
      <c r="Q3" s="188" t="n">
        <v>3</v>
      </c>
      <c r="R3" s="188" t="n">
        <v>8</v>
      </c>
      <c r="S3" s="188" t="s">
        <v>716</v>
      </c>
      <c r="T3" s="188" t="s">
        <v>244</v>
      </c>
      <c r="U3" s="188" t="n">
        <v>14</v>
      </c>
      <c r="V3" s="188" t="s">
        <v>726</v>
      </c>
      <c r="W3" s="188" t="s">
        <v>1104</v>
      </c>
      <c r="X3" s="188" t="s">
        <v>244</v>
      </c>
      <c r="Y3" s="188" t="n">
        <v>3</v>
      </c>
      <c r="Z3" s="188"/>
      <c r="AA3" s="188" t="s">
        <v>743</v>
      </c>
      <c r="AB3" s="188" t="n">
        <v>1</v>
      </c>
      <c r="AC3" s="188" t="n">
        <v>3</v>
      </c>
      <c r="AD3" s="188" t="n">
        <v>3</v>
      </c>
      <c r="AE3" s="188" t="n">
        <v>2</v>
      </c>
      <c r="AF3" s="188" t="n">
        <v>3</v>
      </c>
      <c r="AG3" s="188" t="n">
        <v>28</v>
      </c>
      <c r="AH3" s="188" t="n">
        <v>42</v>
      </c>
      <c r="AI3" s="188" t="s">
        <v>769</v>
      </c>
      <c r="AJ3" s="188" t="s">
        <v>773</v>
      </c>
      <c r="AK3" s="188" t="s">
        <v>777</v>
      </c>
      <c r="AL3" s="188" t="s">
        <v>781</v>
      </c>
      <c r="AM3" s="188" t="n">
        <v>3</v>
      </c>
      <c r="AN3" s="188" t="s">
        <v>788</v>
      </c>
      <c r="AO3" s="188" t="n">
        <v>1</v>
      </c>
      <c r="AP3" s="188" t="n">
        <v>3</v>
      </c>
    </row>
    <row r="4" customFormat="false" ht="15" hidden="false" customHeight="true" outlineLevel="0" collapsed="false">
      <c r="A4" s="187" t="s">
        <v>1105</v>
      </c>
      <c r="B4" s="187" t="s">
        <v>1106</v>
      </c>
      <c r="C4" s="188" t="s">
        <v>658</v>
      </c>
      <c r="D4" s="188" t="s">
        <v>1107</v>
      </c>
      <c r="E4" s="188" t="s">
        <v>666</v>
      </c>
      <c r="F4" s="188" t="s">
        <v>1108</v>
      </c>
      <c r="G4" s="188" t="s">
        <v>1103</v>
      </c>
      <c r="H4" s="188" t="n">
        <v>3</v>
      </c>
      <c r="I4" s="188" t="s">
        <v>681</v>
      </c>
      <c r="J4" s="188" t="n">
        <v>2</v>
      </c>
      <c r="K4" s="188" t="s">
        <v>1109</v>
      </c>
      <c r="L4" s="188" t="n">
        <v>2</v>
      </c>
      <c r="M4" s="188" t="n">
        <v>2</v>
      </c>
      <c r="N4" s="188" t="n">
        <v>2</v>
      </c>
      <c r="O4" s="188" t="n">
        <v>0</v>
      </c>
      <c r="P4" s="188" t="n">
        <v>3</v>
      </c>
      <c r="Q4" s="188" t="n">
        <v>3</v>
      </c>
      <c r="R4" s="188" t="n">
        <v>5</v>
      </c>
      <c r="S4" s="188" t="s">
        <v>716</v>
      </c>
      <c r="T4" s="188" t="s">
        <v>233</v>
      </c>
      <c r="U4" s="188" t="n">
        <v>13</v>
      </c>
      <c r="V4" s="188" t="s">
        <v>726</v>
      </c>
      <c r="W4" s="188" t="s">
        <v>1110</v>
      </c>
      <c r="X4" s="188" t="s">
        <v>244</v>
      </c>
      <c r="Y4" s="188" t="n">
        <v>3</v>
      </c>
      <c r="Z4" s="188"/>
      <c r="AA4" s="188" t="s">
        <v>743</v>
      </c>
      <c r="AB4" s="188" t="n">
        <v>1</v>
      </c>
      <c r="AC4" s="188" t="n">
        <v>2</v>
      </c>
      <c r="AD4" s="188" t="n">
        <v>2</v>
      </c>
      <c r="AE4" s="188" t="n">
        <v>2</v>
      </c>
      <c r="AF4" s="188" t="n">
        <v>3</v>
      </c>
      <c r="AG4" s="188" t="n">
        <v>18</v>
      </c>
      <c r="AH4" s="188" t="n">
        <v>31</v>
      </c>
      <c r="AI4" s="188" t="s">
        <v>781</v>
      </c>
      <c r="AJ4" s="188" t="s">
        <v>773</v>
      </c>
      <c r="AK4" s="188" t="s">
        <v>1111</v>
      </c>
      <c r="AL4" s="188" t="s">
        <v>781</v>
      </c>
      <c r="AM4" s="188" t="n">
        <v>3</v>
      </c>
      <c r="AN4" s="188" t="s">
        <v>788</v>
      </c>
      <c r="AO4" s="188" t="n">
        <v>1</v>
      </c>
      <c r="AP4" s="188" t="n">
        <v>2</v>
      </c>
    </row>
    <row r="5" customFormat="false" ht="15" hidden="false" customHeight="true" outlineLevel="0" collapsed="false">
      <c r="A5" s="187" t="s">
        <v>1112</v>
      </c>
      <c r="B5" s="187" t="s">
        <v>1113</v>
      </c>
      <c r="C5" s="188" t="s">
        <v>658</v>
      </c>
      <c r="D5" s="188" t="s">
        <v>1114</v>
      </c>
      <c r="E5" s="188" t="s">
        <v>1115</v>
      </c>
      <c r="F5" s="188" t="s">
        <v>1116</v>
      </c>
      <c r="G5" s="188" t="s">
        <v>1117</v>
      </c>
      <c r="H5" s="188" t="n">
        <v>2</v>
      </c>
      <c r="I5" s="188" t="s">
        <v>1118</v>
      </c>
      <c r="J5" s="188" t="n">
        <v>3</v>
      </c>
      <c r="K5" s="188" t="s">
        <v>690</v>
      </c>
      <c r="L5" s="188" t="n">
        <v>1</v>
      </c>
      <c r="M5" s="188" t="n">
        <v>2</v>
      </c>
      <c r="N5" s="188" t="n">
        <v>2</v>
      </c>
      <c r="O5" s="188" t="n">
        <v>1</v>
      </c>
      <c r="P5" s="188" t="n">
        <v>2</v>
      </c>
      <c r="Q5" s="188" t="n">
        <v>2</v>
      </c>
      <c r="R5" s="188" t="n">
        <v>4</v>
      </c>
      <c r="S5" s="188" t="s">
        <v>1119</v>
      </c>
      <c r="T5" s="188" t="s">
        <v>244</v>
      </c>
      <c r="U5" s="188" t="n">
        <v>17</v>
      </c>
      <c r="V5" s="188" t="s">
        <v>726</v>
      </c>
      <c r="W5" s="188" t="s">
        <v>1120</v>
      </c>
      <c r="X5" s="188" t="s">
        <v>244</v>
      </c>
      <c r="Y5" s="188" t="n">
        <v>2</v>
      </c>
      <c r="Z5" s="188"/>
      <c r="AA5" s="188" t="s">
        <v>1121</v>
      </c>
      <c r="AB5" s="188" t="n">
        <v>2</v>
      </c>
      <c r="AC5" s="188" t="n">
        <v>2</v>
      </c>
      <c r="AD5" s="188" t="n">
        <v>3</v>
      </c>
      <c r="AE5" s="188" t="n">
        <v>3</v>
      </c>
      <c r="AF5" s="188" t="n">
        <v>2</v>
      </c>
      <c r="AG5" s="188" t="n">
        <v>4</v>
      </c>
      <c r="AH5" s="188" t="n">
        <v>22</v>
      </c>
      <c r="AI5" s="188" t="s">
        <v>781</v>
      </c>
      <c r="AJ5" s="188" t="s">
        <v>773</v>
      </c>
      <c r="AK5" s="188" t="s">
        <v>781</v>
      </c>
      <c r="AL5" s="188" t="s">
        <v>781</v>
      </c>
      <c r="AM5" s="188" t="n">
        <v>2</v>
      </c>
      <c r="AN5" s="188" t="s">
        <v>1122</v>
      </c>
      <c r="AO5" s="188" t="n">
        <v>2</v>
      </c>
      <c r="AP5" s="188" t="n">
        <v>2</v>
      </c>
    </row>
    <row r="6" customFormat="false" ht="23.25" hidden="false" customHeight="true" outlineLevel="0" collapsed="false">
      <c r="A6" s="187" t="s">
        <v>1123</v>
      </c>
      <c r="B6" s="187" t="s">
        <v>1124</v>
      </c>
      <c r="C6" s="188" t="s">
        <v>1125</v>
      </c>
      <c r="D6" s="188" t="s">
        <v>1126</v>
      </c>
      <c r="E6" s="188" t="s">
        <v>666</v>
      </c>
      <c r="F6" s="188" t="s">
        <v>1127</v>
      </c>
      <c r="G6" s="188" t="s">
        <v>1128</v>
      </c>
      <c r="H6" s="188" t="n">
        <v>0</v>
      </c>
      <c r="I6" s="188"/>
      <c r="J6" s="188" t="n">
        <v>0</v>
      </c>
      <c r="K6" s="188" t="s">
        <v>1109</v>
      </c>
      <c r="L6" s="188" t="n">
        <v>3</v>
      </c>
      <c r="M6" s="188" t="n">
        <v>4</v>
      </c>
      <c r="N6" s="188" t="n">
        <v>3</v>
      </c>
      <c r="O6" s="188" t="n">
        <v>0</v>
      </c>
      <c r="P6" s="188" t="n">
        <v>3</v>
      </c>
      <c r="Q6" s="188" t="n">
        <v>2</v>
      </c>
      <c r="R6" s="188" t="n">
        <v>6</v>
      </c>
      <c r="S6" s="188" t="s">
        <v>716</v>
      </c>
      <c r="T6" s="188" t="s">
        <v>244</v>
      </c>
      <c r="U6" s="188" t="n">
        <v>17</v>
      </c>
      <c r="V6" s="188" t="s">
        <v>726</v>
      </c>
      <c r="W6" s="188" t="s">
        <v>1104</v>
      </c>
      <c r="X6" s="188" t="s">
        <v>244</v>
      </c>
      <c r="Y6" s="188" t="n">
        <v>3</v>
      </c>
      <c r="Z6" s="188"/>
      <c r="AA6" s="188" t="s">
        <v>1121</v>
      </c>
      <c r="AB6" s="188" t="n">
        <v>2</v>
      </c>
      <c r="AC6" s="188" t="n">
        <v>3</v>
      </c>
      <c r="AD6" s="188" t="n">
        <v>3</v>
      </c>
      <c r="AE6" s="188" t="n">
        <v>3</v>
      </c>
      <c r="AF6" s="188" t="n">
        <v>3</v>
      </c>
      <c r="AG6" s="188" t="n">
        <v>35</v>
      </c>
      <c r="AH6" s="188" t="n">
        <v>48</v>
      </c>
      <c r="AI6" s="188" t="s">
        <v>781</v>
      </c>
      <c r="AJ6" s="188" t="s">
        <v>773</v>
      </c>
      <c r="AK6" s="188" t="s">
        <v>1111</v>
      </c>
      <c r="AL6" s="188" t="s">
        <v>781</v>
      </c>
      <c r="AM6" s="188" t="n">
        <v>2</v>
      </c>
      <c r="AN6" s="188" t="s">
        <v>1122</v>
      </c>
      <c r="AO6" s="188" t="n">
        <v>3</v>
      </c>
      <c r="AP6" s="188" t="n">
        <v>3</v>
      </c>
    </row>
    <row r="7" customFormat="false" ht="23.25" hidden="false" customHeight="true" outlineLevel="0" collapsed="false">
      <c r="A7" s="187" t="s">
        <v>1129</v>
      </c>
      <c r="B7" s="187" t="s">
        <v>1130</v>
      </c>
      <c r="C7" s="188" t="s">
        <v>1131</v>
      </c>
      <c r="D7" s="188" t="s">
        <v>1132</v>
      </c>
      <c r="E7" s="188" t="s">
        <v>666</v>
      </c>
      <c r="F7" s="188" t="s">
        <v>1133</v>
      </c>
      <c r="G7" s="188" t="s">
        <v>1128</v>
      </c>
      <c r="H7" s="188" t="n">
        <v>0</v>
      </c>
      <c r="I7" s="188"/>
      <c r="J7" s="188" t="n">
        <v>1</v>
      </c>
      <c r="K7" s="188" t="s">
        <v>1134</v>
      </c>
      <c r="L7" s="188" t="n">
        <v>2</v>
      </c>
      <c r="M7" s="188" t="n">
        <v>3</v>
      </c>
      <c r="N7" s="188" t="n">
        <v>2</v>
      </c>
      <c r="O7" s="188" t="n">
        <v>1</v>
      </c>
      <c r="P7" s="188" t="n">
        <v>3</v>
      </c>
      <c r="Q7" s="188" t="n">
        <v>2</v>
      </c>
      <c r="R7" s="188" t="n">
        <v>3</v>
      </c>
      <c r="S7" s="188" t="s">
        <v>716</v>
      </c>
      <c r="T7" s="188" t="s">
        <v>233</v>
      </c>
      <c r="U7" s="188" t="n">
        <v>11</v>
      </c>
      <c r="V7" s="188" t="s">
        <v>726</v>
      </c>
      <c r="W7" s="188" t="s">
        <v>1120</v>
      </c>
      <c r="X7" s="188" t="s">
        <v>244</v>
      </c>
      <c r="Y7" s="188" t="n">
        <v>2</v>
      </c>
      <c r="Z7" s="188"/>
      <c r="AA7" s="188" t="s">
        <v>743</v>
      </c>
      <c r="AB7" s="188" t="n">
        <v>2</v>
      </c>
      <c r="AC7" s="188" t="n">
        <v>2</v>
      </c>
      <c r="AD7" s="188" t="n">
        <v>2</v>
      </c>
      <c r="AE7" s="188" t="n">
        <v>2</v>
      </c>
      <c r="AF7" s="188" t="n">
        <v>3</v>
      </c>
      <c r="AG7" s="188" t="n">
        <v>14</v>
      </c>
      <c r="AH7" s="188" t="n">
        <v>27</v>
      </c>
      <c r="AI7" s="188" t="s">
        <v>781</v>
      </c>
      <c r="AJ7" s="188" t="s">
        <v>773</v>
      </c>
      <c r="AK7" s="188" t="s">
        <v>781</v>
      </c>
      <c r="AL7" s="188" t="s">
        <v>1135</v>
      </c>
      <c r="AM7" s="188" t="n">
        <v>2</v>
      </c>
      <c r="AN7" s="188" t="s">
        <v>788</v>
      </c>
      <c r="AO7" s="188" t="n">
        <v>2</v>
      </c>
      <c r="AP7" s="188" t="n">
        <v>2</v>
      </c>
    </row>
    <row r="8" customFormat="false" ht="15" hidden="false" customHeight="true" outlineLevel="0" collapsed="false">
      <c r="A8" s="187" t="s">
        <v>1136</v>
      </c>
      <c r="B8" s="187" t="s">
        <v>1137</v>
      </c>
      <c r="C8" s="188" t="s">
        <v>1138</v>
      </c>
      <c r="D8" s="188" t="s">
        <v>1139</v>
      </c>
      <c r="E8" s="188" t="s">
        <v>1115</v>
      </c>
      <c r="F8" s="188" t="s">
        <v>1140</v>
      </c>
      <c r="G8" s="188" t="s">
        <v>1128</v>
      </c>
      <c r="H8" s="188" t="n">
        <v>0</v>
      </c>
      <c r="I8" s="188"/>
      <c r="J8" s="188" t="n">
        <v>1</v>
      </c>
      <c r="K8" s="188" t="s">
        <v>690</v>
      </c>
      <c r="L8" s="188" t="n">
        <v>2</v>
      </c>
      <c r="M8" s="188" t="n">
        <v>2</v>
      </c>
      <c r="N8" s="188" t="n">
        <v>2</v>
      </c>
      <c r="O8" s="188" t="n">
        <v>1</v>
      </c>
      <c r="P8" s="188" t="n">
        <v>3</v>
      </c>
      <c r="Q8" s="188" t="n">
        <v>3</v>
      </c>
      <c r="R8" s="188" t="n">
        <v>4</v>
      </c>
      <c r="S8" s="188" t="s">
        <v>716</v>
      </c>
      <c r="T8" s="188" t="s">
        <v>233</v>
      </c>
      <c r="U8" s="188" t="n">
        <v>12</v>
      </c>
      <c r="V8" s="188" t="s">
        <v>726</v>
      </c>
      <c r="W8" s="188" t="s">
        <v>731</v>
      </c>
      <c r="X8" s="188" t="s">
        <v>244</v>
      </c>
      <c r="Y8" s="188" t="n">
        <v>3</v>
      </c>
      <c r="Z8" s="188"/>
      <c r="AA8" s="188" t="s">
        <v>743</v>
      </c>
      <c r="AB8" s="188" t="n">
        <v>2</v>
      </c>
      <c r="AC8" s="188" t="n">
        <v>2</v>
      </c>
      <c r="AD8" s="188" t="n">
        <v>2</v>
      </c>
      <c r="AE8" s="188" t="n">
        <v>2</v>
      </c>
      <c r="AF8" s="188" t="n">
        <v>3</v>
      </c>
      <c r="AG8" s="188" t="n">
        <v>16</v>
      </c>
      <c r="AH8" s="188" t="n">
        <v>33</v>
      </c>
      <c r="AI8" s="188" t="s">
        <v>781</v>
      </c>
      <c r="AJ8" s="188" t="s">
        <v>1141</v>
      </c>
      <c r="AK8" s="188" t="s">
        <v>1111</v>
      </c>
      <c r="AL8" s="188" t="s">
        <v>781</v>
      </c>
      <c r="AM8" s="188" t="n">
        <v>3</v>
      </c>
      <c r="AN8" s="188" t="s">
        <v>788</v>
      </c>
      <c r="AO8" s="188" t="n">
        <v>2</v>
      </c>
      <c r="AP8" s="188" t="n">
        <v>2</v>
      </c>
    </row>
    <row r="9" customFormat="false" ht="23.25" hidden="false" customHeight="true" outlineLevel="0" collapsed="false">
      <c r="A9" s="187" t="s">
        <v>1142</v>
      </c>
      <c r="B9" s="187" t="s">
        <v>1143</v>
      </c>
      <c r="C9" s="188" t="s">
        <v>1144</v>
      </c>
      <c r="D9" s="188" t="s">
        <v>1145</v>
      </c>
      <c r="E9" s="188" t="s">
        <v>1146</v>
      </c>
      <c r="F9" s="188" t="s">
        <v>1147</v>
      </c>
      <c r="G9" s="188" t="s">
        <v>1148</v>
      </c>
      <c r="H9" s="188" t="n">
        <v>0</v>
      </c>
      <c r="I9" s="188"/>
      <c r="J9" s="188" t="n">
        <v>0</v>
      </c>
      <c r="K9" s="188" t="s">
        <v>1149</v>
      </c>
      <c r="L9" s="188" t="n">
        <v>2</v>
      </c>
      <c r="M9" s="188" t="n">
        <v>3</v>
      </c>
      <c r="N9" s="188" t="n">
        <v>2</v>
      </c>
      <c r="O9" s="188" t="n">
        <v>2</v>
      </c>
      <c r="P9" s="188" t="n">
        <v>1</v>
      </c>
      <c r="Q9" s="188" t="n">
        <v>2</v>
      </c>
      <c r="R9" s="188" t="n">
        <v>5</v>
      </c>
      <c r="S9" s="188" t="s">
        <v>716</v>
      </c>
      <c r="T9" s="188" t="s">
        <v>244</v>
      </c>
      <c r="U9" s="188" t="n">
        <v>15</v>
      </c>
      <c r="V9" s="188" t="s">
        <v>726</v>
      </c>
      <c r="W9" s="188" t="s">
        <v>1120</v>
      </c>
      <c r="X9" s="188" t="s">
        <v>244</v>
      </c>
      <c r="Y9" s="188" t="n">
        <v>2</v>
      </c>
      <c r="Z9" s="188" t="s">
        <v>739</v>
      </c>
      <c r="AA9" s="188" t="s">
        <v>743</v>
      </c>
      <c r="AB9" s="188" t="n">
        <v>3</v>
      </c>
      <c r="AC9" s="188" t="n">
        <v>2</v>
      </c>
      <c r="AD9" s="188" t="n">
        <v>1</v>
      </c>
      <c r="AE9" s="188" t="n">
        <v>2</v>
      </c>
      <c r="AF9" s="188" t="n">
        <v>2</v>
      </c>
      <c r="AG9" s="188" t="n">
        <v>47</v>
      </c>
      <c r="AH9" s="188" t="n">
        <v>26</v>
      </c>
      <c r="AI9" s="188" t="s">
        <v>1150</v>
      </c>
      <c r="AJ9" s="188" t="s">
        <v>773</v>
      </c>
      <c r="AK9" s="188" t="s">
        <v>1111</v>
      </c>
      <c r="AL9" s="188" t="s">
        <v>781</v>
      </c>
      <c r="AM9" s="188" t="n">
        <v>2</v>
      </c>
      <c r="AN9" s="188" t="s">
        <v>788</v>
      </c>
      <c r="AO9" s="188" t="n">
        <v>3</v>
      </c>
      <c r="AP9" s="188" t="n">
        <v>2</v>
      </c>
    </row>
    <row r="10" customFormat="false" ht="23.25" hidden="false" customHeight="true" outlineLevel="0" collapsed="false">
      <c r="A10" s="187" t="s">
        <v>1151</v>
      </c>
      <c r="B10" s="187" t="s">
        <v>1152</v>
      </c>
      <c r="C10" s="188" t="s">
        <v>1144</v>
      </c>
      <c r="D10" s="188" t="s">
        <v>1153</v>
      </c>
      <c r="E10" s="188" t="s">
        <v>1146</v>
      </c>
      <c r="F10" s="188" t="s">
        <v>1154</v>
      </c>
      <c r="G10" s="188" t="s">
        <v>1155</v>
      </c>
      <c r="H10" s="188" t="n">
        <v>0</v>
      </c>
      <c r="I10" s="188"/>
      <c r="J10" s="188" t="n">
        <v>0</v>
      </c>
      <c r="K10" s="188" t="s">
        <v>690</v>
      </c>
      <c r="L10" s="188" t="n">
        <v>1</v>
      </c>
      <c r="M10" s="188" t="n">
        <v>2</v>
      </c>
      <c r="N10" s="188" t="n">
        <v>1</v>
      </c>
      <c r="O10" s="188" t="n">
        <v>2</v>
      </c>
      <c r="P10" s="188" t="n">
        <v>0</v>
      </c>
      <c r="Q10" s="188" t="n">
        <v>2</v>
      </c>
      <c r="R10" s="188" t="n">
        <v>3</v>
      </c>
      <c r="S10" s="188" t="s">
        <v>1150</v>
      </c>
      <c r="T10" s="188" t="s">
        <v>244</v>
      </c>
      <c r="U10" s="188" t="n">
        <v>19</v>
      </c>
      <c r="V10" s="188" t="s">
        <v>726</v>
      </c>
      <c r="W10" s="188" t="s">
        <v>1156</v>
      </c>
      <c r="X10" s="188" t="s">
        <v>233</v>
      </c>
      <c r="Y10" s="188" t="n">
        <v>1</v>
      </c>
      <c r="Z10" s="188" t="s">
        <v>1157</v>
      </c>
      <c r="AA10" s="188" t="s">
        <v>1121</v>
      </c>
      <c r="AB10" s="188" t="n">
        <v>3</v>
      </c>
      <c r="AC10" s="188" t="n">
        <v>1</v>
      </c>
      <c r="AD10" s="188" t="n">
        <v>1</v>
      </c>
      <c r="AE10" s="188" t="n">
        <v>1</v>
      </c>
      <c r="AF10" s="188" t="n">
        <v>1</v>
      </c>
      <c r="AG10" s="188" t="n">
        <v>8</v>
      </c>
      <c r="AH10" s="188" t="n">
        <v>19</v>
      </c>
      <c r="AI10" s="188" t="s">
        <v>781</v>
      </c>
      <c r="AJ10" s="188" t="s">
        <v>773</v>
      </c>
      <c r="AK10" s="188" t="s">
        <v>781</v>
      </c>
      <c r="AL10" s="188" t="s">
        <v>781</v>
      </c>
      <c r="AM10" s="188" t="n">
        <v>1</v>
      </c>
      <c r="AN10" s="188" t="s">
        <v>1158</v>
      </c>
      <c r="AO10" s="188" t="n">
        <v>3</v>
      </c>
      <c r="AP10" s="188" t="n">
        <v>1</v>
      </c>
    </row>
    <row r="11" customFormat="false" ht="15" hidden="false" customHeight="true" outlineLevel="0" collapsed="false">
      <c r="A11" s="187" t="s">
        <v>1159</v>
      </c>
      <c r="B11" s="187" t="s">
        <v>1160</v>
      </c>
      <c r="C11" s="188" t="s">
        <v>1161</v>
      </c>
      <c r="D11" s="188" t="s">
        <v>1162</v>
      </c>
      <c r="E11" s="188" t="s">
        <v>1163</v>
      </c>
      <c r="F11" s="188" t="s">
        <v>1164</v>
      </c>
      <c r="G11" s="188" t="s">
        <v>673</v>
      </c>
      <c r="H11" s="188" t="n">
        <v>0</v>
      </c>
      <c r="I11" s="188"/>
      <c r="J11" s="188" t="n">
        <v>1</v>
      </c>
      <c r="K11" s="188" t="s">
        <v>1134</v>
      </c>
      <c r="L11" s="188" t="n">
        <v>2</v>
      </c>
      <c r="M11" s="188" t="n">
        <v>2</v>
      </c>
      <c r="N11" s="188" t="n">
        <v>2</v>
      </c>
      <c r="O11" s="188" t="n">
        <v>2</v>
      </c>
      <c r="P11" s="188" t="n">
        <v>1</v>
      </c>
      <c r="Q11" s="188" t="n">
        <v>2</v>
      </c>
      <c r="R11" s="188" t="n">
        <v>4</v>
      </c>
      <c r="S11" s="188" t="s">
        <v>716</v>
      </c>
      <c r="T11" s="188" t="s">
        <v>233</v>
      </c>
      <c r="U11" s="188" t="n">
        <v>10</v>
      </c>
      <c r="V11" s="188" t="s">
        <v>726</v>
      </c>
      <c r="W11" s="188" t="s">
        <v>1165</v>
      </c>
      <c r="X11" s="188" t="s">
        <v>244</v>
      </c>
      <c r="Y11" s="188" t="n">
        <v>2</v>
      </c>
      <c r="Z11" s="188" t="s">
        <v>1166</v>
      </c>
      <c r="AA11" s="188" t="s">
        <v>743</v>
      </c>
      <c r="AB11" s="188" t="n">
        <v>3</v>
      </c>
      <c r="AC11" s="188" t="n">
        <v>2</v>
      </c>
      <c r="AD11" s="188" t="n">
        <v>2</v>
      </c>
      <c r="AE11" s="188" t="n">
        <v>2</v>
      </c>
      <c r="AF11" s="188" t="n">
        <v>2</v>
      </c>
      <c r="AG11" s="188" t="n">
        <v>22</v>
      </c>
      <c r="AH11" s="188" t="n">
        <v>34</v>
      </c>
      <c r="AI11" s="188" t="s">
        <v>781</v>
      </c>
      <c r="AJ11" s="188" t="s">
        <v>773</v>
      </c>
      <c r="AK11" s="188" t="s">
        <v>1111</v>
      </c>
      <c r="AL11" s="188" t="s">
        <v>781</v>
      </c>
      <c r="AM11" s="188" t="n">
        <v>2</v>
      </c>
      <c r="AN11" s="188" t="s">
        <v>1122</v>
      </c>
      <c r="AO11" s="188" t="n">
        <v>2</v>
      </c>
      <c r="AP11" s="188" t="n">
        <v>2</v>
      </c>
    </row>
    <row r="12" customFormat="false" ht="15" hidden="false" customHeight="true" outlineLevel="0" collapsed="false">
      <c r="A12" s="187" t="s">
        <v>1167</v>
      </c>
      <c r="B12" s="187" t="s">
        <v>1168</v>
      </c>
      <c r="C12" s="188" t="s">
        <v>1169</v>
      </c>
      <c r="D12" s="188" t="s">
        <v>1170</v>
      </c>
      <c r="E12" s="188" t="s">
        <v>1115</v>
      </c>
      <c r="F12" s="188" t="s">
        <v>1171</v>
      </c>
      <c r="G12" s="188" t="s">
        <v>1172</v>
      </c>
      <c r="H12" s="188" t="n">
        <v>2</v>
      </c>
      <c r="I12" s="188" t="s">
        <v>1173</v>
      </c>
      <c r="J12" s="188" t="n">
        <v>3</v>
      </c>
      <c r="K12" s="188" t="s">
        <v>690</v>
      </c>
      <c r="L12" s="188" t="n">
        <v>1</v>
      </c>
      <c r="M12" s="188" t="n">
        <v>2</v>
      </c>
      <c r="N12" s="188" t="n">
        <v>2</v>
      </c>
      <c r="O12" s="188" t="n">
        <v>3</v>
      </c>
      <c r="P12" s="188" t="n">
        <v>3</v>
      </c>
      <c r="Q12" s="188" t="n">
        <v>3</v>
      </c>
      <c r="R12" s="188" t="n">
        <v>5</v>
      </c>
      <c r="S12" s="188" t="s">
        <v>716</v>
      </c>
      <c r="T12" s="188" t="s">
        <v>233</v>
      </c>
      <c r="U12" s="188" t="n">
        <v>9</v>
      </c>
      <c r="V12" s="188" t="s">
        <v>726</v>
      </c>
      <c r="W12" s="188" t="s">
        <v>1104</v>
      </c>
      <c r="X12" s="188" t="s">
        <v>244</v>
      </c>
      <c r="Y12" s="188" t="n">
        <v>3</v>
      </c>
      <c r="Z12" s="188"/>
      <c r="AA12" s="188" t="s">
        <v>743</v>
      </c>
      <c r="AB12" s="188" t="n">
        <v>3</v>
      </c>
      <c r="AC12" s="188" t="n">
        <v>2</v>
      </c>
      <c r="AD12" s="188" t="n">
        <v>3</v>
      </c>
      <c r="AE12" s="188" t="n">
        <v>2</v>
      </c>
      <c r="AF12" s="188" t="n">
        <v>3</v>
      </c>
      <c r="AG12" s="188" t="n">
        <v>25</v>
      </c>
      <c r="AH12" s="188" t="n">
        <v>39</v>
      </c>
      <c r="AI12" s="188" t="s">
        <v>769</v>
      </c>
      <c r="AJ12" s="188" t="s">
        <v>773</v>
      </c>
      <c r="AK12" s="188" t="s">
        <v>777</v>
      </c>
      <c r="AL12" s="188" t="s">
        <v>781</v>
      </c>
      <c r="AM12" s="188" t="n">
        <v>3</v>
      </c>
      <c r="AN12" s="188" t="s">
        <v>788</v>
      </c>
      <c r="AO12" s="188" t="n">
        <v>2</v>
      </c>
      <c r="AP12" s="188" t="n">
        <v>2</v>
      </c>
    </row>
    <row r="13" customFormat="false" ht="23.25" hidden="false" customHeight="true" outlineLevel="0" collapsed="false">
      <c r="A13" s="187" t="s">
        <v>1174</v>
      </c>
      <c r="B13" s="187" t="s">
        <v>1175</v>
      </c>
      <c r="C13" s="188" t="s">
        <v>1176</v>
      </c>
      <c r="D13" s="188" t="s">
        <v>1177</v>
      </c>
      <c r="E13" s="188" t="s">
        <v>666</v>
      </c>
      <c r="F13" s="188" t="s">
        <v>1178</v>
      </c>
      <c r="G13" s="188" t="s">
        <v>1179</v>
      </c>
      <c r="H13" s="188" t="n">
        <v>0</v>
      </c>
      <c r="I13" s="188"/>
      <c r="J13" s="188" t="n">
        <v>1</v>
      </c>
      <c r="K13" s="188" t="s">
        <v>690</v>
      </c>
      <c r="L13" s="188" t="n">
        <v>2</v>
      </c>
      <c r="M13" s="188" t="n">
        <v>3</v>
      </c>
      <c r="N13" s="188" t="n">
        <v>3</v>
      </c>
      <c r="O13" s="188" t="n">
        <v>0</v>
      </c>
      <c r="P13" s="188" t="n">
        <v>1</v>
      </c>
      <c r="Q13" s="188" t="n">
        <v>1</v>
      </c>
      <c r="R13" s="188" t="n">
        <v>6</v>
      </c>
      <c r="S13" s="188" t="s">
        <v>716</v>
      </c>
      <c r="T13" s="188" t="s">
        <v>244</v>
      </c>
      <c r="U13" s="188" t="n">
        <v>13</v>
      </c>
      <c r="V13" s="188" t="s">
        <v>726</v>
      </c>
      <c r="W13" s="188" t="s">
        <v>1180</v>
      </c>
      <c r="X13" s="188" t="s">
        <v>244</v>
      </c>
      <c r="Y13" s="188" t="n">
        <v>3</v>
      </c>
      <c r="Z13" s="188"/>
      <c r="AA13" s="188" t="s">
        <v>743</v>
      </c>
      <c r="AB13" s="188" t="n">
        <v>1</v>
      </c>
      <c r="AC13" s="188" t="n">
        <v>3</v>
      </c>
      <c r="AD13" s="188" t="n">
        <v>2</v>
      </c>
      <c r="AE13" s="188" t="n">
        <v>3</v>
      </c>
      <c r="AF13" s="188" t="n">
        <v>3</v>
      </c>
      <c r="AG13" s="188" t="n">
        <v>19</v>
      </c>
      <c r="AH13" s="188" t="n">
        <v>41</v>
      </c>
      <c r="AI13" s="188" t="s">
        <v>781</v>
      </c>
      <c r="AJ13" s="188" t="s">
        <v>773</v>
      </c>
      <c r="AK13" s="188" t="s">
        <v>781</v>
      </c>
      <c r="AL13" s="188" t="s">
        <v>781</v>
      </c>
      <c r="AM13" s="188" t="n">
        <v>1</v>
      </c>
      <c r="AN13" s="188" t="s">
        <v>788</v>
      </c>
      <c r="AO13" s="188" t="n">
        <v>1</v>
      </c>
      <c r="AP13" s="188" t="n">
        <v>3</v>
      </c>
    </row>
    <row r="14" customFormat="false" ht="23.25" hidden="false" customHeight="true" outlineLevel="0" collapsed="false">
      <c r="A14" s="187" t="s">
        <v>1181</v>
      </c>
      <c r="B14" s="187" t="s">
        <v>1182</v>
      </c>
      <c r="C14" s="188" t="s">
        <v>1183</v>
      </c>
      <c r="D14" s="188" t="s">
        <v>1184</v>
      </c>
      <c r="E14" s="188" t="s">
        <v>1185</v>
      </c>
      <c r="F14" s="188" t="s">
        <v>1186</v>
      </c>
      <c r="G14" s="188" t="s">
        <v>1187</v>
      </c>
      <c r="H14" s="188" t="n">
        <v>0</v>
      </c>
      <c r="I14" s="188"/>
      <c r="J14" s="188" t="n">
        <v>1</v>
      </c>
      <c r="K14" s="188" t="s">
        <v>1149</v>
      </c>
      <c r="L14" s="188" t="n">
        <v>1</v>
      </c>
      <c r="M14" s="188" t="n">
        <v>2</v>
      </c>
      <c r="N14" s="188" t="n">
        <v>1</v>
      </c>
      <c r="O14" s="188" t="n">
        <v>2</v>
      </c>
      <c r="P14" s="188" t="n">
        <v>0</v>
      </c>
      <c r="Q14" s="188" t="n">
        <v>1</v>
      </c>
      <c r="R14" s="188" t="n">
        <v>2</v>
      </c>
      <c r="S14" s="188" t="s">
        <v>716</v>
      </c>
      <c r="T14" s="188" t="s">
        <v>233</v>
      </c>
      <c r="U14" s="188" t="n">
        <v>8</v>
      </c>
      <c r="V14" s="188" t="s">
        <v>726</v>
      </c>
      <c r="W14" s="188" t="s">
        <v>1156</v>
      </c>
      <c r="X14" s="188" t="s">
        <v>233</v>
      </c>
      <c r="Y14" s="188" t="n">
        <v>1</v>
      </c>
      <c r="Z14" s="188" t="s">
        <v>1188</v>
      </c>
      <c r="AA14" s="188" t="s">
        <v>743</v>
      </c>
      <c r="AB14" s="188" t="n">
        <v>3</v>
      </c>
      <c r="AC14" s="188" t="n">
        <v>1</v>
      </c>
      <c r="AD14" s="188" t="n">
        <v>1</v>
      </c>
      <c r="AE14" s="188" t="n">
        <v>2</v>
      </c>
      <c r="AF14" s="188" t="n">
        <v>1</v>
      </c>
      <c r="AG14" s="188" t="n">
        <v>5</v>
      </c>
      <c r="AH14" s="188" t="n">
        <v>12</v>
      </c>
      <c r="AI14" s="188" t="s">
        <v>781</v>
      </c>
      <c r="AJ14" s="188" t="s">
        <v>1141</v>
      </c>
      <c r="AK14" s="188" t="s">
        <v>781</v>
      </c>
      <c r="AL14" s="188" t="s">
        <v>781</v>
      </c>
      <c r="AM14" s="188" t="n">
        <v>1</v>
      </c>
      <c r="AN14" s="188" t="s">
        <v>1158</v>
      </c>
      <c r="AO14" s="188" t="n">
        <v>2</v>
      </c>
      <c r="AP14" s="188" t="n">
        <v>1</v>
      </c>
    </row>
    <row r="15" customFormat="false" ht="15" hidden="false" customHeight="true" outlineLevel="0" collapsed="false">
      <c r="A15" s="187"/>
      <c r="B15" s="187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</row>
    <row r="16" customFormat="false" ht="15" hidden="false" customHeight="true" outlineLevel="0" collapsed="false">
      <c r="A16" s="187"/>
      <c r="B16" s="187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</row>
    <row r="17" customFormat="false" ht="15" hidden="false" customHeight="true" outlineLevel="0" collapsed="false">
      <c r="A17" s="187"/>
      <c r="B17" s="187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</row>
    <row r="18" customFormat="false" ht="15" hidden="false" customHeight="true" outlineLevel="0" collapsed="false">
      <c r="A18" s="187"/>
      <c r="B18" s="187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</row>
    <row r="19" customFormat="false" ht="15" hidden="false" customHeight="true" outlineLevel="0" collapsed="false">
      <c r="A19" s="187"/>
      <c r="B19" s="187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</row>
    <row r="20" customFormat="false" ht="15" hidden="false" customHeight="true" outlineLevel="0" collapsed="false">
      <c r="A20" s="187"/>
      <c r="B20" s="187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</row>
    <row r="21" customFormat="false" ht="15" hidden="false" customHeight="true" outlineLevel="0" collapsed="false">
      <c r="A21" s="187"/>
      <c r="B21" s="18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</row>
    <row r="22" customFormat="false" ht="15" hidden="false" customHeight="true" outlineLevel="0" collapsed="false">
      <c r="A22" s="187"/>
      <c r="B22" s="187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</row>
    <row r="23" customFormat="false" ht="18" hidden="false" customHeight="true" outlineLevel="0" collapsed="false">
      <c r="A23" s="189" t="s">
        <v>1189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</row>
    <row r="24" customFormat="false" ht="15" hidden="false" customHeight="true" outlineLevel="0" collapsed="false">
      <c r="A24" s="190" t="s">
        <v>517</v>
      </c>
      <c r="B24" s="190" t="s">
        <v>1190</v>
      </c>
      <c r="C24" s="190" t="s">
        <v>658</v>
      </c>
      <c r="D24" s="190" t="s">
        <v>1191</v>
      </c>
      <c r="E24" s="190" t="s">
        <v>1115</v>
      </c>
      <c r="F24" s="190" t="s">
        <v>1108</v>
      </c>
      <c r="G24" s="190" t="s">
        <v>1192</v>
      </c>
      <c r="H24" s="190" t="n">
        <v>3</v>
      </c>
      <c r="I24" s="190" t="s">
        <v>1193</v>
      </c>
      <c r="J24" s="190" t="n">
        <v>3</v>
      </c>
      <c r="K24" s="190" t="s">
        <v>690</v>
      </c>
      <c r="L24" s="190" t="n">
        <v>2</v>
      </c>
      <c r="M24" s="190" t="n">
        <v>3</v>
      </c>
      <c r="N24" s="190" t="n">
        <v>2</v>
      </c>
      <c r="O24" s="190" t="n">
        <v>3</v>
      </c>
      <c r="P24" s="190" t="n">
        <v>2</v>
      </c>
      <c r="Q24" s="190" t="n">
        <v>3</v>
      </c>
      <c r="R24" s="190" t="n">
        <v>4</v>
      </c>
      <c r="S24" s="190" t="s">
        <v>716</v>
      </c>
      <c r="T24" s="190" t="s">
        <v>233</v>
      </c>
      <c r="U24" s="191" t="n">
        <v>2</v>
      </c>
      <c r="V24" s="190" t="s">
        <v>726</v>
      </c>
      <c r="W24" s="190" t="s">
        <v>1120</v>
      </c>
      <c r="X24" s="190" t="s">
        <v>244</v>
      </c>
      <c r="Y24" s="190" t="n">
        <v>3</v>
      </c>
      <c r="Z24" s="190"/>
      <c r="AA24" s="190" t="s">
        <v>1194</v>
      </c>
      <c r="AB24" s="190" t="n">
        <v>1</v>
      </c>
      <c r="AC24" s="190" t="n">
        <v>3</v>
      </c>
      <c r="AD24" s="190" t="n">
        <v>3</v>
      </c>
      <c r="AE24" s="190" t="n">
        <v>3</v>
      </c>
      <c r="AF24" s="190" t="n">
        <v>3</v>
      </c>
      <c r="AG24" s="190" t="n">
        <v>31</v>
      </c>
      <c r="AH24" s="190" t="n">
        <v>18</v>
      </c>
      <c r="AI24" s="190" t="s">
        <v>769</v>
      </c>
      <c r="AJ24" s="190" t="s">
        <v>773</v>
      </c>
      <c r="AK24" s="190" t="s">
        <v>777</v>
      </c>
      <c r="AL24" s="190" t="s">
        <v>781</v>
      </c>
      <c r="AM24" s="190" t="n">
        <v>3</v>
      </c>
      <c r="AN24" s="190" t="s">
        <v>788</v>
      </c>
      <c r="AO24" s="190" t="n">
        <v>1</v>
      </c>
      <c r="AP24" s="190" t="n">
        <v>3</v>
      </c>
    </row>
    <row r="25" customFormat="false" ht="15" hidden="false" customHeight="true" outlineLevel="0" collapsed="false">
      <c r="A25" s="190" t="s">
        <v>521</v>
      </c>
      <c r="B25" s="190" t="s">
        <v>1195</v>
      </c>
      <c r="C25" s="190" t="s">
        <v>1196</v>
      </c>
      <c r="D25" s="190" t="s">
        <v>1197</v>
      </c>
      <c r="E25" s="190" t="s">
        <v>1146</v>
      </c>
      <c r="F25" s="190" t="s">
        <v>1198</v>
      </c>
      <c r="G25" s="190" t="s">
        <v>1199</v>
      </c>
      <c r="H25" s="190" t="n">
        <v>0</v>
      </c>
      <c r="I25" s="190"/>
      <c r="J25" s="190" t="n">
        <v>1</v>
      </c>
      <c r="K25" s="190" t="s">
        <v>690</v>
      </c>
      <c r="L25" s="190" t="n">
        <v>2</v>
      </c>
      <c r="M25" s="190" t="n">
        <v>2</v>
      </c>
      <c r="N25" s="190" t="n">
        <v>2</v>
      </c>
      <c r="O25" s="190" t="n">
        <v>3</v>
      </c>
      <c r="P25" s="190" t="n">
        <v>1</v>
      </c>
      <c r="Q25" s="190" t="n">
        <v>3</v>
      </c>
      <c r="R25" s="190" t="n">
        <v>3</v>
      </c>
      <c r="S25" s="190" t="s">
        <v>716</v>
      </c>
      <c r="T25" s="190" t="s">
        <v>233</v>
      </c>
      <c r="U25" s="191" t="n">
        <v>2</v>
      </c>
      <c r="V25" s="190" t="s">
        <v>726</v>
      </c>
      <c r="W25" s="190" t="s">
        <v>1156</v>
      </c>
      <c r="X25" s="190" t="s">
        <v>233</v>
      </c>
      <c r="Y25" s="190" t="n">
        <v>2</v>
      </c>
      <c r="Z25" s="190"/>
      <c r="AA25" s="190" t="s">
        <v>743</v>
      </c>
      <c r="AB25" s="190" t="n">
        <v>2</v>
      </c>
      <c r="AC25" s="190" t="n">
        <v>2</v>
      </c>
      <c r="AD25" s="190" t="n">
        <v>2</v>
      </c>
      <c r="AE25" s="190" t="n">
        <v>3</v>
      </c>
      <c r="AF25" s="190" t="n">
        <v>2</v>
      </c>
      <c r="AG25" s="190" t="n">
        <v>12</v>
      </c>
      <c r="AH25" s="190" t="n">
        <v>9</v>
      </c>
      <c r="AI25" s="190" t="s">
        <v>769</v>
      </c>
      <c r="AJ25" s="190" t="s">
        <v>773</v>
      </c>
      <c r="AK25" s="190" t="s">
        <v>777</v>
      </c>
      <c r="AL25" s="190" t="s">
        <v>781</v>
      </c>
      <c r="AM25" s="190" t="n">
        <v>3</v>
      </c>
      <c r="AN25" s="190" t="s">
        <v>788</v>
      </c>
      <c r="AO25" s="190" t="n">
        <v>2</v>
      </c>
      <c r="AP25" s="190" t="n">
        <v>2</v>
      </c>
    </row>
    <row r="26" customFormat="false" ht="15" hidden="false" customHeight="true" outlineLevel="0" collapsed="false">
      <c r="A26" s="190" t="s">
        <v>524</v>
      </c>
      <c r="B26" s="190" t="s">
        <v>1200</v>
      </c>
      <c r="C26" s="190" t="s">
        <v>739</v>
      </c>
      <c r="D26" s="190" t="s">
        <v>1201</v>
      </c>
      <c r="E26" s="190" t="s">
        <v>1115</v>
      </c>
      <c r="F26" s="190" t="s">
        <v>1202</v>
      </c>
      <c r="G26" s="190" t="s">
        <v>1203</v>
      </c>
      <c r="H26" s="190" t="n">
        <v>0</v>
      </c>
      <c r="I26" s="190"/>
      <c r="J26" s="190" t="n">
        <v>0</v>
      </c>
      <c r="K26" s="190" t="s">
        <v>1149</v>
      </c>
      <c r="L26" s="190" t="n">
        <v>2</v>
      </c>
      <c r="M26" s="190" t="n">
        <v>2</v>
      </c>
      <c r="N26" s="190" t="n">
        <v>1</v>
      </c>
      <c r="O26" s="190" t="n">
        <v>2</v>
      </c>
      <c r="P26" s="190" t="n">
        <v>1</v>
      </c>
      <c r="Q26" s="190" t="n">
        <v>3</v>
      </c>
      <c r="R26" s="190" t="n">
        <v>2</v>
      </c>
      <c r="S26" s="190" t="s">
        <v>716</v>
      </c>
      <c r="T26" s="190" t="s">
        <v>233</v>
      </c>
      <c r="U26" s="191" t="n">
        <v>1</v>
      </c>
      <c r="V26" s="190" t="s">
        <v>726</v>
      </c>
      <c r="W26" s="190" t="s">
        <v>1204</v>
      </c>
      <c r="X26" s="190" t="s">
        <v>233</v>
      </c>
      <c r="Y26" s="190" t="n">
        <v>1</v>
      </c>
      <c r="Z26" s="190" t="s">
        <v>739</v>
      </c>
      <c r="AA26" s="190" t="s">
        <v>743</v>
      </c>
      <c r="AB26" s="190" t="n">
        <v>2</v>
      </c>
      <c r="AC26" s="190" t="n">
        <v>2</v>
      </c>
      <c r="AD26" s="190" t="n">
        <v>2</v>
      </c>
      <c r="AE26" s="190" t="n">
        <v>2</v>
      </c>
      <c r="AF26" s="190" t="n">
        <v>2</v>
      </c>
      <c r="AG26" s="190" t="n">
        <v>8</v>
      </c>
      <c r="AH26" s="190" t="n">
        <v>14</v>
      </c>
      <c r="AI26" s="190" t="s">
        <v>781</v>
      </c>
      <c r="AJ26" s="190" t="s">
        <v>773</v>
      </c>
      <c r="AK26" s="190" t="s">
        <v>777</v>
      </c>
      <c r="AL26" s="190" t="s">
        <v>781</v>
      </c>
      <c r="AM26" s="190" t="n">
        <v>3</v>
      </c>
      <c r="AN26" s="190" t="s">
        <v>788</v>
      </c>
      <c r="AO26" s="190" t="n">
        <v>2</v>
      </c>
      <c r="AP26" s="190" t="n">
        <v>2</v>
      </c>
    </row>
    <row r="27" customFormat="false" ht="15" hidden="false" customHeight="true" outlineLevel="0" collapsed="false">
      <c r="A27" s="190" t="s">
        <v>527</v>
      </c>
      <c r="B27" s="190" t="s">
        <v>1205</v>
      </c>
      <c r="C27" s="190" t="s">
        <v>1206</v>
      </c>
      <c r="D27" s="190" t="s">
        <v>1207</v>
      </c>
      <c r="E27" s="190" t="s">
        <v>666</v>
      </c>
      <c r="F27" s="190" t="s">
        <v>1208</v>
      </c>
      <c r="G27" s="190" t="s">
        <v>1209</v>
      </c>
      <c r="H27" s="190" t="n">
        <v>0</v>
      </c>
      <c r="I27" s="190"/>
      <c r="J27" s="190" t="n">
        <v>1</v>
      </c>
      <c r="K27" s="190" t="s">
        <v>1109</v>
      </c>
      <c r="L27" s="190" t="n">
        <v>3</v>
      </c>
      <c r="M27" s="190" t="n">
        <v>2</v>
      </c>
      <c r="N27" s="190" t="n">
        <v>3</v>
      </c>
      <c r="O27" s="190" t="n">
        <v>3</v>
      </c>
      <c r="P27" s="190" t="n">
        <v>2</v>
      </c>
      <c r="Q27" s="190" t="n">
        <v>3</v>
      </c>
      <c r="R27" s="190" t="n">
        <v>3</v>
      </c>
      <c r="S27" s="190" t="s">
        <v>716</v>
      </c>
      <c r="T27" s="190" t="s">
        <v>233</v>
      </c>
      <c r="U27" s="191" t="n">
        <v>2</v>
      </c>
      <c r="V27" s="190" t="s">
        <v>726</v>
      </c>
      <c r="W27" s="190" t="s">
        <v>1120</v>
      </c>
      <c r="X27" s="190" t="s">
        <v>244</v>
      </c>
      <c r="Y27" s="190" t="n">
        <v>2</v>
      </c>
      <c r="Z27" s="190"/>
      <c r="AA27" s="190" t="s">
        <v>743</v>
      </c>
      <c r="AB27" s="190" t="n">
        <v>3</v>
      </c>
      <c r="AC27" s="190" t="n">
        <v>3</v>
      </c>
      <c r="AD27" s="190" t="n">
        <v>3</v>
      </c>
      <c r="AE27" s="190" t="n">
        <v>3</v>
      </c>
      <c r="AF27" s="190" t="n">
        <v>3</v>
      </c>
      <c r="AG27" s="190" t="n">
        <v>22</v>
      </c>
      <c r="AH27" s="190" t="n">
        <v>11</v>
      </c>
      <c r="AI27" s="190" t="s">
        <v>769</v>
      </c>
      <c r="AJ27" s="190" t="s">
        <v>773</v>
      </c>
      <c r="AK27" s="190" t="s">
        <v>777</v>
      </c>
      <c r="AL27" s="190" t="s">
        <v>781</v>
      </c>
      <c r="AM27" s="190" t="n">
        <v>3</v>
      </c>
      <c r="AN27" s="190" t="s">
        <v>788</v>
      </c>
      <c r="AO27" s="190" t="n">
        <v>2</v>
      </c>
      <c r="AP27" s="190" t="n">
        <v>3</v>
      </c>
    </row>
    <row r="28" customFormat="false" ht="15" hidden="false" customHeight="true" outlineLevel="0" collapsed="false">
      <c r="A28" s="190" t="s">
        <v>530</v>
      </c>
      <c r="B28" s="190" t="s">
        <v>1210</v>
      </c>
      <c r="C28" s="190" t="s">
        <v>1211</v>
      </c>
      <c r="D28" s="190" t="s">
        <v>1212</v>
      </c>
      <c r="E28" s="190" t="s">
        <v>1115</v>
      </c>
      <c r="F28" s="190" t="s">
        <v>1213</v>
      </c>
      <c r="G28" s="190" t="s">
        <v>1214</v>
      </c>
      <c r="H28" s="190" t="n">
        <v>0</v>
      </c>
      <c r="I28" s="190"/>
      <c r="J28" s="190" t="n">
        <v>0</v>
      </c>
      <c r="K28" s="190" t="s">
        <v>690</v>
      </c>
      <c r="L28" s="190" t="n">
        <v>2</v>
      </c>
      <c r="M28" s="190" t="n">
        <v>3</v>
      </c>
      <c r="N28" s="190" t="n">
        <v>2</v>
      </c>
      <c r="O28" s="190" t="n">
        <v>2</v>
      </c>
      <c r="P28" s="190" t="n">
        <v>3</v>
      </c>
      <c r="Q28" s="190" t="n">
        <v>3</v>
      </c>
      <c r="R28" s="190" t="n">
        <v>4</v>
      </c>
      <c r="S28" s="190" t="s">
        <v>716</v>
      </c>
      <c r="T28" s="190" t="s">
        <v>233</v>
      </c>
      <c r="U28" s="191" t="n">
        <v>1</v>
      </c>
      <c r="V28" s="190" t="s">
        <v>726</v>
      </c>
      <c r="W28" s="190" t="s">
        <v>1215</v>
      </c>
      <c r="X28" s="190" t="s">
        <v>233</v>
      </c>
      <c r="Y28" s="190" t="n">
        <v>2</v>
      </c>
      <c r="Z28" s="190"/>
      <c r="AA28" s="190" t="s">
        <v>1194</v>
      </c>
      <c r="AB28" s="190" t="n">
        <v>2</v>
      </c>
      <c r="AC28" s="190" t="n">
        <v>2</v>
      </c>
      <c r="AD28" s="190" t="n">
        <v>2</v>
      </c>
      <c r="AE28" s="190" t="n">
        <v>3</v>
      </c>
      <c r="AF28" s="190" t="n">
        <v>2</v>
      </c>
      <c r="AG28" s="190" t="n">
        <v>16</v>
      </c>
      <c r="AH28" s="190" t="n">
        <v>20</v>
      </c>
      <c r="AI28" s="190" t="s">
        <v>769</v>
      </c>
      <c r="AJ28" s="190" t="s">
        <v>773</v>
      </c>
      <c r="AK28" s="190" t="s">
        <v>1111</v>
      </c>
      <c r="AL28" s="190" t="s">
        <v>781</v>
      </c>
      <c r="AM28" s="190" t="n">
        <v>3</v>
      </c>
      <c r="AN28" s="190" t="s">
        <v>788</v>
      </c>
      <c r="AO28" s="190" t="n">
        <v>1</v>
      </c>
      <c r="AP28" s="190" t="n">
        <v>2</v>
      </c>
    </row>
    <row r="29" customFormat="false" ht="15" hidden="false" customHeight="true" outlineLevel="0" collapsed="false">
      <c r="A29" s="190" t="s">
        <v>533</v>
      </c>
      <c r="B29" s="190" t="s">
        <v>1216</v>
      </c>
      <c r="C29" s="190" t="s">
        <v>1217</v>
      </c>
      <c r="D29" s="190" t="s">
        <v>1218</v>
      </c>
      <c r="E29" s="190" t="s">
        <v>666</v>
      </c>
      <c r="F29" s="190" t="s">
        <v>1219</v>
      </c>
      <c r="G29" s="190" t="s">
        <v>1220</v>
      </c>
      <c r="H29" s="190" t="n">
        <v>0</v>
      </c>
      <c r="I29" s="190"/>
      <c r="J29" s="190" t="n">
        <v>2</v>
      </c>
      <c r="K29" s="190" t="s">
        <v>1109</v>
      </c>
      <c r="L29" s="190" t="n">
        <v>2</v>
      </c>
      <c r="M29" s="190" t="n">
        <v>2</v>
      </c>
      <c r="N29" s="190" t="n">
        <v>2</v>
      </c>
      <c r="O29" s="190" t="n">
        <v>3</v>
      </c>
      <c r="P29" s="190" t="n">
        <v>2</v>
      </c>
      <c r="Q29" s="190" t="n">
        <v>2</v>
      </c>
      <c r="R29" s="190" t="n">
        <v>3</v>
      </c>
      <c r="S29" s="190" t="s">
        <v>716</v>
      </c>
      <c r="T29" s="190" t="s">
        <v>233</v>
      </c>
      <c r="U29" s="191" t="n">
        <v>2</v>
      </c>
      <c r="V29" s="190" t="s">
        <v>726</v>
      </c>
      <c r="W29" s="190" t="s">
        <v>1156</v>
      </c>
      <c r="X29" s="190" t="s">
        <v>233</v>
      </c>
      <c r="Y29" s="190" t="n">
        <v>2</v>
      </c>
      <c r="Z29" s="190"/>
      <c r="AA29" s="190" t="s">
        <v>743</v>
      </c>
      <c r="AB29" s="190" t="n">
        <v>2</v>
      </c>
      <c r="AC29" s="190" t="n">
        <v>2</v>
      </c>
      <c r="AD29" s="190" t="n">
        <v>3</v>
      </c>
      <c r="AE29" s="190" t="n">
        <v>2</v>
      </c>
      <c r="AF29" s="190" t="n">
        <v>3</v>
      </c>
      <c r="AG29" s="190" t="n">
        <v>14</v>
      </c>
      <c r="AH29" s="190" t="n">
        <v>17</v>
      </c>
      <c r="AI29" s="190" t="s">
        <v>781</v>
      </c>
      <c r="AJ29" s="190" t="s">
        <v>773</v>
      </c>
      <c r="AK29" s="190" t="s">
        <v>777</v>
      </c>
      <c r="AL29" s="190" t="s">
        <v>781</v>
      </c>
      <c r="AM29" s="190" t="n">
        <v>3</v>
      </c>
      <c r="AN29" s="190" t="s">
        <v>788</v>
      </c>
      <c r="AO29" s="190" t="n">
        <v>2</v>
      </c>
      <c r="AP29" s="190" t="n">
        <v>2</v>
      </c>
    </row>
    <row r="30" customFormat="false" ht="15" hidden="false" customHeight="true" outlineLevel="0" collapsed="false">
      <c r="A30" s="190" t="s">
        <v>537</v>
      </c>
      <c r="B30" s="190" t="s">
        <v>1221</v>
      </c>
      <c r="C30" s="190" t="s">
        <v>1222</v>
      </c>
      <c r="D30" s="190" t="s">
        <v>1223</v>
      </c>
      <c r="E30" s="190" t="s">
        <v>1163</v>
      </c>
      <c r="F30" s="190" t="s">
        <v>1224</v>
      </c>
      <c r="G30" s="190" t="s">
        <v>1225</v>
      </c>
      <c r="H30" s="190" t="n">
        <v>0</v>
      </c>
      <c r="I30" s="190"/>
      <c r="J30" s="190" t="n">
        <v>2</v>
      </c>
      <c r="K30" s="190" t="s">
        <v>690</v>
      </c>
      <c r="L30" s="190" t="n">
        <v>2</v>
      </c>
      <c r="M30" s="190" t="n">
        <v>2</v>
      </c>
      <c r="N30" s="190" t="n">
        <v>2</v>
      </c>
      <c r="O30" s="190" t="n">
        <v>3</v>
      </c>
      <c r="P30" s="190" t="n">
        <v>1</v>
      </c>
      <c r="Q30" s="190" t="n">
        <v>3</v>
      </c>
      <c r="R30" s="190" t="n">
        <v>3</v>
      </c>
      <c r="S30" s="190" t="s">
        <v>716</v>
      </c>
      <c r="T30" s="190" t="s">
        <v>233</v>
      </c>
      <c r="U30" s="191" t="n">
        <v>2</v>
      </c>
      <c r="V30" s="190" t="s">
        <v>726</v>
      </c>
      <c r="W30" s="190" t="s">
        <v>1120</v>
      </c>
      <c r="X30" s="190" t="s">
        <v>244</v>
      </c>
      <c r="Y30" s="190" t="n">
        <v>2</v>
      </c>
      <c r="Z30" s="190" t="s">
        <v>1226</v>
      </c>
      <c r="AA30" s="190" t="s">
        <v>743</v>
      </c>
      <c r="AB30" s="190" t="n">
        <v>2</v>
      </c>
      <c r="AC30" s="190" t="n">
        <v>2</v>
      </c>
      <c r="AD30" s="190" t="n">
        <v>3</v>
      </c>
      <c r="AE30" s="190" t="n">
        <v>2</v>
      </c>
      <c r="AF30" s="190" t="n">
        <v>3</v>
      </c>
      <c r="AG30" s="190" t="n">
        <v>9</v>
      </c>
      <c r="AH30" s="190" t="n">
        <v>12</v>
      </c>
      <c r="AI30" s="190" t="s">
        <v>781</v>
      </c>
      <c r="AJ30" s="190" t="s">
        <v>773</v>
      </c>
      <c r="AK30" s="190" t="s">
        <v>777</v>
      </c>
      <c r="AL30" s="190" t="s">
        <v>781</v>
      </c>
      <c r="AM30" s="190" t="n">
        <v>2</v>
      </c>
      <c r="AN30" s="190" t="s">
        <v>788</v>
      </c>
      <c r="AO30" s="190" t="n">
        <v>2</v>
      </c>
      <c r="AP30" s="190" t="n">
        <v>2</v>
      </c>
    </row>
    <row r="31" customFormat="false" ht="15" hidden="false" customHeight="true" outlineLevel="0" collapsed="false">
      <c r="A31" s="190" t="s">
        <v>540</v>
      </c>
      <c r="B31" s="190" t="s">
        <v>1227</v>
      </c>
      <c r="C31" s="190" t="s">
        <v>1228</v>
      </c>
      <c r="D31" s="190" t="s">
        <v>1229</v>
      </c>
      <c r="E31" s="190" t="s">
        <v>1146</v>
      </c>
      <c r="F31" s="190" t="s">
        <v>1133</v>
      </c>
      <c r="G31" s="190" t="s">
        <v>1230</v>
      </c>
      <c r="H31" s="190" t="n">
        <v>0</v>
      </c>
      <c r="I31" s="190"/>
      <c r="J31" s="190" t="n">
        <v>0</v>
      </c>
      <c r="K31" s="190" t="s">
        <v>690</v>
      </c>
      <c r="L31" s="190" t="n">
        <v>2</v>
      </c>
      <c r="M31" s="190" t="n">
        <v>2</v>
      </c>
      <c r="N31" s="190" t="n">
        <v>2</v>
      </c>
      <c r="O31" s="190" t="n">
        <v>2</v>
      </c>
      <c r="P31" s="190" t="n">
        <v>1</v>
      </c>
      <c r="Q31" s="190" t="n">
        <v>3</v>
      </c>
      <c r="R31" s="190" t="n">
        <v>3</v>
      </c>
      <c r="S31" s="190" t="s">
        <v>716</v>
      </c>
      <c r="T31" s="190" t="s">
        <v>233</v>
      </c>
      <c r="U31" s="191" t="n">
        <v>1</v>
      </c>
      <c r="V31" s="190" t="s">
        <v>726</v>
      </c>
      <c r="W31" s="190" t="s">
        <v>1156</v>
      </c>
      <c r="X31" s="190" t="s">
        <v>233</v>
      </c>
      <c r="Y31" s="190" t="n">
        <v>2</v>
      </c>
      <c r="Z31" s="190" t="s">
        <v>739</v>
      </c>
      <c r="AA31" s="190" t="s">
        <v>743</v>
      </c>
      <c r="AB31" s="190" t="n">
        <v>2</v>
      </c>
      <c r="AC31" s="190" t="n">
        <v>2</v>
      </c>
      <c r="AD31" s="190" t="n">
        <v>2</v>
      </c>
      <c r="AE31" s="190" t="n">
        <v>3</v>
      </c>
      <c r="AF31" s="190" t="n">
        <v>2</v>
      </c>
      <c r="AG31" s="190" t="n">
        <v>10</v>
      </c>
      <c r="AH31" s="190" t="n">
        <v>15</v>
      </c>
      <c r="AI31" s="190" t="s">
        <v>769</v>
      </c>
      <c r="AJ31" s="190" t="s">
        <v>773</v>
      </c>
      <c r="AK31" s="190" t="s">
        <v>777</v>
      </c>
      <c r="AL31" s="190" t="s">
        <v>781</v>
      </c>
      <c r="AM31" s="190" t="n">
        <v>3</v>
      </c>
      <c r="AN31" s="190" t="s">
        <v>788</v>
      </c>
      <c r="AO31" s="190" t="n">
        <v>2</v>
      </c>
      <c r="AP31" s="190" t="n">
        <v>2</v>
      </c>
    </row>
    <row r="32" customFormat="false" ht="15" hidden="false" customHeight="true" outlineLevel="0" collapsed="false">
      <c r="A32" s="190" t="s">
        <v>543</v>
      </c>
      <c r="B32" s="190" t="s">
        <v>1231</v>
      </c>
      <c r="C32" s="190" t="s">
        <v>658</v>
      </c>
      <c r="D32" s="190" t="s">
        <v>1232</v>
      </c>
      <c r="E32" s="190" t="s">
        <v>666</v>
      </c>
      <c r="F32" s="190" t="s">
        <v>1233</v>
      </c>
      <c r="G32" s="190" t="s">
        <v>673</v>
      </c>
      <c r="H32" s="190" t="n">
        <v>2</v>
      </c>
      <c r="I32" s="190" t="s">
        <v>1234</v>
      </c>
      <c r="J32" s="190" t="n">
        <v>2</v>
      </c>
      <c r="K32" s="190" t="s">
        <v>690</v>
      </c>
      <c r="L32" s="190" t="n">
        <v>2</v>
      </c>
      <c r="M32" s="190" t="n">
        <v>2</v>
      </c>
      <c r="N32" s="190" t="n">
        <v>3</v>
      </c>
      <c r="O32" s="190" t="n">
        <v>3</v>
      </c>
      <c r="P32" s="190" t="n">
        <v>2</v>
      </c>
      <c r="Q32" s="190" t="n">
        <v>3</v>
      </c>
      <c r="R32" s="190" t="n">
        <v>3</v>
      </c>
      <c r="S32" s="190" t="s">
        <v>716</v>
      </c>
      <c r="T32" s="190" t="s">
        <v>233</v>
      </c>
      <c r="U32" s="191" t="n">
        <v>2</v>
      </c>
      <c r="V32" s="190" t="s">
        <v>726</v>
      </c>
      <c r="W32" s="190" t="s">
        <v>1156</v>
      </c>
      <c r="X32" s="190" t="s">
        <v>233</v>
      </c>
      <c r="Y32" s="190" t="n">
        <v>2</v>
      </c>
      <c r="Z32" s="190"/>
      <c r="AA32" s="190" t="s">
        <v>743</v>
      </c>
      <c r="AB32" s="190" t="n">
        <v>3</v>
      </c>
      <c r="AC32" s="190" t="n">
        <v>2</v>
      </c>
      <c r="AD32" s="190" t="n">
        <v>2</v>
      </c>
      <c r="AE32" s="190" t="n">
        <v>2</v>
      </c>
      <c r="AF32" s="190" t="n">
        <v>3</v>
      </c>
      <c r="AG32" s="190" t="n">
        <v>11</v>
      </c>
      <c r="AH32" s="190" t="n">
        <v>8</v>
      </c>
      <c r="AI32" s="190" t="s">
        <v>781</v>
      </c>
      <c r="AJ32" s="190" t="s">
        <v>773</v>
      </c>
      <c r="AK32" s="190" t="s">
        <v>777</v>
      </c>
      <c r="AL32" s="190" t="s">
        <v>781</v>
      </c>
      <c r="AM32" s="190" t="n">
        <v>3</v>
      </c>
      <c r="AN32" s="190" t="s">
        <v>788</v>
      </c>
      <c r="AO32" s="190" t="n">
        <v>2</v>
      </c>
      <c r="AP32" s="190" t="n">
        <v>2</v>
      </c>
    </row>
    <row r="33" customFormat="false" ht="15" hidden="false" customHeight="true" outlineLevel="0" collapsed="false">
      <c r="A33" s="190" t="s">
        <v>546</v>
      </c>
      <c r="B33" s="190" t="s">
        <v>1235</v>
      </c>
      <c r="C33" s="190" t="s">
        <v>1236</v>
      </c>
      <c r="D33" s="190" t="s">
        <v>1237</v>
      </c>
      <c r="E33" s="190" t="s">
        <v>1146</v>
      </c>
      <c r="F33" s="190" t="s">
        <v>1238</v>
      </c>
      <c r="G33" s="190" t="s">
        <v>1239</v>
      </c>
      <c r="H33" s="190" t="n">
        <v>1</v>
      </c>
      <c r="I33" s="190" t="s">
        <v>1240</v>
      </c>
      <c r="J33" s="190" t="n">
        <v>2</v>
      </c>
      <c r="K33" s="190" t="s">
        <v>690</v>
      </c>
      <c r="L33" s="190" t="n">
        <v>3</v>
      </c>
      <c r="M33" s="190" t="n">
        <v>3</v>
      </c>
      <c r="N33" s="190" t="n">
        <v>3</v>
      </c>
      <c r="O33" s="190" t="n">
        <v>3</v>
      </c>
      <c r="P33" s="190" t="n">
        <v>0</v>
      </c>
      <c r="Q33" s="190" t="n">
        <v>2</v>
      </c>
      <c r="R33" s="190" t="n">
        <v>3</v>
      </c>
      <c r="S33" s="190" t="s">
        <v>716</v>
      </c>
      <c r="T33" s="190" t="s">
        <v>233</v>
      </c>
      <c r="U33" s="191" t="n">
        <v>2</v>
      </c>
      <c r="V33" s="190" t="s">
        <v>726</v>
      </c>
      <c r="W33" s="190" t="s">
        <v>1120</v>
      </c>
      <c r="X33" s="190" t="s">
        <v>244</v>
      </c>
      <c r="Y33" s="190" t="n">
        <v>2</v>
      </c>
      <c r="Z33" s="190"/>
      <c r="AA33" s="190" t="s">
        <v>1194</v>
      </c>
      <c r="AB33" s="190" t="n">
        <v>2</v>
      </c>
      <c r="AC33" s="190" t="n">
        <v>3</v>
      </c>
      <c r="AD33" s="190" t="n">
        <v>3</v>
      </c>
      <c r="AE33" s="190" t="n">
        <v>3</v>
      </c>
      <c r="AF33" s="190" t="n">
        <v>3</v>
      </c>
      <c r="AG33" s="190" t="n">
        <v>18</v>
      </c>
      <c r="AH33" s="190" t="n">
        <v>21</v>
      </c>
      <c r="AI33" s="190" t="s">
        <v>781</v>
      </c>
      <c r="AJ33" s="190" t="s">
        <v>1141</v>
      </c>
      <c r="AK33" s="190" t="s">
        <v>777</v>
      </c>
      <c r="AL33" s="190" t="s">
        <v>781</v>
      </c>
      <c r="AM33" s="190" t="n">
        <v>2</v>
      </c>
      <c r="AN33" s="190" t="s">
        <v>788</v>
      </c>
      <c r="AO33" s="190" t="n">
        <v>2</v>
      </c>
      <c r="AP33" s="190" t="n">
        <v>3</v>
      </c>
    </row>
    <row r="34" customFormat="false" ht="18" hidden="false" customHeight="true" outlineLevel="0" collapsed="false">
      <c r="A34" s="192" t="s">
        <v>1241</v>
      </c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</row>
    <row r="35" customFormat="false" ht="15" hidden="false" customHeight="true" outlineLevel="0" collapsed="false">
      <c r="A35" s="193" t="s">
        <v>549</v>
      </c>
      <c r="B35" s="193" t="s">
        <v>1242</v>
      </c>
      <c r="C35" s="193" t="s">
        <v>658</v>
      </c>
      <c r="D35" s="193" t="s">
        <v>1243</v>
      </c>
      <c r="E35" s="193" t="s">
        <v>1115</v>
      </c>
      <c r="F35" s="193" t="s">
        <v>1108</v>
      </c>
      <c r="G35" s="193" t="s">
        <v>1103</v>
      </c>
      <c r="H35" s="193" t="n">
        <v>3</v>
      </c>
      <c r="I35" s="193" t="s">
        <v>681</v>
      </c>
      <c r="J35" s="193" t="n">
        <v>3</v>
      </c>
      <c r="K35" s="193" t="s">
        <v>690</v>
      </c>
      <c r="L35" s="193" t="n">
        <v>2</v>
      </c>
      <c r="M35" s="193" t="n">
        <v>3</v>
      </c>
      <c r="N35" s="193" t="n">
        <v>2</v>
      </c>
      <c r="O35" s="193" t="n">
        <v>2</v>
      </c>
      <c r="P35" s="193" t="n">
        <v>3</v>
      </c>
      <c r="Q35" s="193" t="n">
        <v>3</v>
      </c>
      <c r="R35" s="193" t="n">
        <v>5</v>
      </c>
      <c r="S35" s="193" t="s">
        <v>716</v>
      </c>
      <c r="T35" s="193" t="s">
        <v>233</v>
      </c>
      <c r="U35" s="194" t="n">
        <v>4</v>
      </c>
      <c r="V35" s="193" t="s">
        <v>726</v>
      </c>
      <c r="W35" s="193" t="s">
        <v>1104</v>
      </c>
      <c r="X35" s="193" t="s">
        <v>244</v>
      </c>
      <c r="Y35" s="193" t="n">
        <v>3</v>
      </c>
      <c r="Z35" s="193"/>
      <c r="AA35" s="193" t="s">
        <v>743</v>
      </c>
      <c r="AB35" s="193" t="n">
        <v>1</v>
      </c>
      <c r="AC35" s="193" t="n">
        <v>2</v>
      </c>
      <c r="AD35" s="193" t="n">
        <v>2</v>
      </c>
      <c r="AE35" s="193" t="n">
        <v>3</v>
      </c>
      <c r="AF35" s="193" t="n">
        <v>2</v>
      </c>
      <c r="AG35" s="193" t="n">
        <v>14</v>
      </c>
      <c r="AH35" s="193" t="n">
        <v>16</v>
      </c>
      <c r="AI35" s="193" t="s">
        <v>781</v>
      </c>
      <c r="AJ35" s="193" t="s">
        <v>773</v>
      </c>
      <c r="AK35" s="193" t="s">
        <v>1111</v>
      </c>
      <c r="AL35" s="193" t="s">
        <v>781</v>
      </c>
      <c r="AM35" s="193" t="n">
        <v>3</v>
      </c>
      <c r="AN35" s="193" t="s">
        <v>788</v>
      </c>
      <c r="AO35" s="193" t="n">
        <v>1</v>
      </c>
      <c r="AP35" s="193" t="n">
        <v>2</v>
      </c>
    </row>
    <row r="36" customFormat="false" ht="15" hidden="false" customHeight="true" outlineLevel="0" collapsed="false">
      <c r="A36" s="193" t="s">
        <v>552</v>
      </c>
      <c r="B36" s="193" t="s">
        <v>1244</v>
      </c>
      <c r="C36" s="193" t="s">
        <v>1245</v>
      </c>
      <c r="D36" s="193" t="s">
        <v>1246</v>
      </c>
      <c r="E36" s="193" t="s">
        <v>666</v>
      </c>
      <c r="F36" s="193" t="s">
        <v>1247</v>
      </c>
      <c r="G36" s="193" t="s">
        <v>1248</v>
      </c>
      <c r="H36" s="193" t="n">
        <v>0</v>
      </c>
      <c r="I36" s="193"/>
      <c r="J36" s="193" t="n">
        <v>1</v>
      </c>
      <c r="K36" s="193" t="s">
        <v>1109</v>
      </c>
      <c r="L36" s="193" t="n">
        <v>2</v>
      </c>
      <c r="M36" s="193" t="n">
        <v>2</v>
      </c>
      <c r="N36" s="193" t="n">
        <v>3</v>
      </c>
      <c r="O36" s="193" t="n">
        <v>2</v>
      </c>
      <c r="P36" s="193" t="n">
        <v>2</v>
      </c>
      <c r="Q36" s="193" t="n">
        <v>3</v>
      </c>
      <c r="R36" s="193" t="n">
        <v>4</v>
      </c>
      <c r="S36" s="193" t="s">
        <v>716</v>
      </c>
      <c r="T36" s="193" t="s">
        <v>233</v>
      </c>
      <c r="U36" s="194" t="n">
        <v>3</v>
      </c>
      <c r="V36" s="193" t="s">
        <v>726</v>
      </c>
      <c r="W36" s="193" t="s">
        <v>1249</v>
      </c>
      <c r="X36" s="193" t="s">
        <v>233</v>
      </c>
      <c r="Y36" s="193" t="n">
        <v>3</v>
      </c>
      <c r="Z36" s="193"/>
      <c r="AA36" s="193" t="s">
        <v>743</v>
      </c>
      <c r="AB36" s="193" t="n">
        <v>2</v>
      </c>
      <c r="AC36" s="193" t="n">
        <v>2</v>
      </c>
      <c r="AD36" s="193" t="n">
        <v>2</v>
      </c>
      <c r="AE36" s="193" t="n">
        <v>2</v>
      </c>
      <c r="AF36" s="193" t="n">
        <v>2</v>
      </c>
      <c r="AG36" s="193" t="n">
        <v>16</v>
      </c>
      <c r="AH36" s="193" t="n">
        <v>11</v>
      </c>
      <c r="AI36" s="193" t="s">
        <v>769</v>
      </c>
      <c r="AJ36" s="193" t="s">
        <v>773</v>
      </c>
      <c r="AK36" s="193" t="s">
        <v>1111</v>
      </c>
      <c r="AL36" s="193" t="s">
        <v>781</v>
      </c>
      <c r="AM36" s="193" t="n">
        <v>3</v>
      </c>
      <c r="AN36" s="193" t="s">
        <v>788</v>
      </c>
      <c r="AO36" s="193" t="n">
        <v>1</v>
      </c>
      <c r="AP36" s="193" t="n">
        <v>2</v>
      </c>
    </row>
    <row r="37" customFormat="false" ht="15" hidden="false" customHeight="true" outlineLevel="0" collapsed="false">
      <c r="A37" s="193" t="s">
        <v>555</v>
      </c>
      <c r="B37" s="193" t="s">
        <v>1250</v>
      </c>
      <c r="C37" s="193" t="s">
        <v>1144</v>
      </c>
      <c r="D37" s="193" t="s">
        <v>1251</v>
      </c>
      <c r="E37" s="193" t="s">
        <v>1146</v>
      </c>
      <c r="F37" s="193" t="s">
        <v>1154</v>
      </c>
      <c r="G37" s="193" t="s">
        <v>1252</v>
      </c>
      <c r="H37" s="193" t="n">
        <v>0</v>
      </c>
      <c r="I37" s="193"/>
      <c r="J37" s="193" t="n">
        <v>0</v>
      </c>
      <c r="K37" s="193" t="s">
        <v>1149</v>
      </c>
      <c r="L37" s="193" t="n">
        <v>2</v>
      </c>
      <c r="M37" s="193" t="n">
        <v>3</v>
      </c>
      <c r="N37" s="193" t="n">
        <v>2</v>
      </c>
      <c r="O37" s="193" t="n">
        <v>2</v>
      </c>
      <c r="P37" s="193" t="n">
        <v>1</v>
      </c>
      <c r="Q37" s="193" t="n">
        <v>2</v>
      </c>
      <c r="R37" s="193" t="n">
        <v>4</v>
      </c>
      <c r="S37" s="193" t="s">
        <v>716</v>
      </c>
      <c r="T37" s="193" t="s">
        <v>244</v>
      </c>
      <c r="U37" s="194" t="n">
        <v>4</v>
      </c>
      <c r="V37" s="193" t="s">
        <v>726</v>
      </c>
      <c r="W37" s="193" t="s">
        <v>1120</v>
      </c>
      <c r="X37" s="193" t="s">
        <v>244</v>
      </c>
      <c r="Y37" s="193" t="n">
        <v>3</v>
      </c>
      <c r="Z37" s="193" t="s">
        <v>739</v>
      </c>
      <c r="AA37" s="193" t="s">
        <v>743</v>
      </c>
      <c r="AB37" s="193" t="n">
        <v>3</v>
      </c>
      <c r="AC37" s="193" t="n">
        <v>2</v>
      </c>
      <c r="AD37" s="193" t="n">
        <v>2</v>
      </c>
      <c r="AE37" s="193" t="n">
        <v>2</v>
      </c>
      <c r="AF37" s="193" t="n">
        <v>3</v>
      </c>
      <c r="AG37" s="193" t="n">
        <v>21</v>
      </c>
      <c r="AH37" s="193" t="n">
        <v>18</v>
      </c>
      <c r="AI37" s="193" t="s">
        <v>781</v>
      </c>
      <c r="AJ37" s="193" t="s">
        <v>773</v>
      </c>
      <c r="AK37" s="193" t="s">
        <v>1111</v>
      </c>
      <c r="AL37" s="193" t="s">
        <v>781</v>
      </c>
      <c r="AM37" s="193" t="n">
        <v>2</v>
      </c>
      <c r="AN37" s="193" t="s">
        <v>1122</v>
      </c>
      <c r="AO37" s="193" t="n">
        <v>3</v>
      </c>
      <c r="AP37" s="193" t="n">
        <v>2</v>
      </c>
    </row>
    <row r="38" customFormat="false" ht="15" hidden="false" customHeight="true" outlineLevel="0" collapsed="false">
      <c r="A38" s="193" t="s">
        <v>558</v>
      </c>
      <c r="B38" s="193" t="s">
        <v>1253</v>
      </c>
      <c r="C38" s="193" t="s">
        <v>1125</v>
      </c>
      <c r="D38" s="193" t="s">
        <v>1254</v>
      </c>
      <c r="E38" s="193" t="s">
        <v>666</v>
      </c>
      <c r="F38" s="193" t="s">
        <v>1127</v>
      </c>
      <c r="G38" s="193" t="s">
        <v>1255</v>
      </c>
      <c r="H38" s="193" t="n">
        <v>0</v>
      </c>
      <c r="I38" s="193"/>
      <c r="J38" s="193" t="n">
        <v>0</v>
      </c>
      <c r="K38" s="193" t="s">
        <v>1109</v>
      </c>
      <c r="L38" s="193" t="n">
        <v>3</v>
      </c>
      <c r="M38" s="193" t="n">
        <v>3</v>
      </c>
      <c r="N38" s="193" t="n">
        <v>3</v>
      </c>
      <c r="O38" s="193" t="n">
        <v>0</v>
      </c>
      <c r="P38" s="193" t="n">
        <v>2</v>
      </c>
      <c r="Q38" s="193" t="n">
        <v>2</v>
      </c>
      <c r="R38" s="193" t="n">
        <v>3</v>
      </c>
      <c r="S38" s="193" t="s">
        <v>716</v>
      </c>
      <c r="T38" s="193" t="s">
        <v>244</v>
      </c>
      <c r="U38" s="194" t="n">
        <v>4</v>
      </c>
      <c r="V38" s="193" t="s">
        <v>726</v>
      </c>
      <c r="W38" s="193" t="s">
        <v>731</v>
      </c>
      <c r="X38" s="193" t="s">
        <v>244</v>
      </c>
      <c r="Y38" s="193" t="n">
        <v>3</v>
      </c>
      <c r="Z38" s="193" t="s">
        <v>1226</v>
      </c>
      <c r="AA38" s="193" t="s">
        <v>1121</v>
      </c>
      <c r="AB38" s="193" t="n">
        <v>3</v>
      </c>
      <c r="AC38" s="193" t="n">
        <v>3</v>
      </c>
      <c r="AD38" s="193" t="n">
        <v>3</v>
      </c>
      <c r="AE38" s="193" t="n">
        <v>3</v>
      </c>
      <c r="AF38" s="193" t="n">
        <v>3</v>
      </c>
      <c r="AG38" s="193" t="n">
        <v>24</v>
      </c>
      <c r="AH38" s="193" t="n">
        <v>29</v>
      </c>
      <c r="AI38" s="193" t="s">
        <v>781</v>
      </c>
      <c r="AJ38" s="193" t="s">
        <v>773</v>
      </c>
      <c r="AK38" s="193" t="s">
        <v>1111</v>
      </c>
      <c r="AL38" s="193" t="s">
        <v>781</v>
      </c>
      <c r="AM38" s="193" t="n">
        <v>2</v>
      </c>
      <c r="AN38" s="193" t="s">
        <v>1122</v>
      </c>
      <c r="AO38" s="193" t="n">
        <v>3</v>
      </c>
      <c r="AP38" s="193" t="n">
        <v>3</v>
      </c>
    </row>
    <row r="39" customFormat="false" ht="15" hidden="false" customHeight="true" outlineLevel="0" collapsed="false">
      <c r="A39" s="193" t="s">
        <v>561</v>
      </c>
      <c r="B39" s="193" t="s">
        <v>1256</v>
      </c>
      <c r="C39" s="193" t="s">
        <v>1217</v>
      </c>
      <c r="D39" s="193" t="s">
        <v>1257</v>
      </c>
      <c r="E39" s="193" t="s">
        <v>1185</v>
      </c>
      <c r="F39" s="193" t="s">
        <v>1258</v>
      </c>
      <c r="G39" s="193" t="s">
        <v>1259</v>
      </c>
      <c r="H39" s="193" t="n">
        <v>2</v>
      </c>
      <c r="I39" s="193" t="s">
        <v>1260</v>
      </c>
      <c r="J39" s="193" t="n">
        <v>2</v>
      </c>
      <c r="K39" s="193" t="s">
        <v>690</v>
      </c>
      <c r="L39" s="193" t="n">
        <v>2</v>
      </c>
      <c r="M39" s="193" t="n">
        <v>2</v>
      </c>
      <c r="N39" s="193" t="n">
        <v>2</v>
      </c>
      <c r="O39" s="193" t="n">
        <v>2</v>
      </c>
      <c r="P39" s="193" t="n">
        <v>0</v>
      </c>
      <c r="Q39" s="193" t="n">
        <v>2</v>
      </c>
      <c r="R39" s="193" t="n">
        <v>3</v>
      </c>
      <c r="S39" s="193" t="s">
        <v>716</v>
      </c>
      <c r="T39" s="193" t="s">
        <v>233</v>
      </c>
      <c r="U39" s="194" t="n">
        <v>3</v>
      </c>
      <c r="V39" s="193" t="s">
        <v>726</v>
      </c>
      <c r="W39" s="193" t="s">
        <v>1120</v>
      </c>
      <c r="X39" s="193" t="s">
        <v>244</v>
      </c>
      <c r="Y39" s="193" t="n">
        <v>2</v>
      </c>
      <c r="Z39" s="193"/>
      <c r="AA39" s="193" t="s">
        <v>743</v>
      </c>
      <c r="AB39" s="193" t="n">
        <v>2</v>
      </c>
      <c r="AC39" s="193" t="n">
        <v>2</v>
      </c>
      <c r="AD39" s="193" t="n">
        <v>2</v>
      </c>
      <c r="AE39" s="193" t="n">
        <v>3</v>
      </c>
      <c r="AF39" s="193" t="n">
        <v>2</v>
      </c>
      <c r="AG39" s="193" t="n">
        <v>12</v>
      </c>
      <c r="AH39" s="193" t="n">
        <v>14</v>
      </c>
      <c r="AI39" s="193" t="s">
        <v>781</v>
      </c>
      <c r="AJ39" s="193" t="s">
        <v>773</v>
      </c>
      <c r="AK39" s="193" t="s">
        <v>1111</v>
      </c>
      <c r="AL39" s="193" t="s">
        <v>781</v>
      </c>
      <c r="AM39" s="193" t="n">
        <v>3</v>
      </c>
      <c r="AN39" s="193" t="s">
        <v>788</v>
      </c>
      <c r="AO39" s="193" t="n">
        <v>2</v>
      </c>
      <c r="AP39" s="193" t="n">
        <v>2</v>
      </c>
    </row>
    <row r="40" customFormat="false" ht="15" hidden="false" customHeight="true" outlineLevel="0" collapsed="false">
      <c r="A40" s="193" t="s">
        <v>564</v>
      </c>
      <c r="B40" s="193" t="s">
        <v>1261</v>
      </c>
      <c r="C40" s="193" t="s">
        <v>1262</v>
      </c>
      <c r="D40" s="193" t="s">
        <v>1263</v>
      </c>
      <c r="E40" s="193" t="s">
        <v>666</v>
      </c>
      <c r="F40" s="193" t="s">
        <v>1264</v>
      </c>
      <c r="G40" s="193" t="s">
        <v>1265</v>
      </c>
      <c r="H40" s="193" t="n">
        <v>0</v>
      </c>
      <c r="I40" s="193"/>
      <c r="J40" s="193" t="n">
        <v>1</v>
      </c>
      <c r="K40" s="193" t="s">
        <v>1109</v>
      </c>
      <c r="L40" s="193" t="n">
        <v>2</v>
      </c>
      <c r="M40" s="193" t="n">
        <v>2</v>
      </c>
      <c r="N40" s="193" t="n">
        <v>2</v>
      </c>
      <c r="O40" s="193" t="n">
        <v>2</v>
      </c>
      <c r="P40" s="193" t="n">
        <v>2</v>
      </c>
      <c r="Q40" s="193" t="n">
        <v>3</v>
      </c>
      <c r="R40" s="193" t="n">
        <v>3</v>
      </c>
      <c r="S40" s="193" t="s">
        <v>716</v>
      </c>
      <c r="T40" s="193" t="s">
        <v>233</v>
      </c>
      <c r="U40" s="194" t="n">
        <v>3</v>
      </c>
      <c r="V40" s="193" t="s">
        <v>726</v>
      </c>
      <c r="W40" s="193" t="s">
        <v>1156</v>
      </c>
      <c r="X40" s="193" t="s">
        <v>233</v>
      </c>
      <c r="Y40" s="193" t="n">
        <v>2</v>
      </c>
      <c r="Z40" s="193"/>
      <c r="AA40" s="193" t="s">
        <v>743</v>
      </c>
      <c r="AB40" s="193" t="n">
        <v>2</v>
      </c>
      <c r="AC40" s="193" t="n">
        <v>3</v>
      </c>
      <c r="AD40" s="193" t="n">
        <v>3</v>
      </c>
      <c r="AE40" s="193" t="n">
        <v>3</v>
      </c>
      <c r="AF40" s="193" t="n">
        <v>2</v>
      </c>
      <c r="AG40" s="193" t="n">
        <v>9</v>
      </c>
      <c r="AH40" s="193" t="n">
        <v>13</v>
      </c>
      <c r="AI40" s="193" t="s">
        <v>769</v>
      </c>
      <c r="AJ40" s="193" t="s">
        <v>773</v>
      </c>
      <c r="AK40" s="193" t="s">
        <v>777</v>
      </c>
      <c r="AL40" s="193" t="s">
        <v>781</v>
      </c>
      <c r="AM40" s="193" t="n">
        <v>3</v>
      </c>
      <c r="AN40" s="193" t="s">
        <v>788</v>
      </c>
      <c r="AO40" s="193" t="n">
        <v>2</v>
      </c>
      <c r="AP40" s="193" t="n">
        <v>2</v>
      </c>
    </row>
    <row r="41" customFormat="false" ht="15" hidden="false" customHeight="true" outlineLevel="0" collapsed="false">
      <c r="A41" s="193" t="s">
        <v>567</v>
      </c>
      <c r="B41" s="193" t="s">
        <v>1266</v>
      </c>
      <c r="C41" s="193" t="s">
        <v>1267</v>
      </c>
      <c r="D41" s="193" t="s">
        <v>1268</v>
      </c>
      <c r="E41" s="193" t="s">
        <v>666</v>
      </c>
      <c r="F41" s="193" t="s">
        <v>1269</v>
      </c>
      <c r="G41" s="193" t="s">
        <v>1270</v>
      </c>
      <c r="H41" s="193" t="n">
        <v>0</v>
      </c>
      <c r="I41" s="193"/>
      <c r="J41" s="193" t="n">
        <v>0</v>
      </c>
      <c r="K41" s="193" t="s">
        <v>1109</v>
      </c>
      <c r="L41" s="193" t="n">
        <v>3</v>
      </c>
      <c r="M41" s="193" t="n">
        <v>2</v>
      </c>
      <c r="N41" s="193" t="n">
        <v>3</v>
      </c>
      <c r="O41" s="193" t="n">
        <v>0</v>
      </c>
      <c r="P41" s="193" t="n">
        <v>3</v>
      </c>
      <c r="Q41" s="193" t="n">
        <v>2</v>
      </c>
      <c r="R41" s="193" t="n">
        <v>5</v>
      </c>
      <c r="S41" s="193" t="s">
        <v>716</v>
      </c>
      <c r="T41" s="193" t="s">
        <v>244</v>
      </c>
      <c r="U41" s="194" t="n">
        <v>5</v>
      </c>
      <c r="V41" s="193" t="s">
        <v>726</v>
      </c>
      <c r="W41" s="193" t="s">
        <v>1271</v>
      </c>
      <c r="X41" s="193" t="s">
        <v>244</v>
      </c>
      <c r="Y41" s="193" t="n">
        <v>3</v>
      </c>
      <c r="Z41" s="193"/>
      <c r="AA41" s="193" t="s">
        <v>743</v>
      </c>
      <c r="AB41" s="193" t="n">
        <v>3</v>
      </c>
      <c r="AC41" s="193" t="n">
        <v>2</v>
      </c>
      <c r="AD41" s="193" t="n">
        <v>2</v>
      </c>
      <c r="AE41" s="193" t="n">
        <v>3</v>
      </c>
      <c r="AF41" s="193" t="n">
        <v>2</v>
      </c>
      <c r="AG41" s="193" t="n">
        <v>19</v>
      </c>
      <c r="AH41" s="193" t="n">
        <v>38</v>
      </c>
      <c r="AI41" s="193" t="s">
        <v>781</v>
      </c>
      <c r="AJ41" s="193" t="s">
        <v>773</v>
      </c>
      <c r="AK41" s="193" t="s">
        <v>781</v>
      </c>
      <c r="AL41" s="193" t="s">
        <v>781</v>
      </c>
      <c r="AM41" s="193" t="n">
        <v>2</v>
      </c>
      <c r="AN41" s="193" t="s">
        <v>788</v>
      </c>
      <c r="AO41" s="193" t="n">
        <v>2</v>
      </c>
      <c r="AP41" s="193" t="n">
        <v>3</v>
      </c>
    </row>
    <row r="42" customFormat="false" ht="15" hidden="false" customHeight="true" outlineLevel="0" collapsed="false">
      <c r="A42" s="193" t="s">
        <v>570</v>
      </c>
      <c r="B42" s="193" t="s">
        <v>1272</v>
      </c>
      <c r="C42" s="193" t="s">
        <v>658</v>
      </c>
      <c r="D42" s="193" t="s">
        <v>1273</v>
      </c>
      <c r="E42" s="193" t="s">
        <v>666</v>
      </c>
      <c r="F42" s="193" t="s">
        <v>1102</v>
      </c>
      <c r="G42" s="193" t="s">
        <v>1103</v>
      </c>
      <c r="H42" s="193" t="n">
        <v>2</v>
      </c>
      <c r="I42" s="193" t="s">
        <v>681</v>
      </c>
      <c r="J42" s="193" t="n">
        <v>3</v>
      </c>
      <c r="K42" s="193" t="s">
        <v>690</v>
      </c>
      <c r="L42" s="193" t="n">
        <v>2</v>
      </c>
      <c r="M42" s="193" t="n">
        <v>2</v>
      </c>
      <c r="N42" s="193" t="n">
        <v>2</v>
      </c>
      <c r="O42" s="193" t="n">
        <v>3</v>
      </c>
      <c r="P42" s="193" t="n">
        <v>2</v>
      </c>
      <c r="Q42" s="193" t="n">
        <v>3</v>
      </c>
      <c r="R42" s="193" t="n">
        <v>4</v>
      </c>
      <c r="S42" s="193" t="s">
        <v>716</v>
      </c>
      <c r="T42" s="193" t="s">
        <v>233</v>
      </c>
      <c r="U42" s="194" t="n">
        <v>5</v>
      </c>
      <c r="V42" s="193" t="s">
        <v>726</v>
      </c>
      <c r="W42" s="193" t="s">
        <v>1110</v>
      </c>
      <c r="X42" s="193" t="s">
        <v>244</v>
      </c>
      <c r="Y42" s="193" t="n">
        <v>3</v>
      </c>
      <c r="Z42" s="193"/>
      <c r="AA42" s="193" t="s">
        <v>743</v>
      </c>
      <c r="AB42" s="193" t="n">
        <v>1</v>
      </c>
      <c r="AC42" s="193" t="n">
        <v>3</v>
      </c>
      <c r="AD42" s="193" t="n">
        <v>3</v>
      </c>
      <c r="AE42" s="193" t="n">
        <v>3</v>
      </c>
      <c r="AF42" s="193" t="n">
        <v>3</v>
      </c>
      <c r="AG42" s="193" t="n">
        <v>13</v>
      </c>
      <c r="AH42" s="193" t="n">
        <v>19</v>
      </c>
      <c r="AI42" s="193" t="s">
        <v>781</v>
      </c>
      <c r="AJ42" s="193" t="s">
        <v>773</v>
      </c>
      <c r="AK42" s="193" t="s">
        <v>1111</v>
      </c>
      <c r="AL42" s="193" t="s">
        <v>781</v>
      </c>
      <c r="AM42" s="193" t="n">
        <v>3</v>
      </c>
      <c r="AN42" s="193" t="s">
        <v>788</v>
      </c>
      <c r="AO42" s="193" t="n">
        <v>1</v>
      </c>
      <c r="AP42" s="193" t="n">
        <v>2</v>
      </c>
    </row>
    <row r="43" customFormat="false" ht="15" hidden="false" customHeight="true" outlineLevel="0" collapsed="false">
      <c r="A43" s="193" t="s">
        <v>573</v>
      </c>
      <c r="B43" s="193" t="s">
        <v>1274</v>
      </c>
      <c r="C43" s="193" t="s">
        <v>1275</v>
      </c>
      <c r="D43" s="193" t="s">
        <v>1276</v>
      </c>
      <c r="E43" s="193" t="s">
        <v>1163</v>
      </c>
      <c r="F43" s="193" t="s">
        <v>1277</v>
      </c>
      <c r="G43" s="193" t="s">
        <v>1278</v>
      </c>
      <c r="H43" s="193" t="n">
        <v>0</v>
      </c>
      <c r="I43" s="193"/>
      <c r="J43" s="193" t="n">
        <v>0</v>
      </c>
      <c r="K43" s="193" t="s">
        <v>690</v>
      </c>
      <c r="L43" s="193" t="n">
        <v>2</v>
      </c>
      <c r="M43" s="193" t="n">
        <v>2</v>
      </c>
      <c r="N43" s="193" t="n">
        <v>2</v>
      </c>
      <c r="O43" s="193" t="n">
        <v>2</v>
      </c>
      <c r="P43" s="193" t="n">
        <v>2</v>
      </c>
      <c r="Q43" s="193" t="n">
        <v>3</v>
      </c>
      <c r="R43" s="193" t="n">
        <v>3</v>
      </c>
      <c r="S43" s="193" t="s">
        <v>716</v>
      </c>
      <c r="T43" s="193" t="s">
        <v>244</v>
      </c>
      <c r="U43" s="194" t="n">
        <v>4</v>
      </c>
      <c r="V43" s="193" t="s">
        <v>726</v>
      </c>
      <c r="W43" s="193" t="s">
        <v>1120</v>
      </c>
      <c r="X43" s="193" t="s">
        <v>244</v>
      </c>
      <c r="Y43" s="193" t="n">
        <v>2</v>
      </c>
      <c r="Z43" s="193"/>
      <c r="AA43" s="193" t="s">
        <v>743</v>
      </c>
      <c r="AB43" s="193" t="n">
        <v>3</v>
      </c>
      <c r="AC43" s="193" t="n">
        <v>2</v>
      </c>
      <c r="AD43" s="193" t="n">
        <v>3</v>
      </c>
      <c r="AE43" s="193" t="n">
        <v>2</v>
      </c>
      <c r="AF43" s="193" t="n">
        <v>3</v>
      </c>
      <c r="AG43" s="193" t="n">
        <v>17</v>
      </c>
      <c r="AH43" s="193" t="n">
        <v>14</v>
      </c>
      <c r="AI43" s="193" t="s">
        <v>781</v>
      </c>
      <c r="AJ43" s="193" t="s">
        <v>773</v>
      </c>
      <c r="AK43" s="193" t="s">
        <v>1111</v>
      </c>
      <c r="AL43" s="193" t="s">
        <v>781</v>
      </c>
      <c r="AM43" s="193" t="n">
        <v>2</v>
      </c>
      <c r="AN43" s="193" t="s">
        <v>1122</v>
      </c>
      <c r="AO43" s="193" t="n">
        <v>3</v>
      </c>
      <c r="AP43" s="193" t="n">
        <v>2</v>
      </c>
    </row>
    <row r="44" customFormat="false" ht="15" hidden="false" customHeight="true" outlineLevel="0" collapsed="false">
      <c r="A44" s="193" t="s">
        <v>576</v>
      </c>
      <c r="B44" s="193" t="s">
        <v>1279</v>
      </c>
      <c r="C44" s="193" t="s">
        <v>1131</v>
      </c>
      <c r="D44" s="193" t="s">
        <v>1280</v>
      </c>
      <c r="E44" s="193" t="s">
        <v>666</v>
      </c>
      <c r="F44" s="193" t="s">
        <v>1281</v>
      </c>
      <c r="G44" s="193" t="s">
        <v>1282</v>
      </c>
      <c r="H44" s="193" t="n">
        <v>0</v>
      </c>
      <c r="I44" s="193"/>
      <c r="J44" s="193" t="n">
        <v>0</v>
      </c>
      <c r="K44" s="193" t="s">
        <v>1109</v>
      </c>
      <c r="L44" s="193" t="n">
        <v>2</v>
      </c>
      <c r="M44" s="193" t="n">
        <v>2</v>
      </c>
      <c r="N44" s="193" t="n">
        <v>3</v>
      </c>
      <c r="O44" s="193" t="n">
        <v>0</v>
      </c>
      <c r="P44" s="193" t="n">
        <v>3</v>
      </c>
      <c r="Q44" s="193" t="n">
        <v>2</v>
      </c>
      <c r="R44" s="193" t="n">
        <v>3</v>
      </c>
      <c r="S44" s="193" t="s">
        <v>716</v>
      </c>
      <c r="T44" s="193" t="s">
        <v>233</v>
      </c>
      <c r="U44" s="194" t="n">
        <v>3</v>
      </c>
      <c r="V44" s="193" t="s">
        <v>726</v>
      </c>
      <c r="W44" s="193" t="s">
        <v>1120</v>
      </c>
      <c r="X44" s="193" t="s">
        <v>244</v>
      </c>
      <c r="Y44" s="193" t="n">
        <v>2</v>
      </c>
      <c r="Z44" s="193" t="s">
        <v>1226</v>
      </c>
      <c r="AA44" s="193" t="s">
        <v>743</v>
      </c>
      <c r="AB44" s="193" t="n">
        <v>2</v>
      </c>
      <c r="AC44" s="193" t="n">
        <v>3</v>
      </c>
      <c r="AD44" s="193" t="n">
        <v>3</v>
      </c>
      <c r="AE44" s="193" t="n">
        <v>3</v>
      </c>
      <c r="AF44" s="193" t="n">
        <v>3</v>
      </c>
      <c r="AG44" s="193" t="n">
        <v>11</v>
      </c>
      <c r="AH44" s="193" t="n">
        <v>22</v>
      </c>
      <c r="AI44" s="193" t="s">
        <v>781</v>
      </c>
      <c r="AJ44" s="193" t="s">
        <v>773</v>
      </c>
      <c r="AK44" s="193" t="s">
        <v>781</v>
      </c>
      <c r="AL44" s="193" t="s">
        <v>781</v>
      </c>
      <c r="AM44" s="193" t="n">
        <v>2</v>
      </c>
      <c r="AN44" s="193" t="s">
        <v>788</v>
      </c>
      <c r="AO44" s="193" t="n">
        <v>3</v>
      </c>
      <c r="AP44" s="193" t="n">
        <v>3</v>
      </c>
    </row>
    <row r="45" customFormat="false" ht="18" hidden="false" customHeight="true" outlineLevel="0" collapsed="false">
      <c r="A45" s="195" t="s">
        <v>1283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</row>
    <row r="46" customFormat="false" ht="15" hidden="false" customHeight="true" outlineLevel="0" collapsed="false">
      <c r="A46" s="196" t="s">
        <v>579</v>
      </c>
      <c r="B46" s="196" t="s">
        <v>1284</v>
      </c>
      <c r="C46" s="196" t="s">
        <v>658</v>
      </c>
      <c r="D46" s="196" t="s">
        <v>1285</v>
      </c>
      <c r="E46" s="196" t="s">
        <v>1115</v>
      </c>
      <c r="F46" s="196" t="s">
        <v>1116</v>
      </c>
      <c r="G46" s="196" t="s">
        <v>1117</v>
      </c>
      <c r="H46" s="196" t="n">
        <v>2</v>
      </c>
      <c r="I46" s="196" t="s">
        <v>1286</v>
      </c>
      <c r="J46" s="196" t="n">
        <v>3</v>
      </c>
      <c r="K46" s="196" t="s">
        <v>690</v>
      </c>
      <c r="L46" s="196" t="n">
        <v>2</v>
      </c>
      <c r="M46" s="196" t="n">
        <v>3</v>
      </c>
      <c r="N46" s="196" t="n">
        <v>2</v>
      </c>
      <c r="O46" s="196" t="n">
        <v>2</v>
      </c>
      <c r="P46" s="196" t="n">
        <v>2</v>
      </c>
      <c r="Q46" s="196" t="n">
        <v>3</v>
      </c>
      <c r="R46" s="196" t="n">
        <v>5</v>
      </c>
      <c r="S46" s="196" t="s">
        <v>716</v>
      </c>
      <c r="T46" s="196" t="s">
        <v>244</v>
      </c>
      <c r="U46" s="197" t="n">
        <v>7</v>
      </c>
      <c r="V46" s="196" t="s">
        <v>726</v>
      </c>
      <c r="W46" s="196" t="s">
        <v>1104</v>
      </c>
      <c r="X46" s="196" t="s">
        <v>244</v>
      </c>
      <c r="Y46" s="196" t="n">
        <v>3</v>
      </c>
      <c r="Z46" s="196"/>
      <c r="AA46" s="196" t="s">
        <v>743</v>
      </c>
      <c r="AB46" s="196" t="n">
        <v>2</v>
      </c>
      <c r="AC46" s="196" t="n">
        <v>2</v>
      </c>
      <c r="AD46" s="196" t="n">
        <v>2</v>
      </c>
      <c r="AE46" s="196" t="n">
        <v>3</v>
      </c>
      <c r="AF46" s="196" t="n">
        <v>2</v>
      </c>
      <c r="AG46" s="196" t="n">
        <v>11</v>
      </c>
      <c r="AH46" s="196" t="n">
        <v>14</v>
      </c>
      <c r="AI46" s="196" t="s">
        <v>769</v>
      </c>
      <c r="AJ46" s="196" t="s">
        <v>773</v>
      </c>
      <c r="AK46" s="196" t="s">
        <v>1111</v>
      </c>
      <c r="AL46" s="196" t="s">
        <v>781</v>
      </c>
      <c r="AM46" s="196" t="n">
        <v>3</v>
      </c>
      <c r="AN46" s="196" t="s">
        <v>788</v>
      </c>
      <c r="AO46" s="196" t="n">
        <v>2</v>
      </c>
      <c r="AP46" s="196" t="n">
        <v>2</v>
      </c>
    </row>
    <row r="47" customFormat="false" ht="15" hidden="false" customHeight="true" outlineLevel="0" collapsed="false">
      <c r="A47" s="196" t="s">
        <v>582</v>
      </c>
      <c r="B47" s="196" t="s">
        <v>1287</v>
      </c>
      <c r="C47" s="196" t="s">
        <v>1275</v>
      </c>
      <c r="D47" s="196" t="s">
        <v>1288</v>
      </c>
      <c r="E47" s="196" t="s">
        <v>666</v>
      </c>
      <c r="F47" s="196" t="s">
        <v>1289</v>
      </c>
      <c r="G47" s="196" t="s">
        <v>1290</v>
      </c>
      <c r="H47" s="196" t="n">
        <v>0</v>
      </c>
      <c r="I47" s="196"/>
      <c r="J47" s="196" t="n">
        <v>1</v>
      </c>
      <c r="K47" s="196" t="s">
        <v>1109</v>
      </c>
      <c r="L47" s="196" t="n">
        <v>3</v>
      </c>
      <c r="M47" s="196" t="n">
        <v>2</v>
      </c>
      <c r="N47" s="196" t="n">
        <v>3</v>
      </c>
      <c r="O47" s="196" t="n">
        <v>2</v>
      </c>
      <c r="P47" s="196" t="n">
        <v>2</v>
      </c>
      <c r="Q47" s="196" t="n">
        <v>3</v>
      </c>
      <c r="R47" s="196" t="n">
        <v>4</v>
      </c>
      <c r="S47" s="196" t="s">
        <v>716</v>
      </c>
      <c r="T47" s="196" t="s">
        <v>244</v>
      </c>
      <c r="U47" s="197" t="n">
        <v>7</v>
      </c>
      <c r="V47" s="196" t="s">
        <v>726</v>
      </c>
      <c r="W47" s="196" t="s">
        <v>1120</v>
      </c>
      <c r="X47" s="196" t="s">
        <v>244</v>
      </c>
      <c r="Y47" s="196" t="n">
        <v>3</v>
      </c>
      <c r="Z47" s="196"/>
      <c r="AA47" s="196" t="s">
        <v>743</v>
      </c>
      <c r="AB47" s="196" t="n">
        <v>3</v>
      </c>
      <c r="AC47" s="196" t="n">
        <v>3</v>
      </c>
      <c r="AD47" s="196" t="n">
        <v>3</v>
      </c>
      <c r="AE47" s="196" t="n">
        <v>3</v>
      </c>
      <c r="AF47" s="196" t="n">
        <v>3</v>
      </c>
      <c r="AG47" s="196" t="n">
        <v>28</v>
      </c>
      <c r="AH47" s="196" t="n">
        <v>17</v>
      </c>
      <c r="AI47" s="196" t="s">
        <v>781</v>
      </c>
      <c r="AJ47" s="196" t="s">
        <v>773</v>
      </c>
      <c r="AK47" s="196" t="s">
        <v>1111</v>
      </c>
      <c r="AL47" s="196" t="s">
        <v>781</v>
      </c>
      <c r="AM47" s="196" t="n">
        <v>2</v>
      </c>
      <c r="AN47" s="196" t="s">
        <v>1122</v>
      </c>
      <c r="AO47" s="196" t="n">
        <v>3</v>
      </c>
      <c r="AP47" s="196" t="n">
        <v>3</v>
      </c>
    </row>
    <row r="48" customFormat="false" ht="15" hidden="false" customHeight="true" outlineLevel="0" collapsed="false">
      <c r="A48" s="196" t="s">
        <v>585</v>
      </c>
      <c r="B48" s="196" t="s">
        <v>1291</v>
      </c>
      <c r="C48" s="196" t="s">
        <v>1211</v>
      </c>
      <c r="D48" s="196" t="s">
        <v>1292</v>
      </c>
      <c r="E48" s="196" t="s">
        <v>666</v>
      </c>
      <c r="F48" s="196" t="s">
        <v>1213</v>
      </c>
      <c r="G48" s="196" t="s">
        <v>1293</v>
      </c>
      <c r="H48" s="196" t="n">
        <v>0</v>
      </c>
      <c r="I48" s="196"/>
      <c r="J48" s="196" t="n">
        <v>0</v>
      </c>
      <c r="K48" s="196" t="s">
        <v>1109</v>
      </c>
      <c r="L48" s="196" t="n">
        <v>3</v>
      </c>
      <c r="M48" s="196" t="n">
        <v>3</v>
      </c>
      <c r="N48" s="196" t="n">
        <v>2</v>
      </c>
      <c r="O48" s="196" t="n">
        <v>1</v>
      </c>
      <c r="P48" s="196" t="n">
        <v>2</v>
      </c>
      <c r="Q48" s="196" t="n">
        <v>2</v>
      </c>
      <c r="R48" s="196" t="n">
        <v>4</v>
      </c>
      <c r="S48" s="196" t="s">
        <v>716</v>
      </c>
      <c r="T48" s="196" t="s">
        <v>244</v>
      </c>
      <c r="U48" s="197" t="n">
        <v>8</v>
      </c>
      <c r="V48" s="196" t="s">
        <v>726</v>
      </c>
      <c r="W48" s="196" t="s">
        <v>1120</v>
      </c>
      <c r="X48" s="196" t="s">
        <v>244</v>
      </c>
      <c r="Y48" s="196" t="n">
        <v>3</v>
      </c>
      <c r="Z48" s="196" t="s">
        <v>739</v>
      </c>
      <c r="AA48" s="196" t="s">
        <v>1121</v>
      </c>
      <c r="AB48" s="196" t="n">
        <v>3</v>
      </c>
      <c r="AC48" s="196" t="n">
        <v>3</v>
      </c>
      <c r="AD48" s="196" t="n">
        <v>2</v>
      </c>
      <c r="AE48" s="196" t="n">
        <v>3</v>
      </c>
      <c r="AF48" s="196" t="n">
        <v>3</v>
      </c>
      <c r="AG48" s="196" t="n">
        <v>33</v>
      </c>
      <c r="AH48" s="196" t="n">
        <v>22</v>
      </c>
      <c r="AI48" s="196" t="s">
        <v>781</v>
      </c>
      <c r="AJ48" s="196" t="s">
        <v>773</v>
      </c>
      <c r="AK48" s="196" t="s">
        <v>781</v>
      </c>
      <c r="AL48" s="196" t="s">
        <v>781</v>
      </c>
      <c r="AM48" s="196" t="n">
        <v>2</v>
      </c>
      <c r="AN48" s="196" t="s">
        <v>1122</v>
      </c>
      <c r="AO48" s="196" t="n">
        <v>3</v>
      </c>
      <c r="AP48" s="196" t="n">
        <v>2</v>
      </c>
    </row>
    <row r="49" customFormat="false" ht="15" hidden="false" customHeight="true" outlineLevel="0" collapsed="false">
      <c r="A49" s="196" t="s">
        <v>588</v>
      </c>
      <c r="B49" s="196" t="s">
        <v>1294</v>
      </c>
      <c r="C49" s="196" t="s">
        <v>1295</v>
      </c>
      <c r="D49" s="196" t="s">
        <v>1296</v>
      </c>
      <c r="E49" s="196" t="s">
        <v>666</v>
      </c>
      <c r="F49" s="196" t="s">
        <v>1297</v>
      </c>
      <c r="G49" s="196" t="s">
        <v>1298</v>
      </c>
      <c r="H49" s="196" t="n">
        <v>0</v>
      </c>
      <c r="I49" s="196"/>
      <c r="J49" s="196" t="n">
        <v>0</v>
      </c>
      <c r="K49" s="196" t="s">
        <v>690</v>
      </c>
      <c r="L49" s="196" t="n">
        <v>2</v>
      </c>
      <c r="M49" s="196" t="n">
        <v>3</v>
      </c>
      <c r="N49" s="196" t="n">
        <v>2</v>
      </c>
      <c r="O49" s="196" t="n">
        <v>0</v>
      </c>
      <c r="P49" s="196" t="n">
        <v>2</v>
      </c>
      <c r="Q49" s="196" t="n">
        <v>2</v>
      </c>
      <c r="R49" s="196" t="n">
        <v>4</v>
      </c>
      <c r="S49" s="196" t="s">
        <v>716</v>
      </c>
      <c r="T49" s="196" t="s">
        <v>244</v>
      </c>
      <c r="U49" s="197" t="n">
        <v>7</v>
      </c>
      <c r="V49" s="196" t="s">
        <v>726</v>
      </c>
      <c r="W49" s="196" t="s">
        <v>1156</v>
      </c>
      <c r="X49" s="196" t="s">
        <v>233</v>
      </c>
      <c r="Y49" s="196" t="n">
        <v>2</v>
      </c>
      <c r="Z49" s="196" t="s">
        <v>1226</v>
      </c>
      <c r="AA49" s="196" t="s">
        <v>1121</v>
      </c>
      <c r="AB49" s="196" t="n">
        <v>2</v>
      </c>
      <c r="AC49" s="196" t="n">
        <v>2</v>
      </c>
      <c r="AD49" s="196" t="n">
        <v>3</v>
      </c>
      <c r="AE49" s="196" t="n">
        <v>3</v>
      </c>
      <c r="AF49" s="196" t="n">
        <v>3</v>
      </c>
      <c r="AG49" s="196" t="n">
        <v>19</v>
      </c>
      <c r="AH49" s="196" t="n">
        <v>31</v>
      </c>
      <c r="AI49" s="196" t="s">
        <v>781</v>
      </c>
      <c r="AJ49" s="196" t="s">
        <v>773</v>
      </c>
      <c r="AK49" s="196" t="s">
        <v>781</v>
      </c>
      <c r="AL49" s="196" t="s">
        <v>781</v>
      </c>
      <c r="AM49" s="196" t="n">
        <v>1</v>
      </c>
      <c r="AN49" s="196" t="s">
        <v>1122</v>
      </c>
      <c r="AO49" s="196" t="n">
        <v>2</v>
      </c>
      <c r="AP49" s="196" t="n">
        <v>3</v>
      </c>
    </row>
    <row r="50" customFormat="false" ht="15" hidden="false" customHeight="true" outlineLevel="0" collapsed="false">
      <c r="A50" s="196" t="s">
        <v>591</v>
      </c>
      <c r="B50" s="196" t="s">
        <v>1299</v>
      </c>
      <c r="C50" s="196" t="s">
        <v>1262</v>
      </c>
      <c r="D50" s="196" t="s">
        <v>1300</v>
      </c>
      <c r="E50" s="196" t="s">
        <v>1185</v>
      </c>
      <c r="F50" s="196" t="s">
        <v>1301</v>
      </c>
      <c r="G50" s="196" t="s">
        <v>1302</v>
      </c>
      <c r="H50" s="196" t="n">
        <v>0</v>
      </c>
      <c r="I50" s="196"/>
      <c r="J50" s="196" t="n">
        <v>0</v>
      </c>
      <c r="K50" s="196" t="s">
        <v>690</v>
      </c>
      <c r="L50" s="196" t="n">
        <v>2</v>
      </c>
      <c r="M50" s="196" t="n">
        <v>2</v>
      </c>
      <c r="N50" s="196" t="n">
        <v>2</v>
      </c>
      <c r="O50" s="196" t="n">
        <v>2</v>
      </c>
      <c r="P50" s="196" t="n">
        <v>0</v>
      </c>
      <c r="Q50" s="196" t="n">
        <v>2</v>
      </c>
      <c r="R50" s="196" t="n">
        <v>3</v>
      </c>
      <c r="S50" s="196" t="s">
        <v>716</v>
      </c>
      <c r="T50" s="196" t="s">
        <v>233</v>
      </c>
      <c r="U50" s="197" t="n">
        <v>6</v>
      </c>
      <c r="V50" s="196" t="s">
        <v>726</v>
      </c>
      <c r="W50" s="196" t="s">
        <v>1156</v>
      </c>
      <c r="X50" s="196" t="s">
        <v>233</v>
      </c>
      <c r="Y50" s="196" t="n">
        <v>2</v>
      </c>
      <c r="Z50" s="196" t="s">
        <v>739</v>
      </c>
      <c r="AA50" s="196" t="s">
        <v>743</v>
      </c>
      <c r="AB50" s="196" t="n">
        <v>2</v>
      </c>
      <c r="AC50" s="196" t="n">
        <v>2</v>
      </c>
      <c r="AD50" s="196" t="n">
        <v>2</v>
      </c>
      <c r="AE50" s="196" t="n">
        <v>3</v>
      </c>
      <c r="AF50" s="196" t="n">
        <v>2</v>
      </c>
      <c r="AG50" s="196" t="n">
        <v>14</v>
      </c>
      <c r="AH50" s="196" t="n">
        <v>11</v>
      </c>
      <c r="AI50" s="196" t="s">
        <v>781</v>
      </c>
      <c r="AJ50" s="196" t="s">
        <v>773</v>
      </c>
      <c r="AK50" s="196" t="s">
        <v>781</v>
      </c>
      <c r="AL50" s="196" t="s">
        <v>781</v>
      </c>
      <c r="AM50" s="196" t="n">
        <v>2</v>
      </c>
      <c r="AN50" s="196" t="s">
        <v>788</v>
      </c>
      <c r="AO50" s="196" t="n">
        <v>3</v>
      </c>
      <c r="AP50" s="196" t="n">
        <v>2</v>
      </c>
    </row>
    <row r="51" customFormat="false" ht="15" hidden="false" customHeight="true" outlineLevel="0" collapsed="false">
      <c r="A51" s="196" t="s">
        <v>594</v>
      </c>
      <c r="B51" s="196" t="s">
        <v>1303</v>
      </c>
      <c r="C51" s="196" t="s">
        <v>1304</v>
      </c>
      <c r="D51" s="196" t="s">
        <v>1305</v>
      </c>
      <c r="E51" s="196" t="s">
        <v>666</v>
      </c>
      <c r="F51" s="196" t="s">
        <v>1306</v>
      </c>
      <c r="G51" s="196" t="s">
        <v>1307</v>
      </c>
      <c r="H51" s="196" t="n">
        <v>0</v>
      </c>
      <c r="I51" s="196"/>
      <c r="J51" s="196" t="n">
        <v>0</v>
      </c>
      <c r="K51" s="196" t="s">
        <v>690</v>
      </c>
      <c r="L51" s="196" t="n">
        <v>3</v>
      </c>
      <c r="M51" s="196" t="n">
        <v>2</v>
      </c>
      <c r="N51" s="196" t="n">
        <v>3</v>
      </c>
      <c r="O51" s="196" t="n">
        <v>0</v>
      </c>
      <c r="P51" s="196" t="n">
        <v>2</v>
      </c>
      <c r="Q51" s="196" t="n">
        <v>1</v>
      </c>
      <c r="R51" s="196" t="n">
        <v>3</v>
      </c>
      <c r="S51" s="196" t="s">
        <v>716</v>
      </c>
      <c r="T51" s="196" t="s">
        <v>244</v>
      </c>
      <c r="U51" s="197" t="n">
        <v>8</v>
      </c>
      <c r="V51" s="196" t="s">
        <v>726</v>
      </c>
      <c r="W51" s="196" t="s">
        <v>1165</v>
      </c>
      <c r="X51" s="196" t="s">
        <v>233</v>
      </c>
      <c r="Y51" s="196" t="n">
        <v>3</v>
      </c>
      <c r="Z51" s="196"/>
      <c r="AA51" s="196" t="s">
        <v>1121</v>
      </c>
      <c r="AB51" s="196" t="n">
        <v>2</v>
      </c>
      <c r="AC51" s="196" t="n">
        <v>3</v>
      </c>
      <c r="AD51" s="196" t="n">
        <v>3</v>
      </c>
      <c r="AE51" s="196" t="n">
        <v>3</v>
      </c>
      <c r="AF51" s="196" t="n">
        <v>3</v>
      </c>
      <c r="AG51" s="196" t="n">
        <v>22</v>
      </c>
      <c r="AH51" s="196" t="n">
        <v>44</v>
      </c>
      <c r="AI51" s="196" t="s">
        <v>781</v>
      </c>
      <c r="AJ51" s="196" t="s">
        <v>773</v>
      </c>
      <c r="AK51" s="196" t="s">
        <v>781</v>
      </c>
      <c r="AL51" s="196" t="s">
        <v>781</v>
      </c>
      <c r="AM51" s="196" t="n">
        <v>1</v>
      </c>
      <c r="AN51" s="196" t="s">
        <v>1122</v>
      </c>
      <c r="AO51" s="196" t="n">
        <v>2</v>
      </c>
      <c r="AP51" s="196" t="n">
        <v>3</v>
      </c>
    </row>
    <row r="52" customFormat="false" ht="15" hidden="false" customHeight="true" outlineLevel="0" collapsed="false">
      <c r="A52" s="196" t="s">
        <v>597</v>
      </c>
      <c r="B52" s="196" t="s">
        <v>1308</v>
      </c>
      <c r="C52" s="196" t="s">
        <v>658</v>
      </c>
      <c r="D52" s="196" t="s">
        <v>1309</v>
      </c>
      <c r="E52" s="196" t="s">
        <v>1115</v>
      </c>
      <c r="F52" s="196" t="s">
        <v>1108</v>
      </c>
      <c r="G52" s="196" t="s">
        <v>1310</v>
      </c>
      <c r="H52" s="196" t="n">
        <v>2</v>
      </c>
      <c r="I52" s="196" t="s">
        <v>1311</v>
      </c>
      <c r="J52" s="196" t="n">
        <v>3</v>
      </c>
      <c r="K52" s="196" t="s">
        <v>690</v>
      </c>
      <c r="L52" s="196" t="n">
        <v>2</v>
      </c>
      <c r="M52" s="196" t="n">
        <v>2</v>
      </c>
      <c r="N52" s="196" t="n">
        <v>2</v>
      </c>
      <c r="O52" s="196" t="n">
        <v>3</v>
      </c>
      <c r="P52" s="196" t="n">
        <v>2</v>
      </c>
      <c r="Q52" s="196" t="n">
        <v>3</v>
      </c>
      <c r="R52" s="196" t="n">
        <v>5</v>
      </c>
      <c r="S52" s="196" t="s">
        <v>716</v>
      </c>
      <c r="T52" s="196" t="s">
        <v>233</v>
      </c>
      <c r="U52" s="197" t="n">
        <v>7</v>
      </c>
      <c r="V52" s="196" t="s">
        <v>726</v>
      </c>
      <c r="W52" s="196" t="s">
        <v>1110</v>
      </c>
      <c r="X52" s="196" t="s">
        <v>244</v>
      </c>
      <c r="Y52" s="196" t="n">
        <v>3</v>
      </c>
      <c r="Z52" s="196"/>
      <c r="AA52" s="196" t="s">
        <v>743</v>
      </c>
      <c r="AB52" s="196" t="n">
        <v>1</v>
      </c>
      <c r="AC52" s="196" t="n">
        <v>2</v>
      </c>
      <c r="AD52" s="196" t="n">
        <v>2</v>
      </c>
      <c r="AE52" s="196" t="n">
        <v>3</v>
      </c>
      <c r="AF52" s="196" t="n">
        <v>2</v>
      </c>
      <c r="AG52" s="196" t="n">
        <v>13</v>
      </c>
      <c r="AH52" s="196" t="n">
        <v>17</v>
      </c>
      <c r="AI52" s="196" t="s">
        <v>781</v>
      </c>
      <c r="AJ52" s="196" t="s">
        <v>773</v>
      </c>
      <c r="AK52" s="196" t="s">
        <v>1111</v>
      </c>
      <c r="AL52" s="196" t="s">
        <v>781</v>
      </c>
      <c r="AM52" s="196" t="n">
        <v>3</v>
      </c>
      <c r="AN52" s="196" t="s">
        <v>788</v>
      </c>
      <c r="AO52" s="196" t="n">
        <v>2</v>
      </c>
      <c r="AP52" s="196" t="n">
        <v>2</v>
      </c>
    </row>
    <row r="53" customFormat="false" ht="15" hidden="false" customHeight="true" outlineLevel="0" collapsed="false">
      <c r="A53" s="196" t="s">
        <v>600</v>
      </c>
      <c r="B53" s="196" t="s">
        <v>1312</v>
      </c>
      <c r="C53" s="196" t="s">
        <v>1313</v>
      </c>
      <c r="D53" s="196" t="s">
        <v>1314</v>
      </c>
      <c r="E53" s="196" t="s">
        <v>666</v>
      </c>
      <c r="F53" s="196" t="s">
        <v>1315</v>
      </c>
      <c r="G53" s="196" t="s">
        <v>1316</v>
      </c>
      <c r="H53" s="196" t="n">
        <v>0</v>
      </c>
      <c r="I53" s="196"/>
      <c r="J53" s="196" t="n">
        <v>1</v>
      </c>
      <c r="K53" s="196" t="s">
        <v>1134</v>
      </c>
      <c r="L53" s="196" t="n">
        <v>2</v>
      </c>
      <c r="M53" s="196" t="n">
        <v>2</v>
      </c>
      <c r="N53" s="196" t="n">
        <v>2</v>
      </c>
      <c r="O53" s="196" t="n">
        <v>3</v>
      </c>
      <c r="P53" s="196" t="n">
        <v>1</v>
      </c>
      <c r="Q53" s="196" t="n">
        <v>3</v>
      </c>
      <c r="R53" s="196" t="n">
        <v>4</v>
      </c>
      <c r="S53" s="196" t="s">
        <v>716</v>
      </c>
      <c r="T53" s="196" t="s">
        <v>233</v>
      </c>
      <c r="U53" s="197" t="n">
        <v>6</v>
      </c>
      <c r="V53" s="196" t="s">
        <v>726</v>
      </c>
      <c r="W53" s="196" t="s">
        <v>1120</v>
      </c>
      <c r="X53" s="196" t="s">
        <v>244</v>
      </c>
      <c r="Y53" s="196" t="n">
        <v>2</v>
      </c>
      <c r="Z53" s="196"/>
      <c r="AA53" s="196" t="s">
        <v>743</v>
      </c>
      <c r="AB53" s="196" t="n">
        <v>3</v>
      </c>
      <c r="AC53" s="196" t="n">
        <v>2</v>
      </c>
      <c r="AD53" s="196" t="n">
        <v>2</v>
      </c>
      <c r="AE53" s="196" t="n">
        <v>3</v>
      </c>
      <c r="AF53" s="196" t="n">
        <v>2</v>
      </c>
      <c r="AG53" s="196" t="n">
        <v>16</v>
      </c>
      <c r="AH53" s="196" t="n">
        <v>12</v>
      </c>
      <c r="AI53" s="196" t="s">
        <v>769</v>
      </c>
      <c r="AJ53" s="196" t="s">
        <v>773</v>
      </c>
      <c r="AK53" s="196" t="s">
        <v>777</v>
      </c>
      <c r="AL53" s="196" t="s">
        <v>781</v>
      </c>
      <c r="AM53" s="196" t="n">
        <v>3</v>
      </c>
      <c r="AN53" s="196" t="s">
        <v>788</v>
      </c>
      <c r="AO53" s="196" t="n">
        <v>2</v>
      </c>
      <c r="AP53" s="196" t="n">
        <v>2</v>
      </c>
    </row>
    <row r="54" customFormat="false" ht="15" hidden="false" customHeight="true" outlineLevel="0" collapsed="false">
      <c r="A54" s="196" t="s">
        <v>603</v>
      </c>
      <c r="B54" s="196" t="s">
        <v>1317</v>
      </c>
      <c r="C54" s="196" t="s">
        <v>1318</v>
      </c>
      <c r="D54" s="196" t="s">
        <v>1319</v>
      </c>
      <c r="E54" s="196" t="s">
        <v>1185</v>
      </c>
      <c r="F54" s="196" t="s">
        <v>1320</v>
      </c>
      <c r="G54" s="196" t="s">
        <v>1321</v>
      </c>
      <c r="H54" s="196" t="n">
        <v>0</v>
      </c>
      <c r="I54" s="196"/>
      <c r="J54" s="196" t="n">
        <v>1</v>
      </c>
      <c r="K54" s="196" t="s">
        <v>690</v>
      </c>
      <c r="L54" s="196" t="n">
        <v>2</v>
      </c>
      <c r="M54" s="196" t="n">
        <v>2</v>
      </c>
      <c r="N54" s="196" t="n">
        <v>1</v>
      </c>
      <c r="O54" s="196" t="n">
        <v>1</v>
      </c>
      <c r="P54" s="196" t="n">
        <v>0</v>
      </c>
      <c r="Q54" s="196" t="n">
        <v>2</v>
      </c>
      <c r="R54" s="196" t="n">
        <v>3</v>
      </c>
      <c r="S54" s="196" t="s">
        <v>716</v>
      </c>
      <c r="T54" s="196" t="s">
        <v>233</v>
      </c>
      <c r="U54" s="197" t="n">
        <v>7</v>
      </c>
      <c r="V54" s="196" t="s">
        <v>726</v>
      </c>
      <c r="W54" s="196" t="s">
        <v>1156</v>
      </c>
      <c r="X54" s="196" t="s">
        <v>233</v>
      </c>
      <c r="Y54" s="196" t="n">
        <v>1</v>
      </c>
      <c r="Z54" s="196"/>
      <c r="AA54" s="196" t="s">
        <v>743</v>
      </c>
      <c r="AB54" s="196" t="n">
        <v>2</v>
      </c>
      <c r="AC54" s="196" t="n">
        <v>1</v>
      </c>
      <c r="AD54" s="196" t="n">
        <v>1</v>
      </c>
      <c r="AE54" s="196" t="n">
        <v>3</v>
      </c>
      <c r="AF54" s="196" t="n">
        <v>1</v>
      </c>
      <c r="AG54" s="196" t="n">
        <v>6</v>
      </c>
      <c r="AH54" s="196" t="n">
        <v>9</v>
      </c>
      <c r="AI54" s="196" t="s">
        <v>781</v>
      </c>
      <c r="AJ54" s="196" t="s">
        <v>773</v>
      </c>
      <c r="AK54" s="196" t="s">
        <v>781</v>
      </c>
      <c r="AL54" s="196" t="s">
        <v>781</v>
      </c>
      <c r="AM54" s="196" t="n">
        <v>2</v>
      </c>
      <c r="AN54" s="196" t="s">
        <v>1122</v>
      </c>
      <c r="AO54" s="196" t="n">
        <v>3</v>
      </c>
      <c r="AP54" s="196" t="n">
        <v>1</v>
      </c>
    </row>
    <row r="55" customFormat="false" ht="15" hidden="false" customHeight="true" outlineLevel="0" collapsed="false">
      <c r="A55" s="196" t="s">
        <v>607</v>
      </c>
      <c r="B55" s="196" t="s">
        <v>1322</v>
      </c>
      <c r="C55" s="196" t="s">
        <v>1138</v>
      </c>
      <c r="D55" s="196" t="s">
        <v>1323</v>
      </c>
      <c r="E55" s="196" t="s">
        <v>666</v>
      </c>
      <c r="F55" s="196" t="s">
        <v>1324</v>
      </c>
      <c r="G55" s="196" t="s">
        <v>1325</v>
      </c>
      <c r="H55" s="196" t="n">
        <v>1</v>
      </c>
      <c r="I55" s="196" t="s">
        <v>681</v>
      </c>
      <c r="J55" s="196" t="n">
        <v>2</v>
      </c>
      <c r="K55" s="196" t="s">
        <v>1109</v>
      </c>
      <c r="L55" s="196" t="n">
        <v>2</v>
      </c>
      <c r="M55" s="196" t="n">
        <v>2</v>
      </c>
      <c r="N55" s="196" t="n">
        <v>2</v>
      </c>
      <c r="O55" s="196" t="n">
        <v>2</v>
      </c>
      <c r="P55" s="196" t="n">
        <v>2</v>
      </c>
      <c r="Q55" s="196" t="n">
        <v>3</v>
      </c>
      <c r="R55" s="196" t="n">
        <v>4</v>
      </c>
      <c r="S55" s="196" t="s">
        <v>716</v>
      </c>
      <c r="T55" s="196" t="s">
        <v>233</v>
      </c>
      <c r="U55" s="197" t="n">
        <v>8</v>
      </c>
      <c r="V55" s="196" t="s">
        <v>726</v>
      </c>
      <c r="W55" s="196" t="s">
        <v>731</v>
      </c>
      <c r="X55" s="196" t="s">
        <v>244</v>
      </c>
      <c r="Y55" s="196" t="n">
        <v>3</v>
      </c>
      <c r="Z55" s="196"/>
      <c r="AA55" s="196" t="s">
        <v>743</v>
      </c>
      <c r="AB55" s="196" t="n">
        <v>1</v>
      </c>
      <c r="AC55" s="196" t="n">
        <v>2</v>
      </c>
      <c r="AD55" s="196" t="n">
        <v>2</v>
      </c>
      <c r="AE55" s="196" t="n">
        <v>3</v>
      </c>
      <c r="AF55" s="196" t="n">
        <v>2</v>
      </c>
      <c r="AG55" s="196" t="n">
        <v>15</v>
      </c>
      <c r="AH55" s="196" t="n">
        <v>19</v>
      </c>
      <c r="AI55" s="196" t="s">
        <v>781</v>
      </c>
      <c r="AJ55" s="196" t="s">
        <v>773</v>
      </c>
      <c r="AK55" s="196" t="s">
        <v>1111</v>
      </c>
      <c r="AL55" s="196" t="s">
        <v>781</v>
      </c>
      <c r="AM55" s="196" t="n">
        <v>3</v>
      </c>
      <c r="AN55" s="196" t="s">
        <v>788</v>
      </c>
      <c r="AO55" s="196" t="n">
        <v>2</v>
      </c>
      <c r="AP55" s="196" t="n">
        <v>2</v>
      </c>
    </row>
  </sheetData>
  <mergeCells count="13">
    <mergeCell ref="A1:B1"/>
    <mergeCell ref="C1:G1"/>
    <mergeCell ref="H1:J1"/>
    <mergeCell ref="K1:N1"/>
    <mergeCell ref="O1:Q1"/>
    <mergeCell ref="R1:V1"/>
    <mergeCell ref="W1:Y1"/>
    <mergeCell ref="Z1:AB1"/>
    <mergeCell ref="AC1:AL1"/>
    <mergeCell ref="AM1:AP1"/>
    <mergeCell ref="A23:AP23"/>
    <mergeCell ref="A34:AP34"/>
    <mergeCell ref="A45:AP45"/>
  </mergeCells>
  <dataValidations count="12">
    <dataValidation allowBlank="true" error="Enter an integer between 0 and 3" errorStyle="stop" operator="between" showDropDown="false" showErrorMessage="false" showInputMessage="false" sqref="H3:H22 J3:J22 L3:L22 N3:Q22 Y3:Y22 AB3:AF22 AM3:AM22 AO3:AP22" type="whole">
      <formula1>0</formula1>
      <formula2>3</formula2>
    </dataValidation>
    <dataValidation allowBlank="true" errorStyle="stop" operator="between" showDropDown="false" showErrorMessage="false" showInputMessage="false" sqref="E3:E22" type="list">
      <formula1>"Hardware,Firmware,OS,Middleware,App,Cloud,UI"</formula1>
      <formula2>0</formula2>
    </dataValidation>
    <dataValidation allowBlank="true" errorStyle="stop" operator="between" showDropDown="false" showErrorMessage="false" showInputMessage="false" sqref="K3:K22" type="list">
      <formula1>"Apparatus,Method,System,CRM,Design"</formula1>
      <formula2>0</formula2>
    </dataValidation>
    <dataValidation allowBlank="true" errorStyle="stop" operator="between" showDropDown="false" showErrorMessage="false" showInputMessage="false" sqref="S3:S22" type="list">
      <formula1>"Pending,Granted,Mixed"</formula1>
      <formula2>0</formula2>
    </dataValidation>
    <dataValidation allowBlank="true" errorStyle="stop" operator="between" showDropDown="false" showErrorMessage="false" showInputMessage="false" sqref="T3:T22 X3:X22" type="list">
      <formula1>"Yes,No"</formula1>
      <formula2>0</formula2>
    </dataValidation>
    <dataValidation allowBlank="true" errorStyle="stop" operator="between" showDropDown="false" showErrorMessage="false" showInputMessage="false" sqref="V3:V22" type="list">
      <formula1>"Active,Lapsed,At-risk"</formula1>
      <formula2>0</formula2>
    </dataValidation>
    <dataValidation allowBlank="true" errorStyle="stop" operator="between" showDropDown="false" showErrorMessage="false" showInputMessage="false" sqref="AA3:AA22" type="list">
      <formula1>"Legacy,Current,Next-gen"</formula1>
      <formula2>0</formula2>
    </dataValidation>
    <dataValidation allowBlank="true" errorStyle="stop" operator="between" showDropDown="false" showErrorMessage="false" showInputMessage="false" sqref="AI3:AI22" type="list">
      <formula1>"None,Survived,Pending,Lost-claims"</formula1>
      <formula2>0</formula2>
    </dataValidation>
    <dataValidation allowBlank="true" errorStyle="stop" operator="between" showDropDown="false" showErrorMessage="false" showInputMessage="false" sqref="AJ3:AJ22" type="list">
      <formula1>"Clean,Minor gaps,Encumbered"</formula1>
      <formula2>0</formula2>
    </dataValidation>
    <dataValidation allowBlank="true" errorStyle="stop" operator="between" showDropDown="false" showErrorMessage="false" showInputMessage="false" sqref="AK3:AK22" type="list">
      <formula1>"None,Partial,Full"</formula1>
      <formula2>0</formula2>
    </dataValidation>
    <dataValidation allowBlank="true" errorStyle="stop" operator="between" showDropDown="false" showErrorMessage="false" showInputMessage="false" sqref="AL3:AL22" type="list">
      <formula1>"None,Non-exclusive licensed,Exclusive licensed,Encumbered"</formula1>
      <formula2>0</formula2>
    </dataValidation>
    <dataValidation allowBlank="true" errorStyle="stop" operator="between" showDropDown="false" showErrorMessage="false" showInputMessage="false" sqref="AN3:AN22" type="list">
      <formula1>"Idea-only,Prototyped,Productized"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55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120" t="s">
        <v>156</v>
      </c>
      <c r="B1" s="120" t="s">
        <v>1326</v>
      </c>
      <c r="C1" s="120" t="s">
        <v>1327</v>
      </c>
      <c r="D1" s="120" t="s">
        <v>1328</v>
      </c>
      <c r="E1" s="120" t="s">
        <v>1329</v>
      </c>
    </row>
    <row r="2" customFormat="false" ht="23.25" hidden="false" customHeight="true" outlineLevel="0" collapsed="false">
      <c r="A2" s="198" t="n">
        <v>1</v>
      </c>
      <c r="B2" s="126" t="s">
        <v>131</v>
      </c>
      <c r="C2" s="126" t="s">
        <v>1330</v>
      </c>
      <c r="D2" s="126" t="s">
        <v>1331</v>
      </c>
      <c r="E2" s="126" t="s">
        <v>132</v>
      </c>
    </row>
    <row r="3" customFormat="false" ht="23.25" hidden="false" customHeight="true" outlineLevel="0" collapsed="false">
      <c r="A3" s="198" t="n">
        <v>2</v>
      </c>
      <c r="B3" s="126" t="s">
        <v>1332</v>
      </c>
      <c r="C3" s="126" t="s">
        <v>1333</v>
      </c>
      <c r="D3" s="126" t="s">
        <v>1334</v>
      </c>
      <c r="E3" s="126" t="s">
        <v>817</v>
      </c>
    </row>
    <row r="4" customFormat="false" ht="23.25" hidden="false" customHeight="true" outlineLevel="0" collapsed="false">
      <c r="A4" s="198" t="n">
        <v>3</v>
      </c>
      <c r="B4" s="126" t="s">
        <v>1335</v>
      </c>
      <c r="C4" s="126" t="s">
        <v>1336</v>
      </c>
      <c r="D4" s="126" t="s">
        <v>1337</v>
      </c>
      <c r="E4" s="126" t="s">
        <v>163</v>
      </c>
    </row>
    <row r="5" customFormat="false" ht="23.25" hidden="false" customHeight="true" outlineLevel="0" collapsed="false">
      <c r="A5" s="198" t="n">
        <v>4</v>
      </c>
      <c r="B5" s="126" t="s">
        <v>1338</v>
      </c>
      <c r="C5" s="126" t="s">
        <v>1339</v>
      </c>
      <c r="D5" s="126" t="s">
        <v>1340</v>
      </c>
      <c r="E5" s="126" t="s">
        <v>162</v>
      </c>
    </row>
    <row r="6" customFormat="false" ht="23.25" hidden="false" customHeight="true" outlineLevel="0" collapsed="false">
      <c r="A6" s="198" t="n">
        <v>5</v>
      </c>
      <c r="B6" s="126" t="s">
        <v>1341</v>
      </c>
      <c r="C6" s="126" t="s">
        <v>1342</v>
      </c>
      <c r="D6" s="126" t="s">
        <v>1343</v>
      </c>
      <c r="E6" s="126" t="s">
        <v>164</v>
      </c>
    </row>
    <row r="7" customFormat="false" ht="23.25" hidden="false" customHeight="true" outlineLevel="0" collapsed="false">
      <c r="A7" s="198" t="n">
        <v>6</v>
      </c>
      <c r="B7" s="126" t="s">
        <v>1344</v>
      </c>
      <c r="C7" s="126" t="s">
        <v>1345</v>
      </c>
      <c r="D7" s="126" t="s">
        <v>1346</v>
      </c>
      <c r="E7" s="126" t="s">
        <v>1347</v>
      </c>
    </row>
    <row r="8" customFormat="false" ht="23.25" hidden="false" customHeight="true" outlineLevel="0" collapsed="false">
      <c r="A8" s="198" t="n">
        <v>7</v>
      </c>
      <c r="B8" s="126" t="s">
        <v>1348</v>
      </c>
      <c r="C8" s="126" t="s">
        <v>1349</v>
      </c>
      <c r="D8" s="126" t="s">
        <v>1350</v>
      </c>
      <c r="E8" s="126" t="s">
        <v>1347</v>
      </c>
    </row>
    <row r="9" customFormat="false" ht="23.25" hidden="false" customHeight="true" outlineLevel="0" collapsed="false">
      <c r="A9" s="198" t="n">
        <v>8</v>
      </c>
      <c r="B9" s="126" t="s">
        <v>1351</v>
      </c>
      <c r="C9" s="126" t="s">
        <v>1352</v>
      </c>
      <c r="D9" s="126" t="s">
        <v>1353</v>
      </c>
      <c r="E9" s="126" t="s">
        <v>1354</v>
      </c>
    </row>
    <row r="10" customFormat="false" ht="23.25" hidden="false" customHeight="true" outlineLevel="0" collapsed="false">
      <c r="A10" s="198" t="n">
        <v>9</v>
      </c>
      <c r="B10" s="126" t="s">
        <v>1355</v>
      </c>
      <c r="C10" s="126" t="s">
        <v>1356</v>
      </c>
      <c r="D10" s="126" t="s">
        <v>1357</v>
      </c>
      <c r="E10" s="126" t="s">
        <v>167</v>
      </c>
    </row>
    <row r="11" customFormat="false" ht="23.25" hidden="false" customHeight="true" outlineLevel="0" collapsed="false">
      <c r="A11" s="198" t="n">
        <v>10</v>
      </c>
      <c r="B11" s="126" t="s">
        <v>1358</v>
      </c>
      <c r="C11" s="126" t="s">
        <v>1359</v>
      </c>
      <c r="D11" s="126" t="s">
        <v>1360</v>
      </c>
      <c r="E11" s="126" t="s">
        <v>178</v>
      </c>
    </row>
    <row r="12" customFormat="false" ht="23.25" hidden="false" customHeight="true" outlineLevel="0" collapsed="false">
      <c r="A12" s="198" t="n">
        <v>11</v>
      </c>
      <c r="B12" s="126" t="s">
        <v>1361</v>
      </c>
      <c r="C12" s="126" t="s">
        <v>1362</v>
      </c>
      <c r="D12" s="126" t="s">
        <v>1363</v>
      </c>
      <c r="E12" s="126" t="s">
        <v>168</v>
      </c>
    </row>
    <row r="13" customFormat="false" ht="15" hidden="false" customHeight="true" outlineLevel="0" collapsed="false">
      <c r="A13" s="198" t="n">
        <v>12</v>
      </c>
      <c r="B13" s="126" t="s">
        <v>1364</v>
      </c>
      <c r="C13" s="126" t="s">
        <v>1365</v>
      </c>
      <c r="D13" s="126" t="s">
        <v>1366</v>
      </c>
      <c r="E13" s="126" t="s">
        <v>820</v>
      </c>
    </row>
    <row r="14" customFormat="false" ht="23.25" hidden="false" customHeight="true" outlineLevel="0" collapsed="false">
      <c r="A14" s="198" t="n">
        <v>13</v>
      </c>
      <c r="B14" s="126" t="s">
        <v>1367</v>
      </c>
      <c r="C14" s="126" t="s">
        <v>1368</v>
      </c>
      <c r="D14" s="126" t="s">
        <v>1369</v>
      </c>
      <c r="E14" s="126" t="s">
        <v>1370</v>
      </c>
    </row>
    <row r="15" customFormat="false" ht="23.25" hidden="false" customHeight="true" outlineLevel="0" collapsed="false">
      <c r="A15" s="198" t="n">
        <v>14</v>
      </c>
      <c r="B15" s="126" t="s">
        <v>1371</v>
      </c>
      <c r="C15" s="126" t="s">
        <v>1372</v>
      </c>
      <c r="D15" s="126" t="s">
        <v>1373</v>
      </c>
      <c r="E15" s="126" t="s">
        <v>113</v>
      </c>
    </row>
    <row r="16" customFormat="false" ht="15" hidden="false" customHeight="true" outlineLevel="0" collapsed="false">
      <c r="A16" s="198" t="n">
        <v>15</v>
      </c>
      <c r="B16" s="126" t="s">
        <v>1374</v>
      </c>
      <c r="C16" s="126" t="s">
        <v>1375</v>
      </c>
      <c r="D16" s="126" t="s">
        <v>1376</v>
      </c>
      <c r="E16" s="126" t="s">
        <v>93</v>
      </c>
    </row>
    <row r="17" customFormat="false" ht="23.25" hidden="false" customHeight="true" outlineLevel="0" collapsed="false">
      <c r="A17" s="198" t="n">
        <v>16</v>
      </c>
      <c r="B17" s="126" t="s">
        <v>1377</v>
      </c>
      <c r="C17" s="126" t="s">
        <v>1378</v>
      </c>
      <c r="D17" s="126" t="s">
        <v>1379</v>
      </c>
      <c r="E17" s="126" t="s">
        <v>1380</v>
      </c>
    </row>
    <row r="18" customFormat="false" ht="23.25" hidden="false" customHeight="true" outlineLevel="0" collapsed="false">
      <c r="A18" s="198" t="n">
        <v>17</v>
      </c>
      <c r="B18" s="126" t="s">
        <v>1381</v>
      </c>
      <c r="C18" s="126" t="s">
        <v>1382</v>
      </c>
      <c r="D18" s="126" t="s">
        <v>1383</v>
      </c>
      <c r="E18" s="126" t="s">
        <v>179</v>
      </c>
    </row>
    <row r="19" customFormat="false" ht="23.25" hidden="false" customHeight="true" outlineLevel="0" collapsed="false">
      <c r="A19" s="198" t="n">
        <v>18</v>
      </c>
      <c r="B19" s="126" t="s">
        <v>1384</v>
      </c>
      <c r="C19" s="126" t="s">
        <v>1385</v>
      </c>
      <c r="D19" s="126" t="s">
        <v>1386</v>
      </c>
      <c r="E19" s="126" t="s">
        <v>177</v>
      </c>
    </row>
    <row r="20" customFormat="false" ht="23.25" hidden="false" customHeight="true" outlineLevel="0" collapsed="false">
      <c r="A20" s="198" t="n">
        <v>19</v>
      </c>
      <c r="B20" s="126" t="s">
        <v>1387</v>
      </c>
      <c r="C20" s="126" t="s">
        <v>1388</v>
      </c>
      <c r="D20" s="126" t="s">
        <v>1389</v>
      </c>
      <c r="E20" s="126" t="s">
        <v>173</v>
      </c>
    </row>
    <row r="21" customFormat="false" ht="15" hidden="false" customHeight="true" outlineLevel="0" collapsed="false">
      <c r="A21" s="198" t="n">
        <v>20</v>
      </c>
      <c r="B21" s="126" t="s">
        <v>1390</v>
      </c>
      <c r="C21" s="126" t="s">
        <v>1391</v>
      </c>
      <c r="D21" s="126" t="s">
        <v>1392</v>
      </c>
      <c r="E21" s="126" t="s">
        <v>1393</v>
      </c>
    </row>
    <row r="22" customFormat="false" ht="23.25" hidden="false" customHeight="true" outlineLevel="0" collapsed="false">
      <c r="A22" s="198" t="n">
        <v>21</v>
      </c>
      <c r="B22" s="126" t="s">
        <v>1394</v>
      </c>
      <c r="C22" s="126" t="s">
        <v>1395</v>
      </c>
      <c r="D22" s="126" t="s">
        <v>1396</v>
      </c>
      <c r="E22" s="126" t="s">
        <v>1397</v>
      </c>
    </row>
    <row r="23" customFormat="false" ht="34.5" hidden="false" customHeight="true" outlineLevel="0" collapsed="false">
      <c r="A23" s="198" t="n">
        <v>22</v>
      </c>
      <c r="B23" s="126" t="s">
        <v>1398</v>
      </c>
      <c r="C23" s="126" t="s">
        <v>1399</v>
      </c>
      <c r="D23" s="126" t="s">
        <v>1400</v>
      </c>
      <c r="E23" s="126" t="s">
        <v>1401</v>
      </c>
    </row>
    <row r="24" customFormat="false" ht="34.5" hidden="false" customHeight="true" outlineLevel="0" collapsed="false">
      <c r="A24" s="198" t="n">
        <v>23</v>
      </c>
      <c r="B24" s="126" t="s">
        <v>1402</v>
      </c>
      <c r="C24" s="126" t="s">
        <v>1403</v>
      </c>
      <c r="D24" s="126" t="s">
        <v>1404</v>
      </c>
      <c r="E24" s="126" t="s">
        <v>1405</v>
      </c>
    </row>
    <row r="25" customFormat="false" ht="34.5" hidden="false" customHeight="true" outlineLevel="0" collapsed="false">
      <c r="A25" s="198" t="n">
        <v>24</v>
      </c>
      <c r="B25" s="126" t="s">
        <v>1406</v>
      </c>
      <c r="C25" s="126" t="s">
        <v>1407</v>
      </c>
      <c r="D25" s="126" t="s">
        <v>1408</v>
      </c>
      <c r="E25" s="126" t="s">
        <v>1409</v>
      </c>
    </row>
    <row r="26" customFormat="false" ht="34.5" hidden="false" customHeight="true" outlineLevel="0" collapsed="false">
      <c r="A26" s="198" t="n">
        <v>25</v>
      </c>
      <c r="B26" s="126" t="s">
        <v>1410</v>
      </c>
      <c r="C26" s="126" t="s">
        <v>1411</v>
      </c>
      <c r="D26" s="126" t="s">
        <v>1412</v>
      </c>
      <c r="E26" s="126" t="s">
        <v>174</v>
      </c>
    </row>
    <row r="27" customFormat="false" ht="34.5" hidden="false" customHeight="true" outlineLevel="0" collapsed="false">
      <c r="A27" s="198" t="n">
        <v>26</v>
      </c>
      <c r="B27" s="126" t="s">
        <v>1413</v>
      </c>
      <c r="C27" s="126" t="s">
        <v>1414</v>
      </c>
      <c r="D27" s="126" t="s">
        <v>1415</v>
      </c>
      <c r="E27" s="126" t="s">
        <v>186</v>
      </c>
    </row>
    <row r="28" customFormat="false" ht="23.25" hidden="false" customHeight="true" outlineLevel="0" collapsed="false">
      <c r="A28" s="198" t="n">
        <v>27</v>
      </c>
      <c r="B28" s="126" t="s">
        <v>1416</v>
      </c>
      <c r="C28" s="126" t="s">
        <v>1417</v>
      </c>
      <c r="D28" s="126" t="s">
        <v>1418</v>
      </c>
      <c r="E28" s="126" t="s">
        <v>184</v>
      </c>
    </row>
    <row r="29" customFormat="false" ht="23.25" hidden="false" customHeight="true" outlineLevel="0" collapsed="false">
      <c r="A29" s="198" t="n">
        <v>28</v>
      </c>
      <c r="B29" s="126" t="s">
        <v>1419</v>
      </c>
      <c r="C29" s="126" t="s">
        <v>1420</v>
      </c>
      <c r="D29" s="126" t="s">
        <v>1421</v>
      </c>
      <c r="E29" s="126" t="s">
        <v>1422</v>
      </c>
    </row>
    <row r="30" customFormat="false" ht="34.5" hidden="false" customHeight="true" outlineLevel="0" collapsed="false">
      <c r="A30" s="198" t="n">
        <v>29</v>
      </c>
      <c r="B30" s="126" t="s">
        <v>1423</v>
      </c>
      <c r="C30" s="126" t="s">
        <v>1424</v>
      </c>
      <c r="D30" s="126" t="s">
        <v>1425</v>
      </c>
      <c r="E30" s="126" t="s">
        <v>121</v>
      </c>
    </row>
    <row r="31" customFormat="false" ht="34.5" hidden="false" customHeight="true" outlineLevel="0" collapsed="false">
      <c r="A31" s="198" t="n">
        <v>30</v>
      </c>
      <c r="B31" s="126" t="s">
        <v>1426</v>
      </c>
      <c r="C31" s="126" t="s">
        <v>1427</v>
      </c>
      <c r="D31" s="126" t="s">
        <v>1428</v>
      </c>
      <c r="E31" s="126" t="s">
        <v>1429</v>
      </c>
    </row>
    <row r="32" customFormat="false" ht="34.5" hidden="false" customHeight="true" outlineLevel="0" collapsed="false">
      <c r="A32" s="198" t="n">
        <v>31</v>
      </c>
      <c r="B32" s="126" t="s">
        <v>1430</v>
      </c>
      <c r="C32" s="126" t="s">
        <v>1431</v>
      </c>
      <c r="D32" s="126" t="s">
        <v>1432</v>
      </c>
      <c r="E32" s="126" t="s">
        <v>1433</v>
      </c>
    </row>
    <row r="33" customFormat="false" ht="34.5" hidden="false" customHeight="true" outlineLevel="0" collapsed="false">
      <c r="A33" s="198" t="n">
        <v>32</v>
      </c>
      <c r="B33" s="126" t="s">
        <v>1434</v>
      </c>
      <c r="C33" s="126" t="s">
        <v>1435</v>
      </c>
      <c r="D33" s="126" t="s">
        <v>1436</v>
      </c>
      <c r="E33" s="126" t="s">
        <v>93</v>
      </c>
    </row>
    <row r="34" customFormat="false" ht="34.5" hidden="false" customHeight="true" outlineLevel="0" collapsed="false">
      <c r="A34" s="198" t="n">
        <v>33</v>
      </c>
      <c r="B34" s="126" t="s">
        <v>1437</v>
      </c>
      <c r="C34" s="126" t="s">
        <v>1438</v>
      </c>
      <c r="D34" s="126" t="s">
        <v>1439</v>
      </c>
      <c r="E34" s="126" t="s">
        <v>1440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23" min="3" style="1" width="14"/>
    <col collapsed="false" customWidth="true" hidden="false" outlineLevel="0" max="35" min="24" style="1" width="16"/>
    <col collapsed="false" customWidth="true" hidden="false" outlineLevel="0" max="36" min="36" style="1" width="12"/>
  </cols>
  <sheetData>
    <row r="1" customFormat="false" ht="21.75" hidden="false" customHeight="true" outlineLevel="0" collapsed="false">
      <c r="A1" s="153" t="s">
        <v>1441</v>
      </c>
      <c r="B1" s="153"/>
      <c r="C1" s="178" t="s">
        <v>1442</v>
      </c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20" t="s">
        <v>1443</v>
      </c>
    </row>
    <row r="2" customFormat="false" ht="42" hidden="false" customHeight="true" outlineLevel="0" collapsed="false">
      <c r="A2" s="58" t="s">
        <v>72</v>
      </c>
      <c r="B2" s="58" t="s">
        <v>75</v>
      </c>
      <c r="C2" s="58" t="str">
        <f aca="false">IF(Configuration!$C$10="No","[DISABLED] B1 Tech Domain","B1 Tech Domain")</f>
        <v>B1 Tech Domain</v>
      </c>
      <c r="D2" s="58" t="str">
        <f aca="false">IF(Configuration!$C$11="No","[DISABLED] B2 SEP","B2 SEP")</f>
        <v>B2 SEP</v>
      </c>
      <c r="E2" s="58" t="str">
        <f aca="false">IF(Configuration!$C$12="No","[DISABLED] B3 Product Arch","B3 Product Arch")</f>
        <v>B3 Product Arch</v>
      </c>
      <c r="F2" s="58" t="str">
        <f aca="false">IF(Configuration!$C$13="No","[DISABLED] B4 Stack Layer","B4 Stack Layer")</f>
        <v>B4 Stack Layer</v>
      </c>
      <c r="G2" s="58" t="str">
        <f aca="false">IF(Configuration!$C$14="No","[DISABLED] B5 Use-Case","B5 Use-Case")</f>
        <v>B5 Use-Case</v>
      </c>
      <c r="H2" s="58" t="str">
        <f aca="false">IF(Configuration!$C$15="No","[DISABLED] B6 Mfg/Process","B6 Mfg/Process")</f>
        <v>B6 Mfg/Process</v>
      </c>
      <c r="I2" s="58" t="str">
        <f aca="false">IF(Configuration!$C$16="No","[DISABLED] B7 Materials","B7 Materials")</f>
        <v>B7 Materials</v>
      </c>
      <c r="J2" s="58" t="str">
        <f aca="false">IF(Configuration!$C$17="No","[DISABLED] B8 Algorithm","B8 Algorithm")</f>
        <v>B8 Algorithm</v>
      </c>
      <c r="K2" s="58" t="str">
        <f aca="false">IF(Configuration!$C$18="No","[DISABLED] B9 Interop","B9 Interop")</f>
        <v>B9 Interop</v>
      </c>
      <c r="L2" s="58" t="str">
        <f aca="false">IF(Configuration!$C$19="No","[DISABLED] B10 Generational","B10 Generational")</f>
        <v>B10 Generational</v>
      </c>
      <c r="M2" s="58" t="str">
        <f aca="false">IF(Configuration!$C$20="No","[DISABLED] B11 Claim-Type","B11 Claim-Type")</f>
        <v>B11 Claim-Type</v>
      </c>
      <c r="N2" s="58" t="str">
        <f aca="false">IF(Configuration!$C$21="No","[DISABLED] B12 Detectable","B12 Detectable")</f>
        <v>B12 Detectable</v>
      </c>
      <c r="O2" s="58" t="str">
        <f aca="false">IF(Configuration!$C$22="No","[DISABLED] B13 Geographic","B13 Geographic")</f>
        <v>B13 Geographic</v>
      </c>
      <c r="P2" s="58" t="str">
        <f aca="false">IF(Configuration!$C$23="No","[DISABLED] B14 Family","B14 Family")</f>
        <v>B14 Family</v>
      </c>
      <c r="Q2" s="58" t="str">
        <f aca="false">IF(Configuration!$C$24="No","[DISABLED] B15 Lifecycle","B15 Lifecycle")</f>
        <v>B15 Lifecycle</v>
      </c>
      <c r="R2" s="58" t="str">
        <f aca="false">IF(Configuration!$C$25="No","[DISABLED] B16 Foundational+Improv.","B16 Foundational+Improv.")</f>
        <v>B16 Foundational+Improv.</v>
      </c>
      <c r="S2" s="58" t="str">
        <f aca="false">IF(Configuration!$C$26="No","[DISABLED] B17 Cross-Industry","B17 Cross-Industry")</f>
        <v>B17 Cross-Industry</v>
      </c>
      <c r="T2" s="58" t="str">
        <f aca="false">IF(Configuration!$C$27="No","[DISABLED] B18 Convergent Theme","B18 Convergent Theme")</f>
        <v>B18 Convergent Theme</v>
      </c>
      <c r="U2" s="58" t="str">
        <f aca="false">IF(Configuration!$C$28="No","[DISABLED] B19 Defensive","B19 Defensive")</f>
        <v>B19 Defensive</v>
      </c>
      <c r="V2" s="58" t="str">
        <f aca="false">IF(Configuration!$C$29="No","[DISABLED] B20 Whitespace","B20 Whitespace")</f>
        <v>B20 Whitespace</v>
      </c>
      <c r="W2" s="58" t="str">
        <f aca="false">IF(Configuration!$C$30="No","[DISABLED] B21 Prosecution-Status","B21 Prosecution-Status")</f>
        <v>B21 Prosecution-Status</v>
      </c>
      <c r="X2" s="58" t="str">
        <f aca="false">IF(Configuration!$C$31="No","[DISABLED] B22 Anchor+Halo","B22 Anchor+Halo")</f>
        <v>B22 Anchor+Halo</v>
      </c>
      <c r="Y2" s="58" t="str">
        <f aca="false">IF(Configuration!$C$32="No","[DISABLED] B23 Picket-Fence","B23 Picket-Fence")</f>
        <v>B23 Picket-Fence</v>
      </c>
      <c r="Z2" s="58" t="str">
        <f aca="false">IF(Configuration!$C$33="No","[DISABLED] B24 Strong+Tail","B24 Strong+Tail")</f>
        <v>B24 Strong+Tail</v>
      </c>
      <c r="AA2" s="58" t="str">
        <f aca="false">IF(Configuration!$C$34="No","[DISABLED] B25 Continuation-Live","B25 Continuation-Live")</f>
        <v>B25 Continuation-Live</v>
      </c>
      <c r="AB2" s="58" t="str">
        <f aca="false">IF(Configuration!$C$35="No","[DISABLED] B26 EoU-Backed","B26 EoU-Backed")</f>
        <v>B26 EoU-Backed</v>
      </c>
      <c r="AC2" s="58" t="str">
        <f aca="false">IF(Configuration!$C$36="No","[DISABLED] B27 Battle-Tested","B27 Battle-Tested")</f>
        <v>B27 Battle-Tested</v>
      </c>
      <c r="AD2" s="58" t="str">
        <f aca="false">IF(Configuration!$C$37="No","[DISABLED] B28 Clean-Title","B28 Clean-Title")</f>
        <v>B28 Clean-Title</v>
      </c>
      <c r="AE2" s="58" t="str">
        <f aca="false">IF(Configuration!$C$38="No","[DISABLED] B29 High-Citation","B29 High-Citation")</f>
        <v>B29 High-Citation</v>
      </c>
      <c r="AF2" s="58" t="str">
        <f aca="false">IF(Configuration!$C$39="No","[DISABLED] B30 Adjacent Re-Read","B30 Adjacent Re-Read")</f>
        <v>B30 Adjacent Re-Read</v>
      </c>
      <c r="AG2" s="58" t="str">
        <f aca="false">IF(Configuration!$C$40="No","[DISABLED] B31 Salvage-Volume","B31 Salvage-Volume")</f>
        <v>B31 Salvage-Volume</v>
      </c>
      <c r="AH2" s="58" t="str">
        <f aca="false">IF(Configuration!$C$41="No","[DISABLED] B32 Pre-Expiry","B32 Pre-Expiry")</f>
        <v>B32 Pre-Expiry</v>
      </c>
      <c r="AI2" s="58" t="str">
        <f aca="false">IF(Configuration!$C$42="No","[DISABLED] B33 Provenance","B33 Provenance")</f>
        <v>B33 Provenance</v>
      </c>
      <c r="AJ2" s="58" t="s">
        <v>1444</v>
      </c>
    </row>
    <row r="3" customFormat="false" ht="15" hidden="false" customHeight="true" outlineLevel="0" collapsed="false">
      <c r="A3" s="65" t="str">
        <f aca="false">'Patent Portfolio'!A3</f>
        <v>P-001</v>
      </c>
      <c r="B3" s="199" t="str">
        <f aca="false">'Patent Portfolio'!B3</f>
        <v>Beamforming pilot signaling for 5G NR</v>
      </c>
      <c r="C3" s="200" t="b">
        <f aca="false">IF(Configuration!$C$10="No","",IFERROR(IF('Patent Portfolio'!C3&lt;&gt;"",TRUE(),FALSE()),FALSE()))</f>
        <v>1</v>
      </c>
      <c r="D3" s="200" t="b">
        <f aca="false">IF(Configuration!$C$11="No","",IFERROR(IF(AND(N('Patent Portfolio'!H3)&gt;=Configuration!$C$44,'Patent Portfolio'!I3&lt;&gt;""),TRUE(),FALSE()),FALSE()))</f>
        <v>1</v>
      </c>
      <c r="E3" s="200" t="b">
        <f aca="false">IF(Configuration!$C$12="No","",IFERROR(IF('Patent Portfolio'!F3&lt;&gt;"",TRUE(),FALSE()),FALSE()))</f>
        <v>1</v>
      </c>
      <c r="F3" s="200" t="b">
        <f aca="false">IF(Configuration!$C$13="No","",IFERROR(IF('Patent Portfolio'!E3&lt;&gt;"",TRUE(),FALSE()),FALSE()))</f>
        <v>1</v>
      </c>
      <c r="G3" s="200" t="b">
        <f aca="false">IF(Configuration!$C$14="No","",IFERROR(IF('Patent Portfolio'!G3&lt;&gt;"",TRUE(),FALSE()),FALSE()))</f>
        <v>1</v>
      </c>
      <c r="H3" s="200" t="b">
        <f aca="false">IF(Configuration!$C$15="No","",IFERROR(IF(AND(OR(ISNUMBER(SEARCH("process",'Patent Portfolio'!C3)),ISNUMBER(SEARCH("fab",'Patent Portfolio'!C3)),ISNUMBER(SEARCH("manufac",'Patent Portfolio'!C3))),'Patent Portfolio'!K3="Method"),TRUE(),FALSE()),FALSE()))</f>
        <v>0</v>
      </c>
      <c r="I3" s="200" t="b">
        <f aca="false">IF(Configuration!$C$16="No","",IFERROR(IF(AND(OR(ISNUMBER(SEARCH("material",'Patent Portfolio'!C3)),ISNUMBER(SEARCH("chem",'Patent Portfolio'!C3)),ISNUMBER(SEARCH("battery",'Patent Portfolio'!C3)),ISNUMBER(SEARCH("electrolyte",'Patent Portfolio'!C3)),ISNUMBER(SEARCH("polymer",'Patent Portfolio'!C3))),OR('Patent Portfolio'!K3="Apparatus",'Patent Portfolio'!K3="Method")),TRUE(),FALSE()),FALSE()))</f>
        <v>0</v>
      </c>
      <c r="J3" s="200" t="b">
        <f aca="false">IF(Configuration!$C$17="No","",IFERROR(IF(AND(OR('Patent Portfolio'!E3="App",'Patent Portfolio'!E3="Middleware",'Patent Portfolio'!E3="Cloud"),OR('Patent Portfolio'!K3="Method",'Patent Portfolio'!K3="CRM")),TRUE(),FALSE()),FALSE()))</f>
        <v>0</v>
      </c>
      <c r="K3" s="200" t="b">
        <f aca="false">IF(Configuration!$C$18="No","",IFERROR(IF(N('Patent Portfolio'!J3)&gt;=Configuration!$C$45,TRUE(),FALSE()),FALSE()))</f>
        <v>1</v>
      </c>
      <c r="L3" s="200" t="b">
        <f aca="false">IF(Configuration!$C$19="No","",IFERROR(IF('Patent Portfolio'!AA3&lt;&gt;"",TRUE(),FALSE()),FALSE()))</f>
        <v>1</v>
      </c>
      <c r="M3" s="200" t="b">
        <f aca="false">IF(Configuration!$C$20="No","",IFERROR(IF('Patent Portfolio'!K3&lt;&gt;"",TRUE(),FALSE()),FALSE()))</f>
        <v>1</v>
      </c>
      <c r="N3" s="200" t="b">
        <f aca="false">IF(Configuration!$C$21="No","",IFERROR(IF(OR(N('Patent Portfolio'!O3)&gt;=Configuration!$C$46,N('Patent Portfolio'!P3)&gt;=Configuration!$C$47),TRUE(),FALSE()),FALSE()))</f>
        <v>1</v>
      </c>
      <c r="O3" s="200" t="b">
        <f aca="false">IF(Configuration!$C$22="No","",IFERROR(IF('Patent Portfolio'!X3="Yes",TRUE(),FALSE()),FALSE()))</f>
        <v>1</v>
      </c>
      <c r="P3" s="200" t="b">
        <f aca="false">IF(Configuration!$C$23="No","",IFERROR(IF(N('Patent Portfolio'!R3)&gt;=Configuration!$C$48,TRUE(),FALSE()),FALSE()))</f>
        <v>1</v>
      </c>
      <c r="Q3" s="200" t="b">
        <f aca="false">IF(Configuration!$C$24="No","",IFERROR(IF(N('Patent Portfolio'!U3)&gt;0,TRUE(),FALSE()),FALSE()))</f>
        <v>1</v>
      </c>
      <c r="R3" s="200" t="b">
        <f aca="false">IF(Configuration!$C$25="No","",IFERROR(IF(OR(N('Patent Portfolio'!L3)=3,N('Patent Portfolio'!L3)&lt;=1),TRUE(),FALSE()),FALSE()))</f>
        <v>0</v>
      </c>
      <c r="S3" s="200" t="b">
        <f aca="false">IF(Configuration!$C$26="No","",IFERROR(IF(N('Patent Portfolio'!AB3)&gt;=Configuration!$C$49,TRUE(),FALSE()),FALSE()))</f>
        <v>0</v>
      </c>
      <c r="T3" s="200" t="b">
        <f aca="false">IF(Configuration!$C$27="No","",IFERROR(IF('Patent Portfolio'!Z3&lt;&gt;"",TRUE(),FALSE()),FALSE()))</f>
        <v>0</v>
      </c>
      <c r="U3" s="200" t="b">
        <f aca="false">IF(Configuration!$C$28="No","",IFERROR(IF(N('Patent Portfolio'!Q3)&gt;=Configuration!$C$50,TRUE(),FALSE()),FALSE()))</f>
        <v>1</v>
      </c>
      <c r="V3" s="200" t="b">
        <f aca="false">IF(Configuration!$C$29="No","",IFERROR(IF(AND(N('Patent Portfolio'!N3)&gt;=Configuration!$C$51,'Patent Portfolio'!C3&lt;&gt;""),TRUE(),FALSE()),FALSE()))</f>
        <v>1</v>
      </c>
      <c r="W3" s="200" t="b">
        <f aca="false">IF(Configuration!$C$30="No","",IFERROR(IF(OR('Patent Portfolio'!S3="Pending",'Patent Portfolio'!T3="Yes"),TRUE(),FALSE()),FALSE()))</f>
        <v>1</v>
      </c>
      <c r="X3" s="200" t="b">
        <f aca="false">IF(Configuration!$C$31="No","",IFERROR(IF(AND(N('Patent Portfolio'!AC3)&gt;=Configuration!$C$52,N('Patent Portfolio'!L3)&gt;=1),TRUE(),FALSE()),FALSE()))</f>
        <v>1</v>
      </c>
      <c r="Y3" s="200" t="b">
        <f aca="false">IF(Configuration!$C$32="No","",IFERROR(IF(AND(N('Patent Portfolio'!N3)&gt;=1,OR('Patent Portfolio'!C3&lt;&gt;"",'Patent Portfolio'!I3&lt;&gt;"")),TRUE(),FALSE()),FALSE()))</f>
        <v>1</v>
      </c>
      <c r="Z3" s="200" t="b">
        <f aca="false">IF(Configuration!$C$33="No","",IFERROR(IF('Patent Portfolio'!C3&lt;&gt;"",TRUE(),FALSE()),FALSE()))</f>
        <v>1</v>
      </c>
      <c r="AA3" s="200" t="b">
        <f aca="false">IF(Configuration!$C$34="No","",IFERROR(IF('Patent Portfolio'!T3="Yes",TRUE(),FALSE()),FALSE()))</f>
        <v>1</v>
      </c>
      <c r="AB3" s="200" t="b">
        <f aca="false">IF(Configuration!$C$35="No","",IFERROR(IF(OR('Patent Portfolio'!AK3="Partial",'Patent Portfolio'!AK3="Full"),TRUE(),FALSE()),FALSE()))</f>
        <v>1</v>
      </c>
      <c r="AC3" s="200" t="b">
        <f aca="false">IF(Configuration!$C$36="No","",IFERROR(IF('Patent Portfolio'!AI3="Survived",TRUE(),FALSE()),FALSE()))</f>
        <v>1</v>
      </c>
      <c r="AD3" s="200" t="b">
        <f aca="false">IF(Configuration!$C$37="No","",IFERROR(IF(AND('Patent Portfolio'!AJ3="Clean",'Patent Portfolio'!AL3="None"),TRUE(),FALSE()),FALSE()))</f>
        <v>1</v>
      </c>
      <c r="AE3" s="200" t="b">
        <f aca="false">IF(Configuration!$C$38="No","",IFERROR(IF(N('Patent Portfolio'!AG3)&gt;=Configuration!$C$53,TRUE(),FALSE()),FALSE()))</f>
        <v>1</v>
      </c>
      <c r="AF3" s="200" t="b">
        <f aca="false">IF(Configuration!$C$39="No","",IFERROR(IF(AND(N('Patent Portfolio'!AO3)&gt;=2,N('Patent Portfolio'!AB3)&gt;=2),TRUE(),FALSE()),FALSE()))</f>
        <v>0</v>
      </c>
      <c r="AG3" s="200" t="b">
        <f aca="false">IF(Configuration!$C$40="No","",IFERROR(IF(OR(N('Patent Portfolio'!AC3)&lt;=Configuration!$C$56,N('Patent Portfolio'!U3)&lt;Configuration!$C$57,N('Patent Portfolio'!AD3)&lt;=Configuration!$C$58),TRUE(),FALSE()),FALSE()))</f>
        <v>0</v>
      </c>
      <c r="AH3" s="200" t="b">
        <f aca="false">IF(Configuration!$C$41="No","",IFERROR(IF(AND(N('Patent Portfolio'!U3)&gt;=Configuration!$C$54,N('Patent Portfolio'!U3)&lt;=Configuration!$C$55),TRUE(),FALSE()),FALSE()))</f>
        <v>0</v>
      </c>
      <c r="AI3" s="200" t="b">
        <f aca="false">IF(Configuration!$C$42="No","",IFERROR(IF(AND('Patent Portfolio'!C3&lt;&gt;"",'Patent Portfolio'!F3&lt;&gt;""),TRUE(),FALSE()),FALSE()))</f>
        <v>1</v>
      </c>
      <c r="AJ3" s="198" t="n">
        <f aca="false">COUNTIF(C3:AI3,TRUE())</f>
        <v>24</v>
      </c>
    </row>
    <row r="4" customFormat="false" ht="15" hidden="false" customHeight="true" outlineLevel="0" collapsed="false">
      <c r="A4" s="65" t="str">
        <f aca="false">'Patent Portfolio'!A4</f>
        <v>P-002</v>
      </c>
      <c r="B4" s="199" t="str">
        <f aca="false">'Patent Portfolio'!B4</f>
        <v>Polar code decoder architecture</v>
      </c>
      <c r="C4" s="200" t="b">
        <f aca="false">IF(Configuration!$C$10="No","",IFERROR(IF('Patent Portfolio'!C4&lt;&gt;"",TRUE(),FALSE()),FALSE()))</f>
        <v>1</v>
      </c>
      <c r="D4" s="200" t="b">
        <f aca="false">IF(Configuration!$C$11="No","",IFERROR(IF(AND(N('Patent Portfolio'!H4)&gt;=Configuration!$C$44,'Patent Portfolio'!I4&lt;&gt;""),TRUE(),FALSE()),FALSE()))</f>
        <v>1</v>
      </c>
      <c r="E4" s="200" t="b">
        <f aca="false">IF(Configuration!$C$12="No","",IFERROR(IF('Patent Portfolio'!F4&lt;&gt;"",TRUE(),FALSE()),FALSE()))</f>
        <v>1</v>
      </c>
      <c r="F4" s="200" t="b">
        <f aca="false">IF(Configuration!$C$13="No","",IFERROR(IF('Patent Portfolio'!E4&lt;&gt;"",TRUE(),FALSE()),FALSE()))</f>
        <v>1</v>
      </c>
      <c r="G4" s="200" t="b">
        <f aca="false">IF(Configuration!$C$14="No","",IFERROR(IF('Patent Portfolio'!G4&lt;&gt;"",TRUE(),FALSE()),FALSE()))</f>
        <v>1</v>
      </c>
      <c r="H4" s="200" t="b">
        <f aca="false">IF(Configuration!$C$15="No","",IFERROR(IF(AND(OR(ISNUMBER(SEARCH("process",'Patent Portfolio'!C4)),ISNUMBER(SEARCH("fab",'Patent Portfolio'!C4)),ISNUMBER(SEARCH("manufac",'Patent Portfolio'!C4))),'Patent Portfolio'!K4="Method"),TRUE(),FALSE()),FALSE()))</f>
        <v>0</v>
      </c>
      <c r="I4" s="200" t="b">
        <f aca="false">IF(Configuration!$C$16="No","",IFERROR(IF(AND(OR(ISNUMBER(SEARCH("material",'Patent Portfolio'!C4)),ISNUMBER(SEARCH("chem",'Patent Portfolio'!C4)),ISNUMBER(SEARCH("battery",'Patent Portfolio'!C4)),ISNUMBER(SEARCH("electrolyte",'Patent Portfolio'!C4)),ISNUMBER(SEARCH("polymer",'Patent Portfolio'!C4))),OR('Patent Portfolio'!K4="Apparatus",'Patent Portfolio'!K4="Method")),TRUE(),FALSE()),FALSE()))</f>
        <v>0</v>
      </c>
      <c r="J4" s="200" t="b">
        <f aca="false">IF(Configuration!$C$17="No","",IFERROR(IF(AND(OR('Patent Portfolio'!E4="App",'Patent Portfolio'!E4="Middleware",'Patent Portfolio'!E4="Cloud"),OR('Patent Portfolio'!K4="Method",'Patent Portfolio'!K4="CRM")),TRUE(),FALSE()),FALSE()))</f>
        <v>0</v>
      </c>
      <c r="K4" s="200" t="b">
        <f aca="false">IF(Configuration!$C$18="No","",IFERROR(IF(N('Patent Portfolio'!J4)&gt;=Configuration!$C$45,TRUE(),FALSE()),FALSE()))</f>
        <v>1</v>
      </c>
      <c r="L4" s="200" t="b">
        <f aca="false">IF(Configuration!$C$19="No","",IFERROR(IF('Patent Portfolio'!AA4&lt;&gt;"",TRUE(),FALSE()),FALSE()))</f>
        <v>1</v>
      </c>
      <c r="M4" s="200" t="b">
        <f aca="false">IF(Configuration!$C$20="No","",IFERROR(IF('Patent Portfolio'!K4&lt;&gt;"",TRUE(),FALSE()),FALSE()))</f>
        <v>1</v>
      </c>
      <c r="N4" s="200" t="b">
        <f aca="false">IF(Configuration!$C$21="No","",IFERROR(IF(OR(N('Patent Portfolio'!O4)&gt;=Configuration!$C$46,N('Patent Portfolio'!P4)&gt;=Configuration!$C$47),TRUE(),FALSE()),FALSE()))</f>
        <v>1</v>
      </c>
      <c r="O4" s="200" t="b">
        <f aca="false">IF(Configuration!$C$22="No","",IFERROR(IF('Patent Portfolio'!X4="Yes",TRUE(),FALSE()),FALSE()))</f>
        <v>1</v>
      </c>
      <c r="P4" s="200" t="b">
        <f aca="false">IF(Configuration!$C$23="No","",IFERROR(IF(N('Patent Portfolio'!R4)&gt;=Configuration!$C$48,TRUE(),FALSE()),FALSE()))</f>
        <v>1</v>
      </c>
      <c r="Q4" s="200" t="b">
        <f aca="false">IF(Configuration!$C$24="No","",IFERROR(IF(N('Patent Portfolio'!U4)&gt;0,TRUE(),FALSE()),FALSE()))</f>
        <v>1</v>
      </c>
      <c r="R4" s="200" t="b">
        <f aca="false">IF(Configuration!$C$25="No","",IFERROR(IF(OR(N('Patent Portfolio'!L4)=3,N('Patent Portfolio'!L4)&lt;=1),TRUE(),FALSE()),FALSE()))</f>
        <v>0</v>
      </c>
      <c r="S4" s="200" t="b">
        <f aca="false">IF(Configuration!$C$26="No","",IFERROR(IF(N('Patent Portfolio'!AB4)&gt;=Configuration!$C$49,TRUE(),FALSE()),FALSE()))</f>
        <v>0</v>
      </c>
      <c r="T4" s="200" t="b">
        <f aca="false">IF(Configuration!$C$27="No","",IFERROR(IF('Patent Portfolio'!Z4&lt;&gt;"",TRUE(),FALSE()),FALSE()))</f>
        <v>0</v>
      </c>
      <c r="U4" s="200" t="b">
        <f aca="false">IF(Configuration!$C$28="No","",IFERROR(IF(N('Patent Portfolio'!Q4)&gt;=Configuration!$C$50,TRUE(),FALSE()),FALSE()))</f>
        <v>1</v>
      </c>
      <c r="V4" s="200" t="b">
        <f aca="false">IF(Configuration!$C$29="No","",IFERROR(IF(AND(N('Patent Portfolio'!N4)&gt;=Configuration!$C$51,'Patent Portfolio'!C4&lt;&gt;""),TRUE(),FALSE()),FALSE()))</f>
        <v>1</v>
      </c>
      <c r="W4" s="200" t="b">
        <f aca="false">IF(Configuration!$C$30="No","",IFERROR(IF(OR('Patent Portfolio'!S4="Pending",'Patent Portfolio'!T4="Yes"),TRUE(),FALSE()),FALSE()))</f>
        <v>0</v>
      </c>
      <c r="X4" s="200" t="b">
        <f aca="false">IF(Configuration!$C$31="No","",IFERROR(IF(AND(N('Patent Portfolio'!AC4)&gt;=Configuration!$C$52,N('Patent Portfolio'!L4)&gt;=1),TRUE(),FALSE()),FALSE()))</f>
        <v>1</v>
      </c>
      <c r="Y4" s="200" t="b">
        <f aca="false">IF(Configuration!$C$32="No","",IFERROR(IF(AND(N('Patent Portfolio'!N4)&gt;=1,OR('Patent Portfolio'!C4&lt;&gt;"",'Patent Portfolio'!I4&lt;&gt;"")),TRUE(),FALSE()),FALSE()))</f>
        <v>1</v>
      </c>
      <c r="Z4" s="200" t="b">
        <f aca="false">IF(Configuration!$C$33="No","",IFERROR(IF('Patent Portfolio'!C4&lt;&gt;"",TRUE(),FALSE()),FALSE()))</f>
        <v>1</v>
      </c>
      <c r="AA4" s="200" t="b">
        <f aca="false">IF(Configuration!$C$34="No","",IFERROR(IF('Patent Portfolio'!T4="Yes",TRUE(),FALSE()),FALSE()))</f>
        <v>0</v>
      </c>
      <c r="AB4" s="200" t="b">
        <f aca="false">IF(Configuration!$C$35="No","",IFERROR(IF(OR('Patent Portfolio'!AK4="Partial",'Patent Portfolio'!AK4="Full"),TRUE(),FALSE()),FALSE()))</f>
        <v>1</v>
      </c>
      <c r="AC4" s="200" t="b">
        <f aca="false">IF(Configuration!$C$36="No","",IFERROR(IF('Patent Portfolio'!AI4="Survived",TRUE(),FALSE()),FALSE()))</f>
        <v>0</v>
      </c>
      <c r="AD4" s="200" t="b">
        <f aca="false">IF(Configuration!$C$37="No","",IFERROR(IF(AND('Patent Portfolio'!AJ4="Clean",'Patent Portfolio'!AL4="None"),TRUE(),FALSE()),FALSE()))</f>
        <v>1</v>
      </c>
      <c r="AE4" s="200" t="b">
        <f aca="false">IF(Configuration!$C$38="No","",IFERROR(IF(N('Patent Portfolio'!AG4)&gt;=Configuration!$C$53,TRUE(),FALSE()),FALSE()))</f>
        <v>1</v>
      </c>
      <c r="AF4" s="200" t="b">
        <f aca="false">IF(Configuration!$C$39="No","",IFERROR(IF(AND(N('Patent Portfolio'!AO4)&gt;=2,N('Patent Portfolio'!AB4)&gt;=2),TRUE(),FALSE()),FALSE()))</f>
        <v>0</v>
      </c>
      <c r="AG4" s="200" t="b">
        <f aca="false">IF(Configuration!$C$40="No","",IFERROR(IF(OR(N('Patent Portfolio'!AC4)&lt;=Configuration!$C$56,N('Patent Portfolio'!U4)&lt;Configuration!$C$57,N('Patent Portfolio'!AD4)&lt;=Configuration!$C$58),TRUE(),FALSE()),FALSE()))</f>
        <v>0</v>
      </c>
      <c r="AH4" s="200" t="b">
        <f aca="false">IF(Configuration!$C$41="No","",IFERROR(IF(AND(N('Patent Portfolio'!U4)&gt;=Configuration!$C$54,N('Patent Portfolio'!U4)&lt;=Configuration!$C$55),TRUE(),FALSE()),FALSE()))</f>
        <v>0</v>
      </c>
      <c r="AI4" s="200" t="b">
        <f aca="false">IF(Configuration!$C$42="No","",IFERROR(IF(AND('Patent Portfolio'!C4&lt;&gt;"",'Patent Portfolio'!F4&lt;&gt;""),TRUE(),FALSE()),FALSE()))</f>
        <v>1</v>
      </c>
      <c r="AJ4" s="198" t="n">
        <f aca="false">COUNTIF(C4:AI4,TRUE())</f>
        <v>21</v>
      </c>
    </row>
    <row r="5" customFormat="false" ht="15" hidden="false" customHeight="true" outlineLevel="0" collapsed="false">
      <c r="A5" s="65" t="str">
        <f aca="false">'Patent Portfolio'!A5</f>
        <v>P-003</v>
      </c>
      <c r="B5" s="199" t="str">
        <f aca="false">'Patent Portfolio'!B5</f>
        <v>Adaptive Wi-Fi 7 channel sounding</v>
      </c>
      <c r="C5" s="200" t="b">
        <f aca="false">IF(Configuration!$C$10="No","",IFERROR(IF('Patent Portfolio'!C5&lt;&gt;"",TRUE(),FALSE()),FALSE()))</f>
        <v>1</v>
      </c>
      <c r="D5" s="200" t="b">
        <f aca="false">IF(Configuration!$C$11="No","",IFERROR(IF(AND(N('Patent Portfolio'!H5)&gt;=Configuration!$C$44,'Patent Portfolio'!I5&lt;&gt;""),TRUE(),FALSE()),FALSE()))</f>
        <v>1</v>
      </c>
      <c r="E5" s="200" t="b">
        <f aca="false">IF(Configuration!$C$12="No","",IFERROR(IF('Patent Portfolio'!F5&lt;&gt;"",TRUE(),FALSE()),FALSE()))</f>
        <v>1</v>
      </c>
      <c r="F5" s="200" t="b">
        <f aca="false">IF(Configuration!$C$13="No","",IFERROR(IF('Patent Portfolio'!E5&lt;&gt;"",TRUE(),FALSE()),FALSE()))</f>
        <v>1</v>
      </c>
      <c r="G5" s="200" t="b">
        <f aca="false">IF(Configuration!$C$14="No","",IFERROR(IF('Patent Portfolio'!G5&lt;&gt;"",TRUE(),FALSE()),FALSE()))</f>
        <v>1</v>
      </c>
      <c r="H5" s="200" t="b">
        <f aca="false">IF(Configuration!$C$15="No","",IFERROR(IF(AND(OR(ISNUMBER(SEARCH("process",'Patent Portfolio'!C5)),ISNUMBER(SEARCH("fab",'Patent Portfolio'!C5)),ISNUMBER(SEARCH("manufac",'Patent Portfolio'!C5))),'Patent Portfolio'!K5="Method"),TRUE(),FALSE()),FALSE()))</f>
        <v>0</v>
      </c>
      <c r="I5" s="200" t="b">
        <f aca="false">IF(Configuration!$C$16="No","",IFERROR(IF(AND(OR(ISNUMBER(SEARCH("material",'Patent Portfolio'!C5)),ISNUMBER(SEARCH("chem",'Patent Portfolio'!C5)),ISNUMBER(SEARCH("battery",'Patent Portfolio'!C5)),ISNUMBER(SEARCH("electrolyte",'Patent Portfolio'!C5)),ISNUMBER(SEARCH("polymer",'Patent Portfolio'!C5))),OR('Patent Portfolio'!K5="Apparatus",'Patent Portfolio'!K5="Method")),TRUE(),FALSE()),FALSE()))</f>
        <v>0</v>
      </c>
      <c r="J5" s="200" t="b">
        <f aca="false">IF(Configuration!$C$17="No","",IFERROR(IF(AND(OR('Patent Portfolio'!E5="App",'Patent Portfolio'!E5="Middleware",'Patent Portfolio'!E5="Cloud"),OR('Patent Portfolio'!K5="Method",'Patent Portfolio'!K5="CRM")),TRUE(),FALSE()),FALSE()))</f>
        <v>0</v>
      </c>
      <c r="K5" s="200" t="b">
        <f aca="false">IF(Configuration!$C$18="No","",IFERROR(IF(N('Patent Portfolio'!J5)&gt;=Configuration!$C$45,TRUE(),FALSE()),FALSE()))</f>
        <v>1</v>
      </c>
      <c r="L5" s="200" t="b">
        <f aca="false">IF(Configuration!$C$19="No","",IFERROR(IF('Patent Portfolio'!AA5&lt;&gt;"",TRUE(),FALSE()),FALSE()))</f>
        <v>1</v>
      </c>
      <c r="M5" s="200" t="b">
        <f aca="false">IF(Configuration!$C$20="No","",IFERROR(IF('Patent Portfolio'!K5&lt;&gt;"",TRUE(),FALSE()),FALSE()))</f>
        <v>1</v>
      </c>
      <c r="N5" s="200" t="b">
        <f aca="false">IF(Configuration!$C$21="No","",IFERROR(IF(OR(N('Patent Portfolio'!O5)&gt;=Configuration!$C$46,N('Patent Portfolio'!P5)&gt;=Configuration!$C$47),TRUE(),FALSE()),FALSE()))</f>
        <v>1</v>
      </c>
      <c r="O5" s="200" t="b">
        <f aca="false">IF(Configuration!$C$22="No","",IFERROR(IF('Patent Portfolio'!X5="Yes",TRUE(),FALSE()),FALSE()))</f>
        <v>1</v>
      </c>
      <c r="P5" s="200" t="b">
        <f aca="false">IF(Configuration!$C$23="No","",IFERROR(IF(N('Patent Portfolio'!R5)&gt;=Configuration!$C$48,TRUE(),FALSE()),FALSE()))</f>
        <v>1</v>
      </c>
      <c r="Q5" s="200" t="b">
        <f aca="false">IF(Configuration!$C$24="No","",IFERROR(IF(N('Patent Portfolio'!U5)&gt;0,TRUE(),FALSE()),FALSE()))</f>
        <v>1</v>
      </c>
      <c r="R5" s="200" t="b">
        <f aca="false">IF(Configuration!$C$25="No","",IFERROR(IF(OR(N('Patent Portfolio'!L5)=3,N('Patent Portfolio'!L5)&lt;=1),TRUE(),FALSE()),FALSE()))</f>
        <v>1</v>
      </c>
      <c r="S5" s="200" t="b">
        <f aca="false">IF(Configuration!$C$26="No","",IFERROR(IF(N('Patent Portfolio'!AB5)&gt;=Configuration!$C$49,TRUE(),FALSE()),FALSE()))</f>
        <v>1</v>
      </c>
      <c r="T5" s="200" t="b">
        <f aca="false">IF(Configuration!$C$27="No","",IFERROR(IF('Patent Portfolio'!Z5&lt;&gt;"",TRUE(),FALSE()),FALSE()))</f>
        <v>0</v>
      </c>
      <c r="U5" s="200" t="b">
        <f aca="false">IF(Configuration!$C$28="No","",IFERROR(IF(N('Patent Portfolio'!Q5)&gt;=Configuration!$C$50,TRUE(),FALSE()),FALSE()))</f>
        <v>1</v>
      </c>
      <c r="V5" s="200" t="b">
        <f aca="false">IF(Configuration!$C$29="No","",IFERROR(IF(AND(N('Patent Portfolio'!N5)&gt;=Configuration!$C$51,'Patent Portfolio'!C5&lt;&gt;""),TRUE(),FALSE()),FALSE()))</f>
        <v>1</v>
      </c>
      <c r="W5" s="200" t="b">
        <f aca="false">IF(Configuration!$C$30="No","",IFERROR(IF(OR('Patent Portfolio'!S5="Pending",'Patent Portfolio'!T5="Yes"),TRUE(),FALSE()),FALSE()))</f>
        <v>1</v>
      </c>
      <c r="X5" s="200" t="b">
        <f aca="false">IF(Configuration!$C$31="No","",IFERROR(IF(AND(N('Patent Portfolio'!AC5)&gt;=Configuration!$C$52,N('Patent Portfolio'!L5)&gt;=1),TRUE(),FALSE()),FALSE()))</f>
        <v>1</v>
      </c>
      <c r="Y5" s="200" t="b">
        <f aca="false">IF(Configuration!$C$32="No","",IFERROR(IF(AND(N('Patent Portfolio'!N5)&gt;=1,OR('Patent Portfolio'!C5&lt;&gt;"",'Patent Portfolio'!I5&lt;&gt;"")),TRUE(),FALSE()),FALSE()))</f>
        <v>1</v>
      </c>
      <c r="Z5" s="200" t="b">
        <f aca="false">IF(Configuration!$C$33="No","",IFERROR(IF('Patent Portfolio'!C5&lt;&gt;"",TRUE(),FALSE()),FALSE()))</f>
        <v>1</v>
      </c>
      <c r="AA5" s="200" t="b">
        <f aca="false">IF(Configuration!$C$34="No","",IFERROR(IF('Patent Portfolio'!T5="Yes",TRUE(),FALSE()),FALSE()))</f>
        <v>1</v>
      </c>
      <c r="AB5" s="200" t="b">
        <f aca="false">IF(Configuration!$C$35="No","",IFERROR(IF(OR('Patent Portfolio'!AK5="Partial",'Patent Portfolio'!AK5="Full"),TRUE(),FALSE()),FALSE()))</f>
        <v>0</v>
      </c>
      <c r="AC5" s="200" t="b">
        <f aca="false">IF(Configuration!$C$36="No","",IFERROR(IF('Patent Portfolio'!AI5="Survived",TRUE(),FALSE()),FALSE()))</f>
        <v>0</v>
      </c>
      <c r="AD5" s="200" t="b">
        <f aca="false">IF(Configuration!$C$37="No","",IFERROR(IF(AND('Patent Portfolio'!AJ5="Clean",'Patent Portfolio'!AL5="None"),TRUE(),FALSE()),FALSE()))</f>
        <v>1</v>
      </c>
      <c r="AE5" s="200" t="b">
        <f aca="false">IF(Configuration!$C$38="No","",IFERROR(IF(N('Patent Portfolio'!AG5)&gt;=Configuration!$C$53,TRUE(),FALSE()),FALSE()))</f>
        <v>0</v>
      </c>
      <c r="AF5" s="200" t="b">
        <f aca="false">IF(Configuration!$C$39="No","",IFERROR(IF(AND(N('Patent Portfolio'!AO5)&gt;=2,N('Patent Portfolio'!AB5)&gt;=2),TRUE(),FALSE()),FALSE()))</f>
        <v>1</v>
      </c>
      <c r="AG5" s="200" t="b">
        <f aca="false">IF(Configuration!$C$40="No","",IFERROR(IF(OR(N('Patent Portfolio'!AC5)&lt;=Configuration!$C$56,N('Patent Portfolio'!U5)&lt;Configuration!$C$57,N('Patent Portfolio'!AD5)&lt;=Configuration!$C$58),TRUE(),FALSE()),FALSE()))</f>
        <v>0</v>
      </c>
      <c r="AH5" s="200" t="b">
        <f aca="false">IF(Configuration!$C$41="No","",IFERROR(IF(AND(N('Patent Portfolio'!U5)&gt;=Configuration!$C$54,N('Patent Portfolio'!U5)&lt;=Configuration!$C$55),TRUE(),FALSE()),FALSE()))</f>
        <v>0</v>
      </c>
      <c r="AI5" s="200" t="b">
        <f aca="false">IF(Configuration!$C$42="No","",IFERROR(IF(AND('Patent Portfolio'!C5&lt;&gt;"",'Patent Portfolio'!F5&lt;&gt;""),TRUE(),FALSE()),FALSE()))</f>
        <v>1</v>
      </c>
      <c r="AJ5" s="198" t="n">
        <f aca="false">COUNTIF(C5:AI5,TRUE())</f>
        <v>24</v>
      </c>
    </row>
    <row r="6" customFormat="false" ht="23.25" hidden="false" customHeight="true" outlineLevel="0" collapsed="false">
      <c r="A6" s="65" t="str">
        <f aca="false">'Patent Portfolio'!A6</f>
        <v>P-004</v>
      </c>
      <c r="B6" s="199" t="str">
        <f aca="false">'Patent Portfolio'!B6</f>
        <v>Solid-state electrolyte composition for EV batteries</v>
      </c>
      <c r="C6" s="200" t="b">
        <f aca="false">IF(Configuration!$C$10="No","",IFERROR(IF('Patent Portfolio'!C6&lt;&gt;"",TRUE(),FALSE()),FALSE()))</f>
        <v>1</v>
      </c>
      <c r="D6" s="200" t="b">
        <f aca="false">IF(Configuration!$C$11="No","",IFERROR(IF(AND(N('Patent Portfolio'!H6)&gt;=Configuration!$C$44,'Patent Portfolio'!I6&lt;&gt;""),TRUE(),FALSE()),FALSE()))</f>
        <v>0</v>
      </c>
      <c r="E6" s="200" t="b">
        <f aca="false">IF(Configuration!$C$12="No","",IFERROR(IF('Patent Portfolio'!F6&lt;&gt;"",TRUE(),FALSE()),FALSE()))</f>
        <v>1</v>
      </c>
      <c r="F6" s="200" t="b">
        <f aca="false">IF(Configuration!$C$13="No","",IFERROR(IF('Patent Portfolio'!E6&lt;&gt;"",TRUE(),FALSE()),FALSE()))</f>
        <v>1</v>
      </c>
      <c r="G6" s="200" t="b">
        <f aca="false">IF(Configuration!$C$14="No","",IFERROR(IF('Patent Portfolio'!G6&lt;&gt;"",TRUE(),FALSE()),FALSE()))</f>
        <v>1</v>
      </c>
      <c r="H6" s="200" t="b">
        <f aca="false">IF(Configuration!$C$15="No","",IFERROR(IF(AND(OR(ISNUMBER(SEARCH("process",'Patent Portfolio'!C6)),ISNUMBER(SEARCH("fab",'Patent Portfolio'!C6)),ISNUMBER(SEARCH("manufac",'Patent Portfolio'!C6))),'Patent Portfolio'!K6="Method"),TRUE(),FALSE()),FALSE()))</f>
        <v>0</v>
      </c>
      <c r="I6" s="200" t="b">
        <f aca="false">IF(Configuration!$C$16="No","",IFERROR(IF(AND(OR(ISNUMBER(SEARCH("material",'Patent Portfolio'!C6)),ISNUMBER(SEARCH("chem",'Patent Portfolio'!C6)),ISNUMBER(SEARCH("battery",'Patent Portfolio'!C6)),ISNUMBER(SEARCH("electrolyte",'Patent Portfolio'!C6)),ISNUMBER(SEARCH("polymer",'Patent Portfolio'!C6))),OR('Patent Portfolio'!K6="Apparatus",'Patent Portfolio'!K6="Method")),TRUE(),FALSE()),FALSE()))</f>
        <v>1</v>
      </c>
      <c r="J6" s="200" t="b">
        <f aca="false">IF(Configuration!$C$17="No","",IFERROR(IF(AND(OR('Patent Portfolio'!E6="App",'Patent Portfolio'!E6="Middleware",'Patent Portfolio'!E6="Cloud"),OR('Patent Portfolio'!K6="Method",'Patent Portfolio'!K6="CRM")),TRUE(),FALSE()),FALSE()))</f>
        <v>0</v>
      </c>
      <c r="K6" s="200" t="b">
        <f aca="false">IF(Configuration!$C$18="No","",IFERROR(IF(N('Patent Portfolio'!J6)&gt;=Configuration!$C$45,TRUE(),FALSE()),FALSE()))</f>
        <v>0</v>
      </c>
      <c r="L6" s="200" t="b">
        <f aca="false">IF(Configuration!$C$19="No","",IFERROR(IF('Patent Portfolio'!AA6&lt;&gt;"",TRUE(),FALSE()),FALSE()))</f>
        <v>1</v>
      </c>
      <c r="M6" s="200" t="b">
        <f aca="false">IF(Configuration!$C$20="No","",IFERROR(IF('Patent Portfolio'!K6&lt;&gt;"",TRUE(),FALSE()),FALSE()))</f>
        <v>1</v>
      </c>
      <c r="N6" s="200" t="b">
        <f aca="false">IF(Configuration!$C$21="No","",IFERROR(IF(OR(N('Patent Portfolio'!O6)&gt;=Configuration!$C$46,N('Patent Portfolio'!P6)&gt;=Configuration!$C$47),TRUE(),FALSE()),FALSE()))</f>
        <v>1</v>
      </c>
      <c r="O6" s="200" t="b">
        <f aca="false">IF(Configuration!$C$22="No","",IFERROR(IF('Patent Portfolio'!X6="Yes",TRUE(),FALSE()),FALSE()))</f>
        <v>1</v>
      </c>
      <c r="P6" s="200" t="b">
        <f aca="false">IF(Configuration!$C$23="No","",IFERROR(IF(N('Patent Portfolio'!R6)&gt;=Configuration!$C$48,TRUE(),FALSE()),FALSE()))</f>
        <v>1</v>
      </c>
      <c r="Q6" s="200" t="b">
        <f aca="false">IF(Configuration!$C$24="No","",IFERROR(IF(N('Patent Portfolio'!U6)&gt;0,TRUE(),FALSE()),FALSE()))</f>
        <v>1</v>
      </c>
      <c r="R6" s="200" t="b">
        <f aca="false">IF(Configuration!$C$25="No","",IFERROR(IF(OR(N('Patent Portfolio'!L6)=3,N('Patent Portfolio'!L6)&lt;=1),TRUE(),FALSE()),FALSE()))</f>
        <v>1</v>
      </c>
      <c r="S6" s="200" t="b">
        <f aca="false">IF(Configuration!$C$26="No","",IFERROR(IF(N('Patent Portfolio'!AB6)&gt;=Configuration!$C$49,TRUE(),FALSE()),FALSE()))</f>
        <v>1</v>
      </c>
      <c r="T6" s="200" t="b">
        <f aca="false">IF(Configuration!$C$27="No","",IFERROR(IF('Patent Portfolio'!Z6&lt;&gt;"",TRUE(),FALSE()),FALSE()))</f>
        <v>0</v>
      </c>
      <c r="U6" s="200" t="b">
        <f aca="false">IF(Configuration!$C$28="No","",IFERROR(IF(N('Patent Portfolio'!Q6)&gt;=Configuration!$C$50,TRUE(),FALSE()),FALSE()))</f>
        <v>1</v>
      </c>
      <c r="V6" s="200" t="b">
        <f aca="false">IF(Configuration!$C$29="No","",IFERROR(IF(AND(N('Patent Portfolio'!N6)&gt;=Configuration!$C$51,'Patent Portfolio'!C6&lt;&gt;""),TRUE(),FALSE()),FALSE()))</f>
        <v>1</v>
      </c>
      <c r="W6" s="200" t="b">
        <f aca="false">IF(Configuration!$C$30="No","",IFERROR(IF(OR('Patent Portfolio'!S6="Pending",'Patent Portfolio'!T6="Yes"),TRUE(),FALSE()),FALSE()))</f>
        <v>1</v>
      </c>
      <c r="X6" s="200" t="b">
        <f aca="false">IF(Configuration!$C$31="No","",IFERROR(IF(AND(N('Patent Portfolio'!AC6)&gt;=Configuration!$C$52,N('Patent Portfolio'!L6)&gt;=1),TRUE(),FALSE()),FALSE()))</f>
        <v>1</v>
      </c>
      <c r="Y6" s="200" t="b">
        <f aca="false">IF(Configuration!$C$32="No","",IFERROR(IF(AND(N('Patent Portfolio'!N6)&gt;=1,OR('Patent Portfolio'!C6&lt;&gt;"",'Patent Portfolio'!I6&lt;&gt;"")),TRUE(),FALSE()),FALSE()))</f>
        <v>1</v>
      </c>
      <c r="Z6" s="200" t="b">
        <f aca="false">IF(Configuration!$C$33="No","",IFERROR(IF('Patent Portfolio'!C6&lt;&gt;"",TRUE(),FALSE()),FALSE()))</f>
        <v>1</v>
      </c>
      <c r="AA6" s="200" t="b">
        <f aca="false">IF(Configuration!$C$34="No","",IFERROR(IF('Patent Portfolio'!T6="Yes",TRUE(),FALSE()),FALSE()))</f>
        <v>1</v>
      </c>
      <c r="AB6" s="200" t="b">
        <f aca="false">IF(Configuration!$C$35="No","",IFERROR(IF(OR('Patent Portfolio'!AK6="Partial",'Patent Portfolio'!AK6="Full"),TRUE(),FALSE()),FALSE()))</f>
        <v>1</v>
      </c>
      <c r="AC6" s="200" t="b">
        <f aca="false">IF(Configuration!$C$36="No","",IFERROR(IF('Patent Portfolio'!AI6="Survived",TRUE(),FALSE()),FALSE()))</f>
        <v>0</v>
      </c>
      <c r="AD6" s="200" t="b">
        <f aca="false">IF(Configuration!$C$37="No","",IFERROR(IF(AND('Patent Portfolio'!AJ6="Clean",'Patent Portfolio'!AL6="None"),TRUE(),FALSE()),FALSE()))</f>
        <v>1</v>
      </c>
      <c r="AE6" s="200" t="b">
        <f aca="false">IF(Configuration!$C$38="No","",IFERROR(IF(N('Patent Portfolio'!AG6)&gt;=Configuration!$C$53,TRUE(),FALSE()),FALSE()))</f>
        <v>1</v>
      </c>
      <c r="AF6" s="200" t="b">
        <f aca="false">IF(Configuration!$C$39="No","",IFERROR(IF(AND(N('Patent Portfolio'!AO6)&gt;=2,N('Patent Portfolio'!AB6)&gt;=2),TRUE(),FALSE()),FALSE()))</f>
        <v>1</v>
      </c>
      <c r="AG6" s="200" t="b">
        <f aca="false">IF(Configuration!$C$40="No","",IFERROR(IF(OR(N('Patent Portfolio'!AC6)&lt;=Configuration!$C$56,N('Patent Portfolio'!U6)&lt;Configuration!$C$57,N('Patent Portfolio'!AD6)&lt;=Configuration!$C$58),TRUE(),FALSE()),FALSE()))</f>
        <v>0</v>
      </c>
      <c r="AH6" s="200" t="b">
        <f aca="false">IF(Configuration!$C$41="No","",IFERROR(IF(AND(N('Patent Portfolio'!U6)&gt;=Configuration!$C$54,N('Patent Portfolio'!U6)&lt;=Configuration!$C$55),TRUE(),FALSE()),FALSE()))</f>
        <v>0</v>
      </c>
      <c r="AI6" s="200" t="b">
        <f aca="false">IF(Configuration!$C$42="No","",IFERROR(IF(AND('Patent Portfolio'!C6&lt;&gt;"",'Patent Portfolio'!F6&lt;&gt;""),TRUE(),FALSE()),FALSE()))</f>
        <v>1</v>
      </c>
      <c r="AJ6" s="198" t="n">
        <f aca="false">COUNTIF(C6:AI6,TRUE())</f>
        <v>25</v>
      </c>
    </row>
    <row r="7" customFormat="false" ht="23.25" hidden="false" customHeight="true" outlineLevel="0" collapsed="false">
      <c r="A7" s="65" t="str">
        <f aca="false">'Patent Portfolio'!A7</f>
        <v>P-005</v>
      </c>
      <c r="B7" s="199" t="str">
        <f aca="false">'Patent Portfolio'!B7</f>
        <v>Battery thermal management with phase-change material</v>
      </c>
      <c r="C7" s="200" t="b">
        <f aca="false">IF(Configuration!$C$10="No","",IFERROR(IF('Patent Portfolio'!C7&lt;&gt;"",TRUE(),FALSE()),FALSE()))</f>
        <v>1</v>
      </c>
      <c r="D7" s="200" t="b">
        <f aca="false">IF(Configuration!$C$11="No","",IFERROR(IF(AND(N('Patent Portfolio'!H7)&gt;=Configuration!$C$44,'Patent Portfolio'!I7&lt;&gt;""),TRUE(),FALSE()),FALSE()))</f>
        <v>0</v>
      </c>
      <c r="E7" s="200" t="b">
        <f aca="false">IF(Configuration!$C$12="No","",IFERROR(IF('Patent Portfolio'!F7&lt;&gt;"",TRUE(),FALSE()),FALSE()))</f>
        <v>1</v>
      </c>
      <c r="F7" s="200" t="b">
        <f aca="false">IF(Configuration!$C$13="No","",IFERROR(IF('Patent Portfolio'!E7&lt;&gt;"",TRUE(),FALSE()),FALSE()))</f>
        <v>1</v>
      </c>
      <c r="G7" s="200" t="b">
        <f aca="false">IF(Configuration!$C$14="No","",IFERROR(IF('Patent Portfolio'!G7&lt;&gt;"",TRUE(),FALSE()),FALSE()))</f>
        <v>1</v>
      </c>
      <c r="H7" s="200" t="b">
        <f aca="false">IF(Configuration!$C$15="No","",IFERROR(IF(AND(OR(ISNUMBER(SEARCH("process",'Patent Portfolio'!C7)),ISNUMBER(SEARCH("fab",'Patent Portfolio'!C7)),ISNUMBER(SEARCH("manufac",'Patent Portfolio'!C7))),'Patent Portfolio'!K7="Method"),TRUE(),FALSE()),FALSE()))</f>
        <v>0</v>
      </c>
      <c r="I7" s="200" t="b">
        <f aca="false">IF(Configuration!$C$16="No","",IFERROR(IF(AND(OR(ISNUMBER(SEARCH("material",'Patent Portfolio'!C7)),ISNUMBER(SEARCH("chem",'Patent Portfolio'!C7)),ISNUMBER(SEARCH("battery",'Patent Portfolio'!C7)),ISNUMBER(SEARCH("electrolyte",'Patent Portfolio'!C7)),ISNUMBER(SEARCH("polymer",'Patent Portfolio'!C7))),OR('Patent Portfolio'!K7="Apparatus",'Patent Portfolio'!K7="Method")),TRUE(),FALSE()),FALSE()))</f>
        <v>0</v>
      </c>
      <c r="J7" s="200" t="b">
        <f aca="false">IF(Configuration!$C$17="No","",IFERROR(IF(AND(OR('Patent Portfolio'!E7="App",'Patent Portfolio'!E7="Middleware",'Patent Portfolio'!E7="Cloud"),OR('Patent Portfolio'!K7="Method",'Patent Portfolio'!K7="CRM")),TRUE(),FALSE()),FALSE()))</f>
        <v>0</v>
      </c>
      <c r="K7" s="200" t="b">
        <f aca="false">IF(Configuration!$C$18="No","",IFERROR(IF(N('Patent Portfolio'!J7)&gt;=Configuration!$C$45,TRUE(),FALSE()),FALSE()))</f>
        <v>0</v>
      </c>
      <c r="L7" s="200" t="b">
        <f aca="false">IF(Configuration!$C$19="No","",IFERROR(IF('Patent Portfolio'!AA7&lt;&gt;"",TRUE(),FALSE()),FALSE()))</f>
        <v>1</v>
      </c>
      <c r="M7" s="200" t="b">
        <f aca="false">IF(Configuration!$C$20="No","",IFERROR(IF('Patent Portfolio'!K7&lt;&gt;"",TRUE(),FALSE()),FALSE()))</f>
        <v>1</v>
      </c>
      <c r="N7" s="200" t="b">
        <f aca="false">IF(Configuration!$C$21="No","",IFERROR(IF(OR(N('Patent Portfolio'!O7)&gt;=Configuration!$C$46,N('Patent Portfolio'!P7)&gt;=Configuration!$C$47),TRUE(),FALSE()),FALSE()))</f>
        <v>1</v>
      </c>
      <c r="O7" s="200" t="b">
        <f aca="false">IF(Configuration!$C$22="No","",IFERROR(IF('Patent Portfolio'!X7="Yes",TRUE(),FALSE()),FALSE()))</f>
        <v>1</v>
      </c>
      <c r="P7" s="200" t="b">
        <f aca="false">IF(Configuration!$C$23="No","",IFERROR(IF(N('Patent Portfolio'!R7)&gt;=Configuration!$C$48,TRUE(),FALSE()),FALSE()))</f>
        <v>1</v>
      </c>
      <c r="Q7" s="200" t="b">
        <f aca="false">IF(Configuration!$C$24="No","",IFERROR(IF(N('Patent Portfolio'!U7)&gt;0,TRUE(),FALSE()),FALSE()))</f>
        <v>1</v>
      </c>
      <c r="R7" s="200" t="b">
        <f aca="false">IF(Configuration!$C$25="No","",IFERROR(IF(OR(N('Patent Portfolio'!L7)=3,N('Patent Portfolio'!L7)&lt;=1),TRUE(),FALSE()),FALSE()))</f>
        <v>0</v>
      </c>
      <c r="S7" s="200" t="b">
        <f aca="false">IF(Configuration!$C$26="No","",IFERROR(IF(N('Patent Portfolio'!AB7)&gt;=Configuration!$C$49,TRUE(),FALSE()),FALSE()))</f>
        <v>1</v>
      </c>
      <c r="T7" s="200" t="b">
        <f aca="false">IF(Configuration!$C$27="No","",IFERROR(IF('Patent Portfolio'!Z7&lt;&gt;"",TRUE(),FALSE()),FALSE()))</f>
        <v>0</v>
      </c>
      <c r="U7" s="200" t="b">
        <f aca="false">IF(Configuration!$C$28="No","",IFERROR(IF(N('Patent Portfolio'!Q7)&gt;=Configuration!$C$50,TRUE(),FALSE()),FALSE()))</f>
        <v>1</v>
      </c>
      <c r="V7" s="200" t="b">
        <f aca="false">IF(Configuration!$C$29="No","",IFERROR(IF(AND(N('Patent Portfolio'!N7)&gt;=Configuration!$C$51,'Patent Portfolio'!C7&lt;&gt;""),TRUE(),FALSE()),FALSE()))</f>
        <v>1</v>
      </c>
      <c r="W7" s="200" t="b">
        <f aca="false">IF(Configuration!$C$30="No","",IFERROR(IF(OR('Patent Portfolio'!S7="Pending",'Patent Portfolio'!T7="Yes"),TRUE(),FALSE()),FALSE()))</f>
        <v>0</v>
      </c>
      <c r="X7" s="200" t="b">
        <f aca="false">IF(Configuration!$C$31="No","",IFERROR(IF(AND(N('Patent Portfolio'!AC7)&gt;=Configuration!$C$52,N('Patent Portfolio'!L7)&gt;=1),TRUE(),FALSE()),FALSE()))</f>
        <v>1</v>
      </c>
      <c r="Y7" s="200" t="b">
        <f aca="false">IF(Configuration!$C$32="No","",IFERROR(IF(AND(N('Patent Portfolio'!N7)&gt;=1,OR('Patent Portfolio'!C7&lt;&gt;"",'Patent Portfolio'!I7&lt;&gt;"")),TRUE(),FALSE()),FALSE()))</f>
        <v>1</v>
      </c>
      <c r="Z7" s="200" t="b">
        <f aca="false">IF(Configuration!$C$33="No","",IFERROR(IF('Patent Portfolio'!C7&lt;&gt;"",TRUE(),FALSE()),FALSE()))</f>
        <v>1</v>
      </c>
      <c r="AA7" s="200" t="b">
        <f aca="false">IF(Configuration!$C$34="No","",IFERROR(IF('Patent Portfolio'!T7="Yes",TRUE(),FALSE()),FALSE()))</f>
        <v>0</v>
      </c>
      <c r="AB7" s="200" t="b">
        <f aca="false">IF(Configuration!$C$35="No","",IFERROR(IF(OR('Patent Portfolio'!AK7="Partial",'Patent Portfolio'!AK7="Full"),TRUE(),FALSE()),FALSE()))</f>
        <v>0</v>
      </c>
      <c r="AC7" s="200" t="b">
        <f aca="false">IF(Configuration!$C$36="No","",IFERROR(IF('Patent Portfolio'!AI7="Survived",TRUE(),FALSE()),FALSE()))</f>
        <v>0</v>
      </c>
      <c r="AD7" s="200" t="b">
        <f aca="false">IF(Configuration!$C$37="No","",IFERROR(IF(AND('Patent Portfolio'!AJ7="Clean",'Patent Portfolio'!AL7="None"),TRUE(),FALSE()),FALSE()))</f>
        <v>0</v>
      </c>
      <c r="AE7" s="200" t="b">
        <f aca="false">IF(Configuration!$C$38="No","",IFERROR(IF(N('Patent Portfolio'!AG7)&gt;=Configuration!$C$53,TRUE(),FALSE()),FALSE()))</f>
        <v>0</v>
      </c>
      <c r="AF7" s="200" t="b">
        <f aca="false">IF(Configuration!$C$39="No","",IFERROR(IF(AND(N('Patent Portfolio'!AO7)&gt;=2,N('Patent Portfolio'!AB7)&gt;=2),TRUE(),FALSE()),FALSE()))</f>
        <v>1</v>
      </c>
      <c r="AG7" s="200" t="b">
        <f aca="false">IF(Configuration!$C$40="No","",IFERROR(IF(OR(N('Patent Portfolio'!AC7)&lt;=Configuration!$C$56,N('Patent Portfolio'!U7)&lt;Configuration!$C$57,N('Patent Portfolio'!AD7)&lt;=Configuration!$C$58),TRUE(),FALSE()),FALSE()))</f>
        <v>0</v>
      </c>
      <c r="AH7" s="200" t="b">
        <f aca="false">IF(Configuration!$C$41="No","",IFERROR(IF(AND(N('Patent Portfolio'!U7)&gt;=Configuration!$C$54,N('Patent Portfolio'!U7)&lt;=Configuration!$C$55),TRUE(),FALSE()),FALSE()))</f>
        <v>0</v>
      </c>
      <c r="AI7" s="200" t="b">
        <f aca="false">IF(Configuration!$C$42="No","",IFERROR(IF(AND('Patent Portfolio'!C7&lt;&gt;"",'Patent Portfolio'!F7&lt;&gt;""),TRUE(),FALSE()),FALSE()))</f>
        <v>1</v>
      </c>
      <c r="AJ7" s="198" t="n">
        <f aca="false">COUNTIF(C7:AI7,TRUE())</f>
        <v>18</v>
      </c>
    </row>
    <row r="8" customFormat="false" ht="15" hidden="false" customHeight="true" outlineLevel="0" collapsed="false">
      <c r="A8" s="65" t="str">
        <f aca="false">'Patent Portfolio'!A8</f>
        <v>P-006</v>
      </c>
      <c r="B8" s="199" t="str">
        <f aca="false">'Patent Portfolio'!B8</f>
        <v>SiC MOSFET inverter control method</v>
      </c>
      <c r="C8" s="200" t="b">
        <f aca="false">IF(Configuration!$C$10="No","",IFERROR(IF('Patent Portfolio'!C8&lt;&gt;"",TRUE(),FALSE()),FALSE()))</f>
        <v>1</v>
      </c>
      <c r="D8" s="200" t="b">
        <f aca="false">IF(Configuration!$C$11="No","",IFERROR(IF(AND(N('Patent Portfolio'!H8)&gt;=Configuration!$C$44,'Patent Portfolio'!I8&lt;&gt;""),TRUE(),FALSE()),FALSE()))</f>
        <v>0</v>
      </c>
      <c r="E8" s="200" t="b">
        <f aca="false">IF(Configuration!$C$12="No","",IFERROR(IF('Patent Portfolio'!F8&lt;&gt;"",TRUE(),FALSE()),FALSE()))</f>
        <v>1</v>
      </c>
      <c r="F8" s="200" t="b">
        <f aca="false">IF(Configuration!$C$13="No","",IFERROR(IF('Patent Portfolio'!E8&lt;&gt;"",TRUE(),FALSE()),FALSE()))</f>
        <v>1</v>
      </c>
      <c r="G8" s="200" t="b">
        <f aca="false">IF(Configuration!$C$14="No","",IFERROR(IF('Patent Portfolio'!G8&lt;&gt;"",TRUE(),FALSE()),FALSE()))</f>
        <v>1</v>
      </c>
      <c r="H8" s="200" t="b">
        <f aca="false">IF(Configuration!$C$15="No","",IFERROR(IF(AND(OR(ISNUMBER(SEARCH("process",'Patent Portfolio'!C8)),ISNUMBER(SEARCH("fab",'Patent Portfolio'!C8)),ISNUMBER(SEARCH("manufac",'Patent Portfolio'!C8))),'Patent Portfolio'!K8="Method"),TRUE(),FALSE()),FALSE()))</f>
        <v>0</v>
      </c>
      <c r="I8" s="200" t="b">
        <f aca="false">IF(Configuration!$C$16="No","",IFERROR(IF(AND(OR(ISNUMBER(SEARCH("material",'Patent Portfolio'!C8)),ISNUMBER(SEARCH("chem",'Patent Portfolio'!C8)),ISNUMBER(SEARCH("battery",'Patent Portfolio'!C8)),ISNUMBER(SEARCH("electrolyte",'Patent Portfolio'!C8)),ISNUMBER(SEARCH("polymer",'Patent Portfolio'!C8))),OR('Patent Portfolio'!K8="Apparatus",'Patent Portfolio'!K8="Method")),TRUE(),FALSE()),FALSE()))</f>
        <v>0</v>
      </c>
      <c r="J8" s="200" t="b">
        <f aca="false">IF(Configuration!$C$17="No","",IFERROR(IF(AND(OR('Patent Portfolio'!E8="App",'Patent Portfolio'!E8="Middleware",'Patent Portfolio'!E8="Cloud"),OR('Patent Portfolio'!K8="Method",'Patent Portfolio'!K8="CRM")),TRUE(),FALSE()),FALSE()))</f>
        <v>0</v>
      </c>
      <c r="K8" s="200" t="b">
        <f aca="false">IF(Configuration!$C$18="No","",IFERROR(IF(N('Patent Portfolio'!J8)&gt;=Configuration!$C$45,TRUE(),FALSE()),FALSE()))</f>
        <v>0</v>
      </c>
      <c r="L8" s="200" t="b">
        <f aca="false">IF(Configuration!$C$19="No","",IFERROR(IF('Patent Portfolio'!AA8&lt;&gt;"",TRUE(),FALSE()),FALSE()))</f>
        <v>1</v>
      </c>
      <c r="M8" s="200" t="b">
        <f aca="false">IF(Configuration!$C$20="No","",IFERROR(IF('Patent Portfolio'!K8&lt;&gt;"",TRUE(),FALSE()),FALSE()))</f>
        <v>1</v>
      </c>
      <c r="N8" s="200" t="b">
        <f aca="false">IF(Configuration!$C$21="No","",IFERROR(IF(OR(N('Patent Portfolio'!O8)&gt;=Configuration!$C$46,N('Patent Portfolio'!P8)&gt;=Configuration!$C$47),TRUE(),FALSE()),FALSE()))</f>
        <v>1</v>
      </c>
      <c r="O8" s="200" t="b">
        <f aca="false">IF(Configuration!$C$22="No","",IFERROR(IF('Patent Portfolio'!X8="Yes",TRUE(),FALSE()),FALSE()))</f>
        <v>1</v>
      </c>
      <c r="P8" s="200" t="b">
        <f aca="false">IF(Configuration!$C$23="No","",IFERROR(IF(N('Patent Portfolio'!R8)&gt;=Configuration!$C$48,TRUE(),FALSE()),FALSE()))</f>
        <v>1</v>
      </c>
      <c r="Q8" s="200" t="b">
        <f aca="false">IF(Configuration!$C$24="No","",IFERROR(IF(N('Patent Portfolio'!U8)&gt;0,TRUE(),FALSE()),FALSE()))</f>
        <v>1</v>
      </c>
      <c r="R8" s="200" t="b">
        <f aca="false">IF(Configuration!$C$25="No","",IFERROR(IF(OR(N('Patent Portfolio'!L8)=3,N('Patent Portfolio'!L8)&lt;=1),TRUE(),FALSE()),FALSE()))</f>
        <v>0</v>
      </c>
      <c r="S8" s="200" t="b">
        <f aca="false">IF(Configuration!$C$26="No","",IFERROR(IF(N('Patent Portfolio'!AB8)&gt;=Configuration!$C$49,TRUE(),FALSE()),FALSE()))</f>
        <v>1</v>
      </c>
      <c r="T8" s="200" t="b">
        <f aca="false">IF(Configuration!$C$27="No","",IFERROR(IF('Patent Portfolio'!Z8&lt;&gt;"",TRUE(),FALSE()),FALSE()))</f>
        <v>0</v>
      </c>
      <c r="U8" s="200" t="b">
        <f aca="false">IF(Configuration!$C$28="No","",IFERROR(IF(N('Patent Portfolio'!Q8)&gt;=Configuration!$C$50,TRUE(),FALSE()),FALSE()))</f>
        <v>1</v>
      </c>
      <c r="V8" s="200" t="b">
        <f aca="false">IF(Configuration!$C$29="No","",IFERROR(IF(AND(N('Patent Portfolio'!N8)&gt;=Configuration!$C$51,'Patent Portfolio'!C8&lt;&gt;""),TRUE(),FALSE()),FALSE()))</f>
        <v>1</v>
      </c>
      <c r="W8" s="200" t="b">
        <f aca="false">IF(Configuration!$C$30="No","",IFERROR(IF(OR('Patent Portfolio'!S8="Pending",'Patent Portfolio'!T8="Yes"),TRUE(),FALSE()),FALSE()))</f>
        <v>0</v>
      </c>
      <c r="X8" s="200" t="b">
        <f aca="false">IF(Configuration!$C$31="No","",IFERROR(IF(AND(N('Patent Portfolio'!AC8)&gt;=Configuration!$C$52,N('Patent Portfolio'!L8)&gt;=1),TRUE(),FALSE()),FALSE()))</f>
        <v>1</v>
      </c>
      <c r="Y8" s="200" t="b">
        <f aca="false">IF(Configuration!$C$32="No","",IFERROR(IF(AND(N('Patent Portfolio'!N8)&gt;=1,OR('Patent Portfolio'!C8&lt;&gt;"",'Patent Portfolio'!I8&lt;&gt;"")),TRUE(),FALSE()),FALSE()))</f>
        <v>1</v>
      </c>
      <c r="Z8" s="200" t="b">
        <f aca="false">IF(Configuration!$C$33="No","",IFERROR(IF('Patent Portfolio'!C8&lt;&gt;"",TRUE(),FALSE()),FALSE()))</f>
        <v>1</v>
      </c>
      <c r="AA8" s="200" t="b">
        <f aca="false">IF(Configuration!$C$34="No","",IFERROR(IF('Patent Portfolio'!T8="Yes",TRUE(),FALSE()),FALSE()))</f>
        <v>0</v>
      </c>
      <c r="AB8" s="200" t="b">
        <f aca="false">IF(Configuration!$C$35="No","",IFERROR(IF(OR('Patent Portfolio'!AK8="Partial",'Patent Portfolio'!AK8="Full"),TRUE(),FALSE()),FALSE()))</f>
        <v>1</v>
      </c>
      <c r="AC8" s="200" t="b">
        <f aca="false">IF(Configuration!$C$36="No","",IFERROR(IF('Patent Portfolio'!AI8="Survived",TRUE(),FALSE()),FALSE()))</f>
        <v>0</v>
      </c>
      <c r="AD8" s="200" t="b">
        <f aca="false">IF(Configuration!$C$37="No","",IFERROR(IF(AND('Patent Portfolio'!AJ8="Clean",'Patent Portfolio'!AL8="None"),TRUE(),FALSE()),FALSE()))</f>
        <v>0</v>
      </c>
      <c r="AE8" s="200" t="b">
        <f aca="false">IF(Configuration!$C$38="No","",IFERROR(IF(N('Patent Portfolio'!AG8)&gt;=Configuration!$C$53,TRUE(),FALSE()),FALSE()))</f>
        <v>1</v>
      </c>
      <c r="AF8" s="200" t="b">
        <f aca="false">IF(Configuration!$C$39="No","",IFERROR(IF(AND(N('Patent Portfolio'!AO8)&gt;=2,N('Patent Portfolio'!AB8)&gt;=2),TRUE(),FALSE()),FALSE()))</f>
        <v>1</v>
      </c>
      <c r="AG8" s="200" t="b">
        <f aca="false">IF(Configuration!$C$40="No","",IFERROR(IF(OR(N('Patent Portfolio'!AC8)&lt;=Configuration!$C$56,N('Patent Portfolio'!U8)&lt;Configuration!$C$57,N('Patent Portfolio'!AD8)&lt;=Configuration!$C$58),TRUE(),FALSE()),FALSE()))</f>
        <v>0</v>
      </c>
      <c r="AH8" s="200" t="b">
        <f aca="false">IF(Configuration!$C$41="No","",IFERROR(IF(AND(N('Patent Portfolio'!U8)&gt;=Configuration!$C$54,N('Patent Portfolio'!U8)&lt;=Configuration!$C$55),TRUE(),FALSE()),FALSE()))</f>
        <v>0</v>
      </c>
      <c r="AI8" s="200" t="b">
        <f aca="false">IF(Configuration!$C$42="No","",IFERROR(IF(AND('Patent Portfolio'!C8&lt;&gt;"",'Patent Portfolio'!F8&lt;&gt;""),TRUE(),FALSE()),FALSE()))</f>
        <v>1</v>
      </c>
      <c r="AJ8" s="198" t="n">
        <f aca="false">COUNTIF(C8:AI8,TRUE())</f>
        <v>20</v>
      </c>
    </row>
    <row r="9" customFormat="false" ht="23.25" hidden="false" customHeight="true" outlineLevel="0" collapsed="false">
      <c r="A9" s="65" t="str">
        <f aca="false">'Patent Portfolio'!A9</f>
        <v>P-007</v>
      </c>
      <c r="B9" s="199" t="str">
        <f aca="false">'Patent Portfolio'!B9</f>
        <v>On-device CNN quantization for low-power inference</v>
      </c>
      <c r="C9" s="200" t="b">
        <f aca="false">IF(Configuration!$C$10="No","",IFERROR(IF('Patent Portfolio'!C9&lt;&gt;"",TRUE(),FALSE()),FALSE()))</f>
        <v>1</v>
      </c>
      <c r="D9" s="200" t="b">
        <f aca="false">IF(Configuration!$C$11="No","",IFERROR(IF(AND(N('Patent Portfolio'!H9)&gt;=Configuration!$C$44,'Patent Portfolio'!I9&lt;&gt;""),TRUE(),FALSE()),FALSE()))</f>
        <v>0</v>
      </c>
      <c r="E9" s="200" t="b">
        <f aca="false">IF(Configuration!$C$12="No","",IFERROR(IF('Patent Portfolio'!F9&lt;&gt;"",TRUE(),FALSE()),FALSE()))</f>
        <v>1</v>
      </c>
      <c r="F9" s="200" t="b">
        <f aca="false">IF(Configuration!$C$13="No","",IFERROR(IF('Patent Portfolio'!E9&lt;&gt;"",TRUE(),FALSE()),FALSE()))</f>
        <v>1</v>
      </c>
      <c r="G9" s="200" t="b">
        <f aca="false">IF(Configuration!$C$14="No","",IFERROR(IF('Patent Portfolio'!G9&lt;&gt;"",TRUE(),FALSE()),FALSE()))</f>
        <v>1</v>
      </c>
      <c r="H9" s="200" t="b">
        <f aca="false">IF(Configuration!$C$15="No","",IFERROR(IF(AND(OR(ISNUMBER(SEARCH("process",'Patent Portfolio'!C9)),ISNUMBER(SEARCH("fab",'Patent Portfolio'!C9)),ISNUMBER(SEARCH("manufac",'Patent Portfolio'!C9))),'Patent Portfolio'!K9="Method"),TRUE(),FALSE()),FALSE()))</f>
        <v>0</v>
      </c>
      <c r="I9" s="200" t="b">
        <f aca="false">IF(Configuration!$C$16="No","",IFERROR(IF(AND(OR(ISNUMBER(SEARCH("material",'Patent Portfolio'!C9)),ISNUMBER(SEARCH("chem",'Patent Portfolio'!C9)),ISNUMBER(SEARCH("battery",'Patent Portfolio'!C9)),ISNUMBER(SEARCH("electrolyte",'Patent Portfolio'!C9)),ISNUMBER(SEARCH("polymer",'Patent Portfolio'!C9))),OR('Patent Portfolio'!K9="Apparatus",'Patent Portfolio'!K9="Method")),TRUE(),FALSE()),FALSE()))</f>
        <v>0</v>
      </c>
      <c r="J9" s="200" t="b">
        <f aca="false">IF(Configuration!$C$17="No","",IFERROR(IF(AND(OR('Patent Portfolio'!E9="App",'Patent Portfolio'!E9="Middleware",'Patent Portfolio'!E9="Cloud"),OR('Patent Portfolio'!K9="Method",'Patent Portfolio'!K9="CRM")),TRUE(),FALSE()),FALSE()))</f>
        <v>1</v>
      </c>
      <c r="K9" s="200" t="b">
        <f aca="false">IF(Configuration!$C$18="No","",IFERROR(IF(N('Patent Portfolio'!J9)&gt;=Configuration!$C$45,TRUE(),FALSE()),FALSE()))</f>
        <v>0</v>
      </c>
      <c r="L9" s="200" t="b">
        <f aca="false">IF(Configuration!$C$19="No","",IFERROR(IF('Patent Portfolio'!AA9&lt;&gt;"",TRUE(),FALSE()),FALSE()))</f>
        <v>1</v>
      </c>
      <c r="M9" s="200" t="b">
        <f aca="false">IF(Configuration!$C$20="No","",IFERROR(IF('Patent Portfolio'!K9&lt;&gt;"",TRUE(),FALSE()),FALSE()))</f>
        <v>1</v>
      </c>
      <c r="N9" s="200" t="b">
        <f aca="false">IF(Configuration!$C$21="No","",IFERROR(IF(OR(N('Patent Portfolio'!O9)&gt;=Configuration!$C$46,N('Patent Portfolio'!P9)&gt;=Configuration!$C$47),TRUE(),FALSE()),FALSE()))</f>
        <v>1</v>
      </c>
      <c r="O9" s="200" t="b">
        <f aca="false">IF(Configuration!$C$22="No","",IFERROR(IF('Patent Portfolio'!X9="Yes",TRUE(),FALSE()),FALSE()))</f>
        <v>1</v>
      </c>
      <c r="P9" s="200" t="b">
        <f aca="false">IF(Configuration!$C$23="No","",IFERROR(IF(N('Patent Portfolio'!R9)&gt;=Configuration!$C$48,TRUE(),FALSE()),FALSE()))</f>
        <v>1</v>
      </c>
      <c r="Q9" s="200" t="b">
        <f aca="false">IF(Configuration!$C$24="No","",IFERROR(IF(N('Patent Portfolio'!U9)&gt;0,TRUE(),FALSE()),FALSE()))</f>
        <v>1</v>
      </c>
      <c r="R9" s="200" t="b">
        <f aca="false">IF(Configuration!$C$25="No","",IFERROR(IF(OR(N('Patent Portfolio'!L9)=3,N('Patent Portfolio'!L9)&lt;=1),TRUE(),FALSE()),FALSE()))</f>
        <v>0</v>
      </c>
      <c r="S9" s="200" t="b">
        <f aca="false">IF(Configuration!$C$26="No","",IFERROR(IF(N('Patent Portfolio'!AB9)&gt;=Configuration!$C$49,TRUE(),FALSE()),FALSE()))</f>
        <v>1</v>
      </c>
      <c r="T9" s="200" t="b">
        <f aca="false">IF(Configuration!$C$27="No","",IFERROR(IF('Patent Portfolio'!Z9&lt;&gt;"",TRUE(),FALSE()),FALSE()))</f>
        <v>1</v>
      </c>
      <c r="U9" s="200" t="b">
        <f aca="false">IF(Configuration!$C$28="No","",IFERROR(IF(N('Patent Portfolio'!Q9)&gt;=Configuration!$C$50,TRUE(),FALSE()),FALSE()))</f>
        <v>1</v>
      </c>
      <c r="V9" s="200" t="b">
        <f aca="false">IF(Configuration!$C$29="No","",IFERROR(IF(AND(N('Patent Portfolio'!N9)&gt;=Configuration!$C$51,'Patent Portfolio'!C9&lt;&gt;""),TRUE(),FALSE()),FALSE()))</f>
        <v>1</v>
      </c>
      <c r="W9" s="200" t="b">
        <f aca="false">IF(Configuration!$C$30="No","",IFERROR(IF(OR('Patent Portfolio'!S9="Pending",'Patent Portfolio'!T9="Yes"),TRUE(),FALSE()),FALSE()))</f>
        <v>1</v>
      </c>
      <c r="X9" s="200" t="b">
        <f aca="false">IF(Configuration!$C$31="No","",IFERROR(IF(AND(N('Patent Portfolio'!AC9)&gt;=Configuration!$C$52,N('Patent Portfolio'!L9)&gt;=1),TRUE(),FALSE()),FALSE()))</f>
        <v>1</v>
      </c>
      <c r="Y9" s="200" t="b">
        <f aca="false">IF(Configuration!$C$32="No","",IFERROR(IF(AND(N('Patent Portfolio'!N9)&gt;=1,OR('Patent Portfolio'!C9&lt;&gt;"",'Patent Portfolio'!I9&lt;&gt;"")),TRUE(),FALSE()),FALSE()))</f>
        <v>1</v>
      </c>
      <c r="Z9" s="200" t="b">
        <f aca="false">IF(Configuration!$C$33="No","",IFERROR(IF('Patent Portfolio'!C9&lt;&gt;"",TRUE(),FALSE()),FALSE()))</f>
        <v>1</v>
      </c>
      <c r="AA9" s="200" t="b">
        <f aca="false">IF(Configuration!$C$34="No","",IFERROR(IF('Patent Portfolio'!T9="Yes",TRUE(),FALSE()),FALSE()))</f>
        <v>1</v>
      </c>
      <c r="AB9" s="200" t="b">
        <f aca="false">IF(Configuration!$C$35="No","",IFERROR(IF(OR('Patent Portfolio'!AK9="Partial",'Patent Portfolio'!AK9="Full"),TRUE(),FALSE()),FALSE()))</f>
        <v>1</v>
      </c>
      <c r="AC9" s="200" t="b">
        <f aca="false">IF(Configuration!$C$36="No","",IFERROR(IF('Patent Portfolio'!AI9="Survived",TRUE(),FALSE()),FALSE()))</f>
        <v>0</v>
      </c>
      <c r="AD9" s="200" t="b">
        <f aca="false">IF(Configuration!$C$37="No","",IFERROR(IF(AND('Patent Portfolio'!AJ9="Clean",'Patent Portfolio'!AL9="None"),TRUE(),FALSE()),FALSE()))</f>
        <v>1</v>
      </c>
      <c r="AE9" s="200" t="b">
        <f aca="false">IF(Configuration!$C$38="No","",IFERROR(IF(N('Patent Portfolio'!AG9)&gt;=Configuration!$C$53,TRUE(),FALSE()),FALSE()))</f>
        <v>1</v>
      </c>
      <c r="AF9" s="200" t="b">
        <f aca="false">IF(Configuration!$C$39="No","",IFERROR(IF(AND(N('Patent Portfolio'!AO9)&gt;=2,N('Patent Portfolio'!AB9)&gt;=2),TRUE(),FALSE()),FALSE()))</f>
        <v>1</v>
      </c>
      <c r="AG9" s="200" t="b">
        <f aca="false">IF(Configuration!$C$40="No","",IFERROR(IF(OR(N('Patent Portfolio'!AC9)&lt;=Configuration!$C$56,N('Patent Portfolio'!U9)&lt;Configuration!$C$57,N('Patent Portfolio'!AD9)&lt;=Configuration!$C$58),TRUE(),FALSE()),FALSE()))</f>
        <v>1</v>
      </c>
      <c r="AH9" s="200" t="b">
        <f aca="false">IF(Configuration!$C$41="No","",IFERROR(IF(AND(N('Patent Portfolio'!U9)&gt;=Configuration!$C$54,N('Patent Portfolio'!U9)&lt;=Configuration!$C$55),TRUE(),FALSE()),FALSE()))</f>
        <v>0</v>
      </c>
      <c r="AI9" s="200" t="b">
        <f aca="false">IF(Configuration!$C$42="No","",IFERROR(IF(AND('Patent Portfolio'!C9&lt;&gt;"",'Patent Portfolio'!F9&lt;&gt;""),TRUE(),FALSE()),FALSE()))</f>
        <v>1</v>
      </c>
      <c r="AJ9" s="198" t="n">
        <f aca="false">COUNTIF(C9:AI9,TRUE())</f>
        <v>26</v>
      </c>
    </row>
    <row r="10" customFormat="false" ht="23.25" hidden="false" customHeight="true" outlineLevel="0" collapsed="false">
      <c r="A10" s="65" t="str">
        <f aca="false">'Patent Portfolio'!A10</f>
        <v>P-008</v>
      </c>
      <c r="B10" s="199" t="str">
        <f aca="false">'Patent Portfolio'!B10</f>
        <v>Transformer attention pruning for vision models</v>
      </c>
      <c r="C10" s="200" t="b">
        <f aca="false">IF(Configuration!$C$10="No","",IFERROR(IF('Patent Portfolio'!C10&lt;&gt;"",TRUE(),FALSE()),FALSE()))</f>
        <v>1</v>
      </c>
      <c r="D10" s="200" t="b">
        <f aca="false">IF(Configuration!$C$11="No","",IFERROR(IF(AND(N('Patent Portfolio'!H10)&gt;=Configuration!$C$44,'Patent Portfolio'!I10&lt;&gt;""),TRUE(),FALSE()),FALSE()))</f>
        <v>0</v>
      </c>
      <c r="E10" s="200" t="b">
        <f aca="false">IF(Configuration!$C$12="No","",IFERROR(IF('Patent Portfolio'!F10&lt;&gt;"",TRUE(),FALSE()),FALSE()))</f>
        <v>1</v>
      </c>
      <c r="F10" s="200" t="b">
        <f aca="false">IF(Configuration!$C$13="No","",IFERROR(IF('Patent Portfolio'!E10&lt;&gt;"",TRUE(),FALSE()),FALSE()))</f>
        <v>1</v>
      </c>
      <c r="G10" s="200" t="b">
        <f aca="false">IF(Configuration!$C$14="No","",IFERROR(IF('Patent Portfolio'!G10&lt;&gt;"",TRUE(),FALSE()),FALSE()))</f>
        <v>1</v>
      </c>
      <c r="H10" s="200" t="b">
        <f aca="false">IF(Configuration!$C$15="No","",IFERROR(IF(AND(OR(ISNUMBER(SEARCH("process",'Patent Portfolio'!C10)),ISNUMBER(SEARCH("fab",'Patent Portfolio'!C10)),ISNUMBER(SEARCH("manufac",'Patent Portfolio'!C10))),'Patent Portfolio'!K10="Method"),TRUE(),FALSE()),FALSE()))</f>
        <v>0</v>
      </c>
      <c r="I10" s="200" t="b">
        <f aca="false">IF(Configuration!$C$16="No","",IFERROR(IF(AND(OR(ISNUMBER(SEARCH("material",'Patent Portfolio'!C10)),ISNUMBER(SEARCH("chem",'Patent Portfolio'!C10)),ISNUMBER(SEARCH("battery",'Patent Portfolio'!C10)),ISNUMBER(SEARCH("electrolyte",'Patent Portfolio'!C10)),ISNUMBER(SEARCH("polymer",'Patent Portfolio'!C10))),OR('Patent Portfolio'!K10="Apparatus",'Patent Portfolio'!K10="Method")),TRUE(),FALSE()),FALSE()))</f>
        <v>0</v>
      </c>
      <c r="J10" s="200" t="b">
        <f aca="false">IF(Configuration!$C$17="No","",IFERROR(IF(AND(OR('Patent Portfolio'!E10="App",'Patent Portfolio'!E10="Middleware",'Patent Portfolio'!E10="Cloud"),OR('Patent Portfolio'!K10="Method",'Patent Portfolio'!K10="CRM")),TRUE(),FALSE()),FALSE()))</f>
        <v>1</v>
      </c>
      <c r="K10" s="200" t="b">
        <f aca="false">IF(Configuration!$C$18="No","",IFERROR(IF(N('Patent Portfolio'!J10)&gt;=Configuration!$C$45,TRUE(),FALSE()),FALSE()))</f>
        <v>0</v>
      </c>
      <c r="L10" s="200" t="b">
        <f aca="false">IF(Configuration!$C$19="No","",IFERROR(IF('Patent Portfolio'!AA10&lt;&gt;"",TRUE(),FALSE()),FALSE()))</f>
        <v>1</v>
      </c>
      <c r="M10" s="200" t="b">
        <f aca="false">IF(Configuration!$C$20="No","",IFERROR(IF('Patent Portfolio'!K10&lt;&gt;"",TRUE(),FALSE()),FALSE()))</f>
        <v>1</v>
      </c>
      <c r="N10" s="200" t="b">
        <f aca="false">IF(Configuration!$C$21="No","",IFERROR(IF(OR(N('Patent Portfolio'!O10)&gt;=Configuration!$C$46,N('Patent Portfolio'!P10)&gt;=Configuration!$C$47),TRUE(),FALSE()),FALSE()))</f>
        <v>1</v>
      </c>
      <c r="O10" s="200" t="b">
        <f aca="false">IF(Configuration!$C$22="No","",IFERROR(IF('Patent Portfolio'!X10="Yes",TRUE(),FALSE()),FALSE()))</f>
        <v>0</v>
      </c>
      <c r="P10" s="200" t="b">
        <f aca="false">IF(Configuration!$C$23="No","",IFERROR(IF(N('Patent Portfolio'!R10)&gt;=Configuration!$C$48,TRUE(),FALSE()),FALSE()))</f>
        <v>1</v>
      </c>
      <c r="Q10" s="200" t="b">
        <f aca="false">IF(Configuration!$C$24="No","",IFERROR(IF(N('Patent Portfolio'!U10)&gt;0,TRUE(),FALSE()),FALSE()))</f>
        <v>1</v>
      </c>
      <c r="R10" s="200" t="b">
        <f aca="false">IF(Configuration!$C$25="No","",IFERROR(IF(OR(N('Patent Portfolio'!L10)=3,N('Patent Portfolio'!L10)&lt;=1),TRUE(),FALSE()),FALSE()))</f>
        <v>1</v>
      </c>
      <c r="S10" s="200" t="b">
        <f aca="false">IF(Configuration!$C$26="No","",IFERROR(IF(N('Patent Portfolio'!AB10)&gt;=Configuration!$C$49,TRUE(),FALSE()),FALSE()))</f>
        <v>1</v>
      </c>
      <c r="T10" s="200" t="b">
        <f aca="false">IF(Configuration!$C$27="No","",IFERROR(IF('Patent Portfolio'!Z10&lt;&gt;"",TRUE(),FALSE()),FALSE()))</f>
        <v>1</v>
      </c>
      <c r="U10" s="200" t="b">
        <f aca="false">IF(Configuration!$C$28="No","",IFERROR(IF(N('Patent Portfolio'!Q10)&gt;=Configuration!$C$50,TRUE(),FALSE()),FALSE()))</f>
        <v>1</v>
      </c>
      <c r="V10" s="200" t="b">
        <f aca="false">IF(Configuration!$C$29="No","",IFERROR(IF(AND(N('Patent Portfolio'!N10)&gt;=Configuration!$C$51,'Patent Portfolio'!C10&lt;&gt;""),TRUE(),FALSE()),FALSE()))</f>
        <v>0</v>
      </c>
      <c r="W10" s="200" t="b">
        <f aca="false">IF(Configuration!$C$30="No","",IFERROR(IF(OR('Patent Portfolio'!S10="Pending",'Patent Portfolio'!T10="Yes"),TRUE(),FALSE()),FALSE()))</f>
        <v>1</v>
      </c>
      <c r="X10" s="200" t="b">
        <f aca="false">IF(Configuration!$C$31="No","",IFERROR(IF(AND(N('Patent Portfolio'!AC10)&gt;=Configuration!$C$52,N('Patent Portfolio'!L10)&gt;=1),TRUE(),FALSE()),FALSE()))</f>
        <v>0</v>
      </c>
      <c r="Y10" s="200" t="b">
        <f aca="false">IF(Configuration!$C$32="No","",IFERROR(IF(AND(N('Patent Portfolio'!N10)&gt;=1,OR('Patent Portfolio'!C10&lt;&gt;"",'Patent Portfolio'!I10&lt;&gt;"")),TRUE(),FALSE()),FALSE()))</f>
        <v>1</v>
      </c>
      <c r="Z10" s="200" t="b">
        <f aca="false">IF(Configuration!$C$33="No","",IFERROR(IF('Patent Portfolio'!C10&lt;&gt;"",TRUE(),FALSE()),FALSE()))</f>
        <v>1</v>
      </c>
      <c r="AA10" s="200" t="b">
        <f aca="false">IF(Configuration!$C$34="No","",IFERROR(IF('Patent Portfolio'!T10="Yes",TRUE(),FALSE()),FALSE()))</f>
        <v>1</v>
      </c>
      <c r="AB10" s="200" t="b">
        <f aca="false">IF(Configuration!$C$35="No","",IFERROR(IF(OR('Patent Portfolio'!AK10="Partial",'Patent Portfolio'!AK10="Full"),TRUE(),FALSE()),FALSE()))</f>
        <v>0</v>
      </c>
      <c r="AC10" s="200" t="b">
        <f aca="false">IF(Configuration!$C$36="No","",IFERROR(IF('Patent Portfolio'!AI10="Survived",TRUE(),FALSE()),FALSE()))</f>
        <v>0</v>
      </c>
      <c r="AD10" s="200" t="b">
        <f aca="false">IF(Configuration!$C$37="No","",IFERROR(IF(AND('Patent Portfolio'!AJ10="Clean",'Patent Portfolio'!AL10="None"),TRUE(),FALSE()),FALSE()))</f>
        <v>1</v>
      </c>
      <c r="AE10" s="200" t="b">
        <f aca="false">IF(Configuration!$C$38="No","",IFERROR(IF(N('Patent Portfolio'!AG10)&gt;=Configuration!$C$53,TRUE(),FALSE()),FALSE()))</f>
        <v>0</v>
      </c>
      <c r="AF10" s="200" t="b">
        <f aca="false">IF(Configuration!$C$39="No","",IFERROR(IF(AND(N('Patent Portfolio'!AO10)&gt;=2,N('Patent Portfolio'!AB10)&gt;=2),TRUE(),FALSE()),FALSE()))</f>
        <v>1</v>
      </c>
      <c r="AG10" s="200" t="b">
        <f aca="false">IF(Configuration!$C$40="No","",IFERROR(IF(OR(N('Patent Portfolio'!AC10)&lt;=Configuration!$C$56,N('Patent Portfolio'!U10)&lt;Configuration!$C$57,N('Patent Portfolio'!AD10)&lt;=Configuration!$C$58),TRUE(),FALSE()),FALSE()))</f>
        <v>1</v>
      </c>
      <c r="AH10" s="200" t="b">
        <f aca="false">IF(Configuration!$C$41="No","",IFERROR(IF(AND(N('Patent Portfolio'!U10)&gt;=Configuration!$C$54,N('Patent Portfolio'!U10)&lt;=Configuration!$C$55),TRUE(),FALSE()),FALSE()))</f>
        <v>0</v>
      </c>
      <c r="AI10" s="200" t="b">
        <f aca="false">IF(Configuration!$C$42="No","",IFERROR(IF(AND('Patent Portfolio'!C10&lt;&gt;"",'Patent Portfolio'!F10&lt;&gt;""),TRUE(),FALSE()),FALSE()))</f>
        <v>1</v>
      </c>
      <c r="AJ10" s="198" t="n">
        <f aca="false">COUNTIF(C10:AI10,TRUE())</f>
        <v>22</v>
      </c>
    </row>
    <row r="11" customFormat="false" ht="15" hidden="false" customHeight="true" outlineLevel="0" collapsed="false">
      <c r="A11" s="65" t="str">
        <f aca="false">'Patent Portfolio'!A11</f>
        <v>P-009</v>
      </c>
      <c r="B11" s="199" t="str">
        <f aca="false">'Patent Portfolio'!B11</f>
        <v>Visual SLAM for indoor robot navigation</v>
      </c>
      <c r="C11" s="200" t="b">
        <f aca="false">IF(Configuration!$C$10="No","",IFERROR(IF('Patent Portfolio'!C11&lt;&gt;"",TRUE(),FALSE()),FALSE()))</f>
        <v>1</v>
      </c>
      <c r="D11" s="200" t="b">
        <f aca="false">IF(Configuration!$C$11="No","",IFERROR(IF(AND(N('Patent Portfolio'!H11)&gt;=Configuration!$C$44,'Patent Portfolio'!I11&lt;&gt;""),TRUE(),FALSE()),FALSE()))</f>
        <v>0</v>
      </c>
      <c r="E11" s="200" t="b">
        <f aca="false">IF(Configuration!$C$12="No","",IFERROR(IF('Patent Portfolio'!F11&lt;&gt;"",TRUE(),FALSE()),FALSE()))</f>
        <v>1</v>
      </c>
      <c r="F11" s="200" t="b">
        <f aca="false">IF(Configuration!$C$13="No","",IFERROR(IF('Patent Portfolio'!E11&lt;&gt;"",TRUE(),FALSE()),FALSE()))</f>
        <v>1</v>
      </c>
      <c r="G11" s="200" t="b">
        <f aca="false">IF(Configuration!$C$14="No","",IFERROR(IF('Patent Portfolio'!G11&lt;&gt;"",TRUE(),FALSE()),FALSE()))</f>
        <v>1</v>
      </c>
      <c r="H11" s="200" t="b">
        <f aca="false">IF(Configuration!$C$15="No","",IFERROR(IF(AND(OR(ISNUMBER(SEARCH("process",'Patent Portfolio'!C11)),ISNUMBER(SEARCH("fab",'Patent Portfolio'!C11)),ISNUMBER(SEARCH("manufac",'Patent Portfolio'!C11))),'Patent Portfolio'!K11="Method"),TRUE(),FALSE()),FALSE()))</f>
        <v>0</v>
      </c>
      <c r="I11" s="200" t="b">
        <f aca="false">IF(Configuration!$C$16="No","",IFERROR(IF(AND(OR(ISNUMBER(SEARCH("material",'Patent Portfolio'!C11)),ISNUMBER(SEARCH("chem",'Patent Portfolio'!C11)),ISNUMBER(SEARCH("battery",'Patent Portfolio'!C11)),ISNUMBER(SEARCH("electrolyte",'Patent Portfolio'!C11)),ISNUMBER(SEARCH("polymer",'Patent Portfolio'!C11))),OR('Patent Portfolio'!K11="Apparatus",'Patent Portfolio'!K11="Method")),TRUE(),FALSE()),FALSE()))</f>
        <v>0</v>
      </c>
      <c r="J11" s="200" t="b">
        <f aca="false">IF(Configuration!$C$17="No","",IFERROR(IF(AND(OR('Patent Portfolio'!E11="App",'Patent Portfolio'!E11="Middleware",'Patent Portfolio'!E11="Cloud"),OR('Patent Portfolio'!K11="Method",'Patent Portfolio'!K11="CRM")),TRUE(),FALSE()),FALSE()))</f>
        <v>0</v>
      </c>
      <c r="K11" s="200" t="b">
        <f aca="false">IF(Configuration!$C$18="No","",IFERROR(IF(N('Patent Portfolio'!J11)&gt;=Configuration!$C$45,TRUE(),FALSE()),FALSE()))</f>
        <v>0</v>
      </c>
      <c r="L11" s="200" t="b">
        <f aca="false">IF(Configuration!$C$19="No","",IFERROR(IF('Patent Portfolio'!AA11&lt;&gt;"",TRUE(),FALSE()),FALSE()))</f>
        <v>1</v>
      </c>
      <c r="M11" s="200" t="b">
        <f aca="false">IF(Configuration!$C$20="No","",IFERROR(IF('Patent Portfolio'!K11&lt;&gt;"",TRUE(),FALSE()),FALSE()))</f>
        <v>1</v>
      </c>
      <c r="N11" s="200" t="b">
        <f aca="false">IF(Configuration!$C$21="No","",IFERROR(IF(OR(N('Patent Portfolio'!O11)&gt;=Configuration!$C$46,N('Patent Portfolio'!P11)&gt;=Configuration!$C$47),TRUE(),FALSE()),FALSE()))</f>
        <v>1</v>
      </c>
      <c r="O11" s="200" t="b">
        <f aca="false">IF(Configuration!$C$22="No","",IFERROR(IF('Patent Portfolio'!X11="Yes",TRUE(),FALSE()),FALSE()))</f>
        <v>1</v>
      </c>
      <c r="P11" s="200" t="b">
        <f aca="false">IF(Configuration!$C$23="No","",IFERROR(IF(N('Patent Portfolio'!R11)&gt;=Configuration!$C$48,TRUE(),FALSE()),FALSE()))</f>
        <v>1</v>
      </c>
      <c r="Q11" s="200" t="b">
        <f aca="false">IF(Configuration!$C$24="No","",IFERROR(IF(N('Patent Portfolio'!U11)&gt;0,TRUE(),FALSE()),FALSE()))</f>
        <v>1</v>
      </c>
      <c r="R11" s="200" t="b">
        <f aca="false">IF(Configuration!$C$25="No","",IFERROR(IF(OR(N('Patent Portfolio'!L11)=3,N('Patent Portfolio'!L11)&lt;=1),TRUE(),FALSE()),FALSE()))</f>
        <v>0</v>
      </c>
      <c r="S11" s="200" t="b">
        <f aca="false">IF(Configuration!$C$26="No","",IFERROR(IF(N('Patent Portfolio'!AB11)&gt;=Configuration!$C$49,TRUE(),FALSE()),FALSE()))</f>
        <v>1</v>
      </c>
      <c r="T11" s="200" t="b">
        <f aca="false">IF(Configuration!$C$27="No","",IFERROR(IF('Patent Portfolio'!Z11&lt;&gt;"",TRUE(),FALSE()),FALSE()))</f>
        <v>1</v>
      </c>
      <c r="U11" s="200" t="b">
        <f aca="false">IF(Configuration!$C$28="No","",IFERROR(IF(N('Patent Portfolio'!Q11)&gt;=Configuration!$C$50,TRUE(),FALSE()),FALSE()))</f>
        <v>1</v>
      </c>
      <c r="V11" s="200" t="b">
        <f aca="false">IF(Configuration!$C$29="No","",IFERROR(IF(AND(N('Patent Portfolio'!N11)&gt;=Configuration!$C$51,'Patent Portfolio'!C11&lt;&gt;""),TRUE(),FALSE()),FALSE()))</f>
        <v>1</v>
      </c>
      <c r="W11" s="200" t="b">
        <f aca="false">IF(Configuration!$C$30="No","",IFERROR(IF(OR('Patent Portfolio'!S11="Pending",'Patent Portfolio'!T11="Yes"),TRUE(),FALSE()),FALSE()))</f>
        <v>0</v>
      </c>
      <c r="X11" s="200" t="b">
        <f aca="false">IF(Configuration!$C$31="No","",IFERROR(IF(AND(N('Patent Portfolio'!AC11)&gt;=Configuration!$C$52,N('Patent Portfolio'!L11)&gt;=1),TRUE(),FALSE()),FALSE()))</f>
        <v>1</v>
      </c>
      <c r="Y11" s="200" t="b">
        <f aca="false">IF(Configuration!$C$32="No","",IFERROR(IF(AND(N('Patent Portfolio'!N11)&gt;=1,OR('Patent Portfolio'!C11&lt;&gt;"",'Patent Portfolio'!I11&lt;&gt;"")),TRUE(),FALSE()),FALSE()))</f>
        <v>1</v>
      </c>
      <c r="Z11" s="200" t="b">
        <f aca="false">IF(Configuration!$C$33="No","",IFERROR(IF('Patent Portfolio'!C11&lt;&gt;"",TRUE(),FALSE()),FALSE()))</f>
        <v>1</v>
      </c>
      <c r="AA11" s="200" t="b">
        <f aca="false">IF(Configuration!$C$34="No","",IFERROR(IF('Patent Portfolio'!T11="Yes",TRUE(),FALSE()),FALSE()))</f>
        <v>0</v>
      </c>
      <c r="AB11" s="200" t="b">
        <f aca="false">IF(Configuration!$C$35="No","",IFERROR(IF(OR('Patent Portfolio'!AK11="Partial",'Patent Portfolio'!AK11="Full"),TRUE(),FALSE()),FALSE()))</f>
        <v>1</v>
      </c>
      <c r="AC11" s="200" t="b">
        <f aca="false">IF(Configuration!$C$36="No","",IFERROR(IF('Patent Portfolio'!AI11="Survived",TRUE(),FALSE()),FALSE()))</f>
        <v>0</v>
      </c>
      <c r="AD11" s="200" t="b">
        <f aca="false">IF(Configuration!$C$37="No","",IFERROR(IF(AND('Patent Portfolio'!AJ11="Clean",'Patent Portfolio'!AL11="None"),TRUE(),FALSE()),FALSE()))</f>
        <v>1</v>
      </c>
      <c r="AE11" s="200" t="b">
        <f aca="false">IF(Configuration!$C$38="No","",IFERROR(IF(N('Patent Portfolio'!AG11)&gt;=Configuration!$C$53,TRUE(),FALSE()),FALSE()))</f>
        <v>1</v>
      </c>
      <c r="AF11" s="200" t="b">
        <f aca="false">IF(Configuration!$C$39="No","",IFERROR(IF(AND(N('Patent Portfolio'!AO11)&gt;=2,N('Patent Portfolio'!AB11)&gt;=2),TRUE(),FALSE()),FALSE()))</f>
        <v>1</v>
      </c>
      <c r="AG11" s="200" t="b">
        <f aca="false">IF(Configuration!$C$40="No","",IFERROR(IF(OR(N('Patent Portfolio'!AC11)&lt;=Configuration!$C$56,N('Patent Portfolio'!U11)&lt;Configuration!$C$57,N('Patent Portfolio'!AD11)&lt;=Configuration!$C$58),TRUE(),FALSE()),FALSE()))</f>
        <v>0</v>
      </c>
      <c r="AH11" s="200" t="b">
        <f aca="false">IF(Configuration!$C$41="No","",IFERROR(IF(AND(N('Patent Portfolio'!U11)&gt;=Configuration!$C$54,N('Patent Portfolio'!U11)&lt;=Configuration!$C$55),TRUE(),FALSE()),FALSE()))</f>
        <v>0</v>
      </c>
      <c r="AI11" s="200" t="b">
        <f aca="false">IF(Configuration!$C$42="No","",IFERROR(IF(AND('Patent Portfolio'!C11&lt;&gt;"",'Patent Portfolio'!F11&lt;&gt;""),TRUE(),FALSE()),FALSE()))</f>
        <v>1</v>
      </c>
      <c r="AJ11" s="198" t="n">
        <f aca="false">COUNTIF(C11:AI11,TRUE())</f>
        <v>22</v>
      </c>
    </row>
    <row r="12" customFormat="false" ht="15" hidden="false" customHeight="true" outlineLevel="0" collapsed="false">
      <c r="A12" s="65" t="str">
        <f aca="false">'Patent Portfolio'!A12</f>
        <v>P-010</v>
      </c>
      <c r="B12" s="199" t="str">
        <f aca="false">'Patent Portfolio'!B12</f>
        <v>USB-C power delivery handshake extension</v>
      </c>
      <c r="C12" s="200" t="b">
        <f aca="false">IF(Configuration!$C$10="No","",IFERROR(IF('Patent Portfolio'!C12&lt;&gt;"",TRUE(),FALSE()),FALSE()))</f>
        <v>1</v>
      </c>
      <c r="D12" s="200" t="b">
        <f aca="false">IF(Configuration!$C$11="No","",IFERROR(IF(AND(N('Patent Portfolio'!H12)&gt;=Configuration!$C$44,'Patent Portfolio'!I12&lt;&gt;""),TRUE(),FALSE()),FALSE()))</f>
        <v>1</v>
      </c>
      <c r="E12" s="200" t="b">
        <f aca="false">IF(Configuration!$C$12="No","",IFERROR(IF('Patent Portfolio'!F12&lt;&gt;"",TRUE(),FALSE()),FALSE()))</f>
        <v>1</v>
      </c>
      <c r="F12" s="200" t="b">
        <f aca="false">IF(Configuration!$C$13="No","",IFERROR(IF('Patent Portfolio'!E12&lt;&gt;"",TRUE(),FALSE()),FALSE()))</f>
        <v>1</v>
      </c>
      <c r="G12" s="200" t="b">
        <f aca="false">IF(Configuration!$C$14="No","",IFERROR(IF('Patent Portfolio'!G12&lt;&gt;"",TRUE(),FALSE()),FALSE()))</f>
        <v>1</v>
      </c>
      <c r="H12" s="200" t="b">
        <f aca="false">IF(Configuration!$C$15="No","",IFERROR(IF(AND(OR(ISNUMBER(SEARCH("process",'Patent Portfolio'!C12)),ISNUMBER(SEARCH("fab",'Patent Portfolio'!C12)),ISNUMBER(SEARCH("manufac",'Patent Portfolio'!C12))),'Patent Portfolio'!K12="Method"),TRUE(),FALSE()),FALSE()))</f>
        <v>0</v>
      </c>
      <c r="I12" s="200" t="b">
        <f aca="false">IF(Configuration!$C$16="No","",IFERROR(IF(AND(OR(ISNUMBER(SEARCH("material",'Patent Portfolio'!C12)),ISNUMBER(SEARCH("chem",'Patent Portfolio'!C12)),ISNUMBER(SEARCH("battery",'Patent Portfolio'!C12)),ISNUMBER(SEARCH("electrolyte",'Patent Portfolio'!C12)),ISNUMBER(SEARCH("polymer",'Patent Portfolio'!C12))),OR('Patent Portfolio'!K12="Apparatus",'Patent Portfolio'!K12="Method")),TRUE(),FALSE()),FALSE()))</f>
        <v>0</v>
      </c>
      <c r="J12" s="200" t="b">
        <f aca="false">IF(Configuration!$C$17="No","",IFERROR(IF(AND(OR('Patent Portfolio'!E12="App",'Patent Portfolio'!E12="Middleware",'Patent Portfolio'!E12="Cloud"),OR('Patent Portfolio'!K12="Method",'Patent Portfolio'!K12="CRM")),TRUE(),FALSE()),FALSE()))</f>
        <v>0</v>
      </c>
      <c r="K12" s="200" t="b">
        <f aca="false">IF(Configuration!$C$18="No","",IFERROR(IF(N('Patent Portfolio'!J12)&gt;=Configuration!$C$45,TRUE(),FALSE()),FALSE()))</f>
        <v>1</v>
      </c>
      <c r="L12" s="200" t="b">
        <f aca="false">IF(Configuration!$C$19="No","",IFERROR(IF('Patent Portfolio'!AA12&lt;&gt;"",TRUE(),FALSE()),FALSE()))</f>
        <v>1</v>
      </c>
      <c r="M12" s="200" t="b">
        <f aca="false">IF(Configuration!$C$20="No","",IFERROR(IF('Patent Portfolio'!K12&lt;&gt;"",TRUE(),FALSE()),FALSE()))</f>
        <v>1</v>
      </c>
      <c r="N12" s="200" t="b">
        <f aca="false">IF(Configuration!$C$21="No","",IFERROR(IF(OR(N('Patent Portfolio'!O12)&gt;=Configuration!$C$46,N('Patent Portfolio'!P12)&gt;=Configuration!$C$47),TRUE(),FALSE()),FALSE()))</f>
        <v>1</v>
      </c>
      <c r="O12" s="200" t="b">
        <f aca="false">IF(Configuration!$C$22="No","",IFERROR(IF('Patent Portfolio'!X12="Yes",TRUE(),FALSE()),FALSE()))</f>
        <v>1</v>
      </c>
      <c r="P12" s="200" t="b">
        <f aca="false">IF(Configuration!$C$23="No","",IFERROR(IF(N('Patent Portfolio'!R12)&gt;=Configuration!$C$48,TRUE(),FALSE()),FALSE()))</f>
        <v>1</v>
      </c>
      <c r="Q12" s="200" t="b">
        <f aca="false">IF(Configuration!$C$24="No","",IFERROR(IF(N('Patent Portfolio'!U12)&gt;0,TRUE(),FALSE()),FALSE()))</f>
        <v>1</v>
      </c>
      <c r="R12" s="200" t="b">
        <f aca="false">IF(Configuration!$C$25="No","",IFERROR(IF(OR(N('Patent Portfolio'!L12)=3,N('Patent Portfolio'!L12)&lt;=1),TRUE(),FALSE()),FALSE()))</f>
        <v>1</v>
      </c>
      <c r="S12" s="200" t="b">
        <f aca="false">IF(Configuration!$C$26="No","",IFERROR(IF(N('Patent Portfolio'!AB12)&gt;=Configuration!$C$49,TRUE(),FALSE()),FALSE()))</f>
        <v>1</v>
      </c>
      <c r="T12" s="200" t="b">
        <f aca="false">IF(Configuration!$C$27="No","",IFERROR(IF('Patent Portfolio'!Z12&lt;&gt;"",TRUE(),FALSE()),FALSE()))</f>
        <v>0</v>
      </c>
      <c r="U12" s="200" t="b">
        <f aca="false">IF(Configuration!$C$28="No","",IFERROR(IF(N('Patent Portfolio'!Q12)&gt;=Configuration!$C$50,TRUE(),FALSE()),FALSE()))</f>
        <v>1</v>
      </c>
      <c r="V12" s="200" t="b">
        <f aca="false">IF(Configuration!$C$29="No","",IFERROR(IF(AND(N('Patent Portfolio'!N12)&gt;=Configuration!$C$51,'Patent Portfolio'!C12&lt;&gt;""),TRUE(),FALSE()),FALSE()))</f>
        <v>1</v>
      </c>
      <c r="W12" s="200" t="b">
        <f aca="false">IF(Configuration!$C$30="No","",IFERROR(IF(OR('Patent Portfolio'!S12="Pending",'Patent Portfolio'!T12="Yes"),TRUE(),FALSE()),FALSE()))</f>
        <v>0</v>
      </c>
      <c r="X12" s="200" t="b">
        <f aca="false">IF(Configuration!$C$31="No","",IFERROR(IF(AND(N('Patent Portfolio'!AC12)&gt;=Configuration!$C$52,N('Patent Portfolio'!L12)&gt;=1),TRUE(),FALSE()),FALSE()))</f>
        <v>1</v>
      </c>
      <c r="Y12" s="200" t="b">
        <f aca="false">IF(Configuration!$C$32="No","",IFERROR(IF(AND(N('Patent Portfolio'!N12)&gt;=1,OR('Patent Portfolio'!C12&lt;&gt;"",'Patent Portfolio'!I12&lt;&gt;"")),TRUE(),FALSE()),FALSE()))</f>
        <v>1</v>
      </c>
      <c r="Z12" s="200" t="b">
        <f aca="false">IF(Configuration!$C$33="No","",IFERROR(IF('Patent Portfolio'!C12&lt;&gt;"",TRUE(),FALSE()),FALSE()))</f>
        <v>1</v>
      </c>
      <c r="AA12" s="200" t="b">
        <f aca="false">IF(Configuration!$C$34="No","",IFERROR(IF('Patent Portfolio'!T12="Yes",TRUE(),FALSE()),FALSE()))</f>
        <v>0</v>
      </c>
      <c r="AB12" s="200" t="b">
        <f aca="false">IF(Configuration!$C$35="No","",IFERROR(IF(OR('Patent Portfolio'!AK12="Partial",'Patent Portfolio'!AK12="Full"),TRUE(),FALSE()),FALSE()))</f>
        <v>1</v>
      </c>
      <c r="AC12" s="200" t="b">
        <f aca="false">IF(Configuration!$C$36="No","",IFERROR(IF('Patent Portfolio'!AI12="Survived",TRUE(),FALSE()),FALSE()))</f>
        <v>1</v>
      </c>
      <c r="AD12" s="200" t="b">
        <f aca="false">IF(Configuration!$C$37="No","",IFERROR(IF(AND('Patent Portfolio'!AJ12="Clean",'Patent Portfolio'!AL12="None"),TRUE(),FALSE()),FALSE()))</f>
        <v>1</v>
      </c>
      <c r="AE12" s="200" t="b">
        <f aca="false">IF(Configuration!$C$38="No","",IFERROR(IF(N('Patent Portfolio'!AG12)&gt;=Configuration!$C$53,TRUE(),FALSE()),FALSE()))</f>
        <v>1</v>
      </c>
      <c r="AF12" s="200" t="b">
        <f aca="false">IF(Configuration!$C$39="No","",IFERROR(IF(AND(N('Patent Portfolio'!AO12)&gt;=2,N('Patent Portfolio'!AB12)&gt;=2),TRUE(),FALSE()),FALSE()))</f>
        <v>1</v>
      </c>
      <c r="AG12" s="200" t="b">
        <f aca="false">IF(Configuration!$C$40="No","",IFERROR(IF(OR(N('Patent Portfolio'!AC12)&lt;=Configuration!$C$56,N('Patent Portfolio'!U12)&lt;Configuration!$C$57,N('Patent Portfolio'!AD12)&lt;=Configuration!$C$58),TRUE(),FALSE()),FALSE()))</f>
        <v>0</v>
      </c>
      <c r="AH12" s="200" t="b">
        <f aca="false">IF(Configuration!$C$41="No","",IFERROR(IF(AND(N('Patent Portfolio'!U12)&gt;=Configuration!$C$54,N('Patent Portfolio'!U12)&lt;=Configuration!$C$55),TRUE(),FALSE()),FALSE()))</f>
        <v>0</v>
      </c>
      <c r="AI12" s="200" t="b">
        <f aca="false">IF(Configuration!$C$42="No","",IFERROR(IF(AND('Patent Portfolio'!C12&lt;&gt;"",'Patent Portfolio'!F12&lt;&gt;""),TRUE(),FALSE()),FALSE()))</f>
        <v>1</v>
      </c>
      <c r="AJ12" s="198" t="n">
        <f aca="false">COUNTIF(C12:AI12,TRUE())</f>
        <v>25</v>
      </c>
    </row>
    <row r="13" customFormat="false" ht="23.25" hidden="false" customHeight="true" outlineLevel="0" collapsed="false">
      <c r="A13" s="65" t="str">
        <f aca="false">'Patent Portfolio'!A13</f>
        <v>P-011</v>
      </c>
      <c r="B13" s="199" t="str">
        <f aca="false">'Patent Portfolio'!B13</f>
        <v>Atomic layer deposition recipe for high-k dielectric</v>
      </c>
      <c r="C13" s="200" t="b">
        <f aca="false">IF(Configuration!$C$10="No","",IFERROR(IF('Patent Portfolio'!C13&lt;&gt;"",TRUE(),FALSE()),FALSE()))</f>
        <v>1</v>
      </c>
      <c r="D13" s="200" t="b">
        <f aca="false">IF(Configuration!$C$11="No","",IFERROR(IF(AND(N('Patent Portfolio'!H13)&gt;=Configuration!$C$44,'Patent Portfolio'!I13&lt;&gt;""),TRUE(),FALSE()),FALSE()))</f>
        <v>0</v>
      </c>
      <c r="E13" s="200" t="b">
        <f aca="false">IF(Configuration!$C$12="No","",IFERROR(IF('Patent Portfolio'!F13&lt;&gt;"",TRUE(),FALSE()),FALSE()))</f>
        <v>1</v>
      </c>
      <c r="F13" s="200" t="b">
        <f aca="false">IF(Configuration!$C$13="No","",IFERROR(IF('Patent Portfolio'!E13&lt;&gt;"",TRUE(),FALSE()),FALSE()))</f>
        <v>1</v>
      </c>
      <c r="G13" s="200" t="b">
        <f aca="false">IF(Configuration!$C$14="No","",IFERROR(IF('Patent Portfolio'!G13&lt;&gt;"",TRUE(),FALSE()),FALSE()))</f>
        <v>1</v>
      </c>
      <c r="H13" s="200" t="b">
        <f aca="false">IF(Configuration!$C$15="No","",IFERROR(IF(AND(OR(ISNUMBER(SEARCH("process",'Patent Portfolio'!C13)),ISNUMBER(SEARCH("fab",'Patent Portfolio'!C13)),ISNUMBER(SEARCH("manufac",'Patent Portfolio'!C13))),'Patent Portfolio'!K13="Method"),TRUE(),FALSE()),FALSE()))</f>
        <v>1</v>
      </c>
      <c r="I13" s="200" t="b">
        <f aca="false">IF(Configuration!$C$16="No","",IFERROR(IF(AND(OR(ISNUMBER(SEARCH("material",'Patent Portfolio'!C13)),ISNUMBER(SEARCH("chem",'Patent Portfolio'!C13)),ISNUMBER(SEARCH("battery",'Patent Portfolio'!C13)),ISNUMBER(SEARCH("electrolyte",'Patent Portfolio'!C13)),ISNUMBER(SEARCH("polymer",'Patent Portfolio'!C13))),OR('Patent Portfolio'!K13="Apparatus",'Patent Portfolio'!K13="Method")),TRUE(),FALSE()),FALSE()))</f>
        <v>0</v>
      </c>
      <c r="J13" s="200" t="b">
        <f aca="false">IF(Configuration!$C$17="No","",IFERROR(IF(AND(OR('Patent Portfolio'!E13="App",'Patent Portfolio'!E13="Middleware",'Patent Portfolio'!E13="Cloud"),OR('Patent Portfolio'!K13="Method",'Patent Portfolio'!K13="CRM")),TRUE(),FALSE()),FALSE()))</f>
        <v>0</v>
      </c>
      <c r="K13" s="200" t="b">
        <f aca="false">IF(Configuration!$C$18="No","",IFERROR(IF(N('Patent Portfolio'!J13)&gt;=Configuration!$C$45,TRUE(),FALSE()),FALSE()))</f>
        <v>0</v>
      </c>
      <c r="L13" s="200" t="b">
        <f aca="false">IF(Configuration!$C$19="No","",IFERROR(IF('Patent Portfolio'!AA13&lt;&gt;"",TRUE(),FALSE()),FALSE()))</f>
        <v>1</v>
      </c>
      <c r="M13" s="200" t="b">
        <f aca="false">IF(Configuration!$C$20="No","",IFERROR(IF('Patent Portfolio'!K13&lt;&gt;"",TRUE(),FALSE()),FALSE()))</f>
        <v>1</v>
      </c>
      <c r="N13" s="200" t="b">
        <f aca="false">IF(Configuration!$C$21="No","",IFERROR(IF(OR(N('Patent Portfolio'!O13)&gt;=Configuration!$C$46,N('Patent Portfolio'!P13)&gt;=Configuration!$C$47),TRUE(),FALSE()),FALSE()))</f>
        <v>0</v>
      </c>
      <c r="O13" s="200" t="b">
        <f aca="false">IF(Configuration!$C$22="No","",IFERROR(IF('Patent Portfolio'!X13="Yes",TRUE(),FALSE()),FALSE()))</f>
        <v>1</v>
      </c>
      <c r="P13" s="200" t="b">
        <f aca="false">IF(Configuration!$C$23="No","",IFERROR(IF(N('Patent Portfolio'!R13)&gt;=Configuration!$C$48,TRUE(),FALSE()),FALSE()))</f>
        <v>1</v>
      </c>
      <c r="Q13" s="200" t="b">
        <f aca="false">IF(Configuration!$C$24="No","",IFERROR(IF(N('Patent Portfolio'!U13)&gt;0,TRUE(),FALSE()),FALSE()))</f>
        <v>1</v>
      </c>
      <c r="R13" s="200" t="b">
        <f aca="false">IF(Configuration!$C$25="No","",IFERROR(IF(OR(N('Patent Portfolio'!L13)=3,N('Patent Portfolio'!L13)&lt;=1),TRUE(),FALSE()),FALSE()))</f>
        <v>0</v>
      </c>
      <c r="S13" s="200" t="b">
        <f aca="false">IF(Configuration!$C$26="No","",IFERROR(IF(N('Patent Portfolio'!AB13)&gt;=Configuration!$C$49,TRUE(),FALSE()),FALSE()))</f>
        <v>0</v>
      </c>
      <c r="T13" s="200" t="b">
        <f aca="false">IF(Configuration!$C$27="No","",IFERROR(IF('Patent Portfolio'!Z13&lt;&gt;"",TRUE(),FALSE()),FALSE()))</f>
        <v>0</v>
      </c>
      <c r="U13" s="200" t="b">
        <f aca="false">IF(Configuration!$C$28="No","",IFERROR(IF(N('Patent Portfolio'!Q13)&gt;=Configuration!$C$50,TRUE(),FALSE()),FALSE()))</f>
        <v>0</v>
      </c>
      <c r="V13" s="200" t="b">
        <f aca="false">IF(Configuration!$C$29="No","",IFERROR(IF(AND(N('Patent Portfolio'!N13)&gt;=Configuration!$C$51,'Patent Portfolio'!C13&lt;&gt;""),TRUE(),FALSE()),FALSE()))</f>
        <v>1</v>
      </c>
      <c r="W13" s="200" t="b">
        <f aca="false">IF(Configuration!$C$30="No","",IFERROR(IF(OR('Patent Portfolio'!S13="Pending",'Patent Portfolio'!T13="Yes"),TRUE(),FALSE()),FALSE()))</f>
        <v>1</v>
      </c>
      <c r="X13" s="200" t="b">
        <f aca="false">IF(Configuration!$C$31="No","",IFERROR(IF(AND(N('Patent Portfolio'!AC13)&gt;=Configuration!$C$52,N('Patent Portfolio'!L13)&gt;=1),TRUE(),FALSE()),FALSE()))</f>
        <v>1</v>
      </c>
      <c r="Y13" s="200" t="b">
        <f aca="false">IF(Configuration!$C$32="No","",IFERROR(IF(AND(N('Patent Portfolio'!N13)&gt;=1,OR('Patent Portfolio'!C13&lt;&gt;"",'Patent Portfolio'!I13&lt;&gt;"")),TRUE(),FALSE()),FALSE()))</f>
        <v>1</v>
      </c>
      <c r="Z13" s="200" t="b">
        <f aca="false">IF(Configuration!$C$33="No","",IFERROR(IF('Patent Portfolio'!C13&lt;&gt;"",TRUE(),FALSE()),FALSE()))</f>
        <v>1</v>
      </c>
      <c r="AA13" s="200" t="b">
        <f aca="false">IF(Configuration!$C$34="No","",IFERROR(IF('Patent Portfolio'!T13="Yes",TRUE(),FALSE()),FALSE()))</f>
        <v>1</v>
      </c>
      <c r="AB13" s="200" t="b">
        <f aca="false">IF(Configuration!$C$35="No","",IFERROR(IF(OR('Patent Portfolio'!AK13="Partial",'Patent Portfolio'!AK13="Full"),TRUE(),FALSE()),FALSE()))</f>
        <v>0</v>
      </c>
      <c r="AC13" s="200" t="b">
        <f aca="false">IF(Configuration!$C$36="No","",IFERROR(IF('Patent Portfolio'!AI13="Survived",TRUE(),FALSE()),FALSE()))</f>
        <v>0</v>
      </c>
      <c r="AD13" s="200" t="b">
        <f aca="false">IF(Configuration!$C$37="No","",IFERROR(IF(AND('Patent Portfolio'!AJ13="Clean",'Patent Portfolio'!AL13="None"),TRUE(),FALSE()),FALSE()))</f>
        <v>1</v>
      </c>
      <c r="AE13" s="200" t="b">
        <f aca="false">IF(Configuration!$C$38="No","",IFERROR(IF(N('Patent Portfolio'!AG13)&gt;=Configuration!$C$53,TRUE(),FALSE()),FALSE()))</f>
        <v>1</v>
      </c>
      <c r="AF13" s="200" t="b">
        <f aca="false">IF(Configuration!$C$39="No","",IFERROR(IF(AND(N('Patent Portfolio'!AO13)&gt;=2,N('Patent Portfolio'!AB13)&gt;=2),TRUE(),FALSE()),FALSE()))</f>
        <v>0</v>
      </c>
      <c r="AG13" s="200" t="b">
        <f aca="false">IF(Configuration!$C$40="No","",IFERROR(IF(OR(N('Patent Portfolio'!AC13)&lt;=Configuration!$C$56,N('Patent Portfolio'!U13)&lt;Configuration!$C$57,N('Patent Portfolio'!AD13)&lt;=Configuration!$C$58),TRUE(),FALSE()),FALSE()))</f>
        <v>0</v>
      </c>
      <c r="AH13" s="200" t="b">
        <f aca="false">IF(Configuration!$C$41="No","",IFERROR(IF(AND(N('Patent Portfolio'!U13)&gt;=Configuration!$C$54,N('Patent Portfolio'!U13)&lt;=Configuration!$C$55),TRUE(),FALSE()),FALSE()))</f>
        <v>0</v>
      </c>
      <c r="AI13" s="200" t="b">
        <f aca="false">IF(Configuration!$C$42="No","",IFERROR(IF(AND('Patent Portfolio'!C13&lt;&gt;"",'Patent Portfolio'!F13&lt;&gt;""),TRUE(),FALSE()),FALSE()))</f>
        <v>1</v>
      </c>
      <c r="AJ13" s="198" t="n">
        <f aca="false">COUNTIF(C13:AI13,TRUE())</f>
        <v>19</v>
      </c>
    </row>
    <row r="14" customFormat="false" ht="23.25" hidden="false" customHeight="true" outlineLevel="0" collapsed="false">
      <c r="A14" s="65" t="str">
        <f aca="false">'Patent Portfolio'!A14</f>
        <v>P-012</v>
      </c>
      <c r="B14" s="199" t="str">
        <f aca="false">'Patent Portfolio'!B14</f>
        <v>Predictive maintenance ML for industrial pumps</v>
      </c>
      <c r="C14" s="200" t="b">
        <f aca="false">IF(Configuration!$C$10="No","",IFERROR(IF('Patent Portfolio'!C14&lt;&gt;"",TRUE(),FALSE()),FALSE()))</f>
        <v>1</v>
      </c>
      <c r="D14" s="200" t="b">
        <f aca="false">IF(Configuration!$C$11="No","",IFERROR(IF(AND(N('Patent Portfolio'!H14)&gt;=Configuration!$C$44,'Patent Portfolio'!I14&lt;&gt;""),TRUE(),FALSE()),FALSE()))</f>
        <v>0</v>
      </c>
      <c r="E14" s="200" t="b">
        <f aca="false">IF(Configuration!$C$12="No","",IFERROR(IF('Patent Portfolio'!F14&lt;&gt;"",TRUE(),FALSE()),FALSE()))</f>
        <v>1</v>
      </c>
      <c r="F14" s="200" t="b">
        <f aca="false">IF(Configuration!$C$13="No","",IFERROR(IF('Patent Portfolio'!E14&lt;&gt;"",TRUE(),FALSE()),FALSE()))</f>
        <v>1</v>
      </c>
      <c r="G14" s="200" t="b">
        <f aca="false">IF(Configuration!$C$14="No","",IFERROR(IF('Patent Portfolio'!G14&lt;&gt;"",TRUE(),FALSE()),FALSE()))</f>
        <v>1</v>
      </c>
      <c r="H14" s="200" t="b">
        <f aca="false">IF(Configuration!$C$15="No","",IFERROR(IF(AND(OR(ISNUMBER(SEARCH("process",'Patent Portfolio'!C14)),ISNUMBER(SEARCH("fab",'Patent Portfolio'!C14)),ISNUMBER(SEARCH("manufac",'Patent Portfolio'!C14))),'Patent Portfolio'!K14="Method"),TRUE(),FALSE()),FALSE()))</f>
        <v>0</v>
      </c>
      <c r="I14" s="200" t="b">
        <f aca="false">IF(Configuration!$C$16="No","",IFERROR(IF(AND(OR(ISNUMBER(SEARCH("material",'Patent Portfolio'!C14)),ISNUMBER(SEARCH("chem",'Patent Portfolio'!C14)),ISNUMBER(SEARCH("battery",'Patent Portfolio'!C14)),ISNUMBER(SEARCH("electrolyte",'Patent Portfolio'!C14)),ISNUMBER(SEARCH("polymer",'Patent Portfolio'!C14))),OR('Patent Portfolio'!K14="Apparatus",'Patent Portfolio'!K14="Method")),TRUE(),FALSE()),FALSE()))</f>
        <v>0</v>
      </c>
      <c r="J14" s="200" t="b">
        <f aca="false">IF(Configuration!$C$17="No","",IFERROR(IF(AND(OR('Patent Portfolio'!E14="App",'Patent Portfolio'!E14="Middleware",'Patent Portfolio'!E14="Cloud"),OR('Patent Portfolio'!K14="Method",'Patent Portfolio'!K14="CRM")),TRUE(),FALSE()),FALSE()))</f>
        <v>1</v>
      </c>
      <c r="K14" s="200" t="b">
        <f aca="false">IF(Configuration!$C$18="No","",IFERROR(IF(N('Patent Portfolio'!J14)&gt;=Configuration!$C$45,TRUE(),FALSE()),FALSE()))</f>
        <v>0</v>
      </c>
      <c r="L14" s="200" t="b">
        <f aca="false">IF(Configuration!$C$19="No","",IFERROR(IF('Patent Portfolio'!AA14&lt;&gt;"",TRUE(),FALSE()),FALSE()))</f>
        <v>1</v>
      </c>
      <c r="M14" s="200" t="b">
        <f aca="false">IF(Configuration!$C$20="No","",IFERROR(IF('Patent Portfolio'!K14&lt;&gt;"",TRUE(),FALSE()),FALSE()))</f>
        <v>1</v>
      </c>
      <c r="N14" s="200" t="b">
        <f aca="false">IF(Configuration!$C$21="No","",IFERROR(IF(OR(N('Patent Portfolio'!O14)&gt;=Configuration!$C$46,N('Patent Portfolio'!P14)&gt;=Configuration!$C$47),TRUE(),FALSE()),FALSE()))</f>
        <v>1</v>
      </c>
      <c r="O14" s="200" t="b">
        <f aca="false">IF(Configuration!$C$22="No","",IFERROR(IF('Patent Portfolio'!X14="Yes",TRUE(),FALSE()),FALSE()))</f>
        <v>0</v>
      </c>
      <c r="P14" s="200" t="b">
        <f aca="false">IF(Configuration!$C$23="No","",IFERROR(IF(N('Patent Portfolio'!R14)&gt;=Configuration!$C$48,TRUE(),FALSE()),FALSE()))</f>
        <v>1</v>
      </c>
      <c r="Q14" s="200" t="b">
        <f aca="false">IF(Configuration!$C$24="No","",IFERROR(IF(N('Patent Portfolio'!U14)&gt;0,TRUE(),FALSE()),FALSE()))</f>
        <v>1</v>
      </c>
      <c r="R14" s="200" t="b">
        <f aca="false">IF(Configuration!$C$25="No","",IFERROR(IF(OR(N('Patent Portfolio'!L14)=3,N('Patent Portfolio'!L14)&lt;=1),TRUE(),FALSE()),FALSE()))</f>
        <v>1</v>
      </c>
      <c r="S14" s="200" t="b">
        <f aca="false">IF(Configuration!$C$26="No","",IFERROR(IF(N('Patent Portfolio'!AB14)&gt;=Configuration!$C$49,TRUE(),FALSE()),FALSE()))</f>
        <v>1</v>
      </c>
      <c r="T14" s="200" t="b">
        <f aca="false">IF(Configuration!$C$27="No","",IFERROR(IF('Patent Portfolio'!Z14&lt;&gt;"",TRUE(),FALSE()),FALSE()))</f>
        <v>1</v>
      </c>
      <c r="U14" s="200" t="b">
        <f aca="false">IF(Configuration!$C$28="No","",IFERROR(IF(N('Patent Portfolio'!Q14)&gt;=Configuration!$C$50,TRUE(),FALSE()),FALSE()))</f>
        <v>0</v>
      </c>
      <c r="V14" s="200" t="b">
        <f aca="false">IF(Configuration!$C$29="No","",IFERROR(IF(AND(N('Patent Portfolio'!N14)&gt;=Configuration!$C$51,'Patent Portfolio'!C14&lt;&gt;""),TRUE(),FALSE()),FALSE()))</f>
        <v>0</v>
      </c>
      <c r="W14" s="200" t="b">
        <f aca="false">IF(Configuration!$C$30="No","",IFERROR(IF(OR('Patent Portfolio'!S14="Pending",'Patent Portfolio'!T14="Yes"),TRUE(),FALSE()),FALSE()))</f>
        <v>0</v>
      </c>
      <c r="X14" s="200" t="b">
        <f aca="false">IF(Configuration!$C$31="No","",IFERROR(IF(AND(N('Patent Portfolio'!AC14)&gt;=Configuration!$C$52,N('Patent Portfolio'!L14)&gt;=1),TRUE(),FALSE()),FALSE()))</f>
        <v>0</v>
      </c>
      <c r="Y14" s="200" t="b">
        <f aca="false">IF(Configuration!$C$32="No","",IFERROR(IF(AND(N('Patent Portfolio'!N14)&gt;=1,OR('Patent Portfolio'!C14&lt;&gt;"",'Patent Portfolio'!I14&lt;&gt;"")),TRUE(),FALSE()),FALSE()))</f>
        <v>1</v>
      </c>
      <c r="Z14" s="200" t="b">
        <f aca="false">IF(Configuration!$C$33="No","",IFERROR(IF('Patent Portfolio'!C14&lt;&gt;"",TRUE(),FALSE()),FALSE()))</f>
        <v>1</v>
      </c>
      <c r="AA14" s="200" t="b">
        <f aca="false">IF(Configuration!$C$34="No","",IFERROR(IF('Patent Portfolio'!T14="Yes",TRUE(),FALSE()),FALSE()))</f>
        <v>0</v>
      </c>
      <c r="AB14" s="200" t="b">
        <f aca="false">IF(Configuration!$C$35="No","",IFERROR(IF(OR('Patent Portfolio'!AK14="Partial",'Patent Portfolio'!AK14="Full"),TRUE(),FALSE()),FALSE()))</f>
        <v>0</v>
      </c>
      <c r="AC14" s="200" t="b">
        <f aca="false">IF(Configuration!$C$36="No","",IFERROR(IF('Patent Portfolio'!AI14="Survived",TRUE(),FALSE()),FALSE()))</f>
        <v>0</v>
      </c>
      <c r="AD14" s="200" t="b">
        <f aca="false">IF(Configuration!$C$37="No","",IFERROR(IF(AND('Patent Portfolio'!AJ14="Clean",'Patent Portfolio'!AL14="None"),TRUE(),FALSE()),FALSE()))</f>
        <v>0</v>
      </c>
      <c r="AE14" s="200" t="b">
        <f aca="false">IF(Configuration!$C$38="No","",IFERROR(IF(N('Patent Portfolio'!AG14)&gt;=Configuration!$C$53,TRUE(),FALSE()),FALSE()))</f>
        <v>0</v>
      </c>
      <c r="AF14" s="200" t="b">
        <f aca="false">IF(Configuration!$C$39="No","",IFERROR(IF(AND(N('Patent Portfolio'!AO14)&gt;=2,N('Patent Portfolio'!AB14)&gt;=2),TRUE(),FALSE()),FALSE()))</f>
        <v>1</v>
      </c>
      <c r="AG14" s="200" t="b">
        <f aca="false">IF(Configuration!$C$40="No","",IFERROR(IF(OR(N('Patent Portfolio'!AC14)&lt;=Configuration!$C$56,N('Patent Portfolio'!U14)&lt;Configuration!$C$57,N('Patent Portfolio'!AD14)&lt;=Configuration!$C$58),TRUE(),FALSE()),FALSE()))</f>
        <v>1</v>
      </c>
      <c r="AH14" s="200" t="b">
        <f aca="false">IF(Configuration!$C$41="No","",IFERROR(IF(AND(N('Patent Portfolio'!U14)&gt;=Configuration!$C$54,N('Patent Portfolio'!U14)&lt;=Configuration!$C$55),TRUE(),FALSE()),FALSE()))</f>
        <v>0</v>
      </c>
      <c r="AI14" s="200" t="b">
        <f aca="false">IF(Configuration!$C$42="No","",IFERROR(IF(AND('Patent Portfolio'!C14&lt;&gt;"",'Patent Portfolio'!F14&lt;&gt;""),TRUE(),FALSE()),FALSE()))</f>
        <v>1</v>
      </c>
      <c r="AJ14" s="198" t="n">
        <f aca="false">COUNTIF(C14:AI14,TRUE())</f>
        <v>18</v>
      </c>
    </row>
    <row r="15" customFormat="false" ht="15" hidden="false" customHeight="true" outlineLevel="0" collapsed="false">
      <c r="A15" s="65" t="n">
        <f aca="false">'Patent Portfolio'!A15</f>
        <v>0</v>
      </c>
      <c r="B15" s="199" t="n">
        <f aca="false">'Patent Portfolio'!B15</f>
        <v>0</v>
      </c>
      <c r="C15" s="200" t="b">
        <f aca="false">IF(Configuration!$C$10="No","",IFERROR(IF('Patent Portfolio'!C15&lt;&gt;"",TRUE(),FALSE()),FALSE()))</f>
        <v>0</v>
      </c>
      <c r="D15" s="200" t="b">
        <f aca="false">IF(Configuration!$C$11="No","",IFERROR(IF(AND(N('Patent Portfolio'!H15)&gt;=Configuration!$C$44,'Patent Portfolio'!I15&lt;&gt;""),TRUE(),FALSE()),FALSE()))</f>
        <v>0</v>
      </c>
      <c r="E15" s="200" t="b">
        <f aca="false">IF(Configuration!$C$12="No","",IFERROR(IF('Patent Portfolio'!F15&lt;&gt;"",TRUE(),FALSE()),FALSE()))</f>
        <v>0</v>
      </c>
      <c r="F15" s="200" t="b">
        <f aca="false">IF(Configuration!$C$13="No","",IFERROR(IF('Patent Portfolio'!E15&lt;&gt;"",TRUE(),FALSE()),FALSE()))</f>
        <v>0</v>
      </c>
      <c r="G15" s="200" t="b">
        <f aca="false">IF(Configuration!$C$14="No","",IFERROR(IF('Patent Portfolio'!G15&lt;&gt;"",TRUE(),FALSE()),FALSE()))</f>
        <v>0</v>
      </c>
      <c r="H15" s="200" t="b">
        <f aca="false">IF(Configuration!$C$15="No","",IFERROR(IF(AND(OR(ISNUMBER(SEARCH("process",'Patent Portfolio'!C15)),ISNUMBER(SEARCH("fab",'Patent Portfolio'!C15)),ISNUMBER(SEARCH("manufac",'Patent Portfolio'!C15))),'Patent Portfolio'!K15="Method"),TRUE(),FALSE()),FALSE()))</f>
        <v>0</v>
      </c>
      <c r="I15" s="200" t="b">
        <f aca="false">IF(Configuration!$C$16="No","",IFERROR(IF(AND(OR(ISNUMBER(SEARCH("material",'Patent Portfolio'!C15)),ISNUMBER(SEARCH("chem",'Patent Portfolio'!C15)),ISNUMBER(SEARCH("battery",'Patent Portfolio'!C15)),ISNUMBER(SEARCH("electrolyte",'Patent Portfolio'!C15)),ISNUMBER(SEARCH("polymer",'Patent Portfolio'!C15))),OR('Patent Portfolio'!K15="Apparatus",'Patent Portfolio'!K15="Method")),TRUE(),FALSE()),FALSE()))</f>
        <v>0</v>
      </c>
      <c r="J15" s="200" t="b">
        <f aca="false">IF(Configuration!$C$17="No","",IFERROR(IF(AND(OR('Patent Portfolio'!E15="App",'Patent Portfolio'!E15="Middleware",'Patent Portfolio'!E15="Cloud"),OR('Patent Portfolio'!K15="Method",'Patent Portfolio'!K15="CRM")),TRUE(),FALSE()),FALSE()))</f>
        <v>0</v>
      </c>
      <c r="K15" s="200" t="b">
        <f aca="false">IF(Configuration!$C$18="No","",IFERROR(IF(N('Patent Portfolio'!J15)&gt;=Configuration!$C$45,TRUE(),FALSE()),FALSE()))</f>
        <v>0</v>
      </c>
      <c r="L15" s="200" t="b">
        <f aca="false">IF(Configuration!$C$19="No","",IFERROR(IF('Patent Portfolio'!AA15&lt;&gt;"",TRUE(),FALSE()),FALSE()))</f>
        <v>0</v>
      </c>
      <c r="M15" s="200" t="b">
        <f aca="false">IF(Configuration!$C$20="No","",IFERROR(IF('Patent Portfolio'!K15&lt;&gt;"",TRUE(),FALSE()),FALSE()))</f>
        <v>0</v>
      </c>
      <c r="N15" s="200" t="b">
        <f aca="false">IF(Configuration!$C$21="No","",IFERROR(IF(OR(N('Patent Portfolio'!O15)&gt;=Configuration!$C$46,N('Patent Portfolio'!P15)&gt;=Configuration!$C$47),TRUE(),FALSE()),FALSE()))</f>
        <v>0</v>
      </c>
      <c r="O15" s="200" t="b">
        <f aca="false">IF(Configuration!$C$22="No","",IFERROR(IF('Patent Portfolio'!X15="Yes",TRUE(),FALSE()),FALSE()))</f>
        <v>0</v>
      </c>
      <c r="P15" s="200" t="b">
        <f aca="false">IF(Configuration!$C$23="No","",IFERROR(IF(N('Patent Portfolio'!R15)&gt;=Configuration!$C$48,TRUE(),FALSE()),FALSE()))</f>
        <v>0</v>
      </c>
      <c r="Q15" s="200" t="b">
        <f aca="false">IF(Configuration!$C$24="No","",IFERROR(IF(N('Patent Portfolio'!U15)&gt;0,TRUE(),FALSE()),FALSE()))</f>
        <v>0</v>
      </c>
      <c r="R15" s="200" t="b">
        <f aca="false">IF(Configuration!$C$25="No","",IFERROR(IF(OR(N('Patent Portfolio'!L15)=3,N('Patent Portfolio'!L15)&lt;=1),TRUE(),FALSE()),FALSE()))</f>
        <v>1</v>
      </c>
      <c r="S15" s="200" t="b">
        <f aca="false">IF(Configuration!$C$26="No","",IFERROR(IF(N('Patent Portfolio'!AB15)&gt;=Configuration!$C$49,TRUE(),FALSE()),FALSE()))</f>
        <v>0</v>
      </c>
      <c r="T15" s="200" t="b">
        <f aca="false">IF(Configuration!$C$27="No","",IFERROR(IF('Patent Portfolio'!Z15&lt;&gt;"",TRUE(),FALSE()),FALSE()))</f>
        <v>0</v>
      </c>
      <c r="U15" s="200" t="b">
        <f aca="false">IF(Configuration!$C$28="No","",IFERROR(IF(N('Patent Portfolio'!Q15)&gt;=Configuration!$C$50,TRUE(),FALSE()),FALSE()))</f>
        <v>0</v>
      </c>
      <c r="V15" s="200" t="b">
        <f aca="false">IF(Configuration!$C$29="No","",IFERROR(IF(AND(N('Patent Portfolio'!N15)&gt;=Configuration!$C$51,'Patent Portfolio'!C15&lt;&gt;""),TRUE(),FALSE()),FALSE()))</f>
        <v>0</v>
      </c>
      <c r="W15" s="200" t="b">
        <f aca="false">IF(Configuration!$C$30="No","",IFERROR(IF(OR('Patent Portfolio'!S15="Pending",'Patent Portfolio'!T15="Yes"),TRUE(),FALSE()),FALSE()))</f>
        <v>0</v>
      </c>
      <c r="X15" s="200" t="b">
        <f aca="false">IF(Configuration!$C$31="No","",IFERROR(IF(AND(N('Patent Portfolio'!AC15)&gt;=Configuration!$C$52,N('Patent Portfolio'!L15)&gt;=1),TRUE(),FALSE()),FALSE()))</f>
        <v>0</v>
      </c>
      <c r="Y15" s="200" t="b">
        <f aca="false">IF(Configuration!$C$32="No","",IFERROR(IF(AND(N('Patent Portfolio'!N15)&gt;=1,OR('Patent Portfolio'!C15&lt;&gt;"",'Patent Portfolio'!I15&lt;&gt;"")),TRUE(),FALSE()),FALSE()))</f>
        <v>0</v>
      </c>
      <c r="Z15" s="200" t="b">
        <f aca="false">IF(Configuration!$C$33="No","",IFERROR(IF('Patent Portfolio'!C15&lt;&gt;"",TRUE(),FALSE()),FALSE()))</f>
        <v>0</v>
      </c>
      <c r="AA15" s="200" t="b">
        <f aca="false">IF(Configuration!$C$34="No","",IFERROR(IF('Patent Portfolio'!T15="Yes",TRUE(),FALSE()),FALSE()))</f>
        <v>0</v>
      </c>
      <c r="AB15" s="200" t="b">
        <f aca="false">IF(Configuration!$C$35="No","",IFERROR(IF(OR('Patent Portfolio'!AK15="Partial",'Patent Portfolio'!AK15="Full"),TRUE(),FALSE()),FALSE()))</f>
        <v>0</v>
      </c>
      <c r="AC15" s="200" t="b">
        <f aca="false">IF(Configuration!$C$36="No","",IFERROR(IF('Patent Portfolio'!AI15="Survived",TRUE(),FALSE()),FALSE()))</f>
        <v>0</v>
      </c>
      <c r="AD15" s="200" t="b">
        <f aca="false">IF(Configuration!$C$37="No","",IFERROR(IF(AND('Patent Portfolio'!AJ15="Clean",'Patent Portfolio'!AL15="None"),TRUE(),FALSE()),FALSE()))</f>
        <v>0</v>
      </c>
      <c r="AE15" s="200" t="b">
        <f aca="false">IF(Configuration!$C$38="No","",IFERROR(IF(N('Patent Portfolio'!AG15)&gt;=Configuration!$C$53,TRUE(),FALSE()),FALSE()))</f>
        <v>0</v>
      </c>
      <c r="AF15" s="200" t="b">
        <f aca="false">IF(Configuration!$C$39="No","",IFERROR(IF(AND(N('Patent Portfolio'!AO15)&gt;=2,N('Patent Portfolio'!AB15)&gt;=2),TRUE(),FALSE()),FALSE()))</f>
        <v>0</v>
      </c>
      <c r="AG15" s="200" t="b">
        <f aca="false">IF(Configuration!$C$40="No","",IFERROR(IF(OR(N('Patent Portfolio'!AC15)&lt;=Configuration!$C$56,N('Patent Portfolio'!U15)&lt;Configuration!$C$57,N('Patent Portfolio'!AD15)&lt;=Configuration!$C$58),TRUE(),FALSE()),FALSE()))</f>
        <v>1</v>
      </c>
      <c r="AH15" s="200" t="b">
        <f aca="false">IF(Configuration!$C$41="No","",IFERROR(IF(AND(N('Patent Portfolio'!U15)&gt;=Configuration!$C$54,N('Patent Portfolio'!U15)&lt;=Configuration!$C$55),TRUE(),FALSE()),FALSE()))</f>
        <v>0</v>
      </c>
      <c r="AI15" s="200" t="b">
        <f aca="false">IF(Configuration!$C$42="No","",IFERROR(IF(AND('Patent Portfolio'!C15&lt;&gt;"",'Patent Portfolio'!F15&lt;&gt;""),TRUE(),FALSE()),FALSE()))</f>
        <v>0</v>
      </c>
      <c r="AJ15" s="198" t="n">
        <f aca="false">COUNTIF(C15:AI15,TRUE())</f>
        <v>2</v>
      </c>
    </row>
    <row r="16" customFormat="false" ht="15" hidden="false" customHeight="true" outlineLevel="0" collapsed="false">
      <c r="A16" s="65" t="n">
        <f aca="false">'Patent Portfolio'!A16</f>
        <v>0</v>
      </c>
      <c r="B16" s="199" t="n">
        <f aca="false">'Patent Portfolio'!B16</f>
        <v>0</v>
      </c>
      <c r="C16" s="200" t="b">
        <f aca="false">IF(Configuration!$C$10="No","",IFERROR(IF('Patent Portfolio'!C16&lt;&gt;"",TRUE(),FALSE()),FALSE()))</f>
        <v>0</v>
      </c>
      <c r="D16" s="200" t="b">
        <f aca="false">IF(Configuration!$C$11="No","",IFERROR(IF(AND(N('Patent Portfolio'!H16)&gt;=Configuration!$C$44,'Patent Portfolio'!I16&lt;&gt;""),TRUE(),FALSE()),FALSE()))</f>
        <v>0</v>
      </c>
      <c r="E16" s="200" t="b">
        <f aca="false">IF(Configuration!$C$12="No","",IFERROR(IF('Patent Portfolio'!F16&lt;&gt;"",TRUE(),FALSE()),FALSE()))</f>
        <v>0</v>
      </c>
      <c r="F16" s="200" t="b">
        <f aca="false">IF(Configuration!$C$13="No","",IFERROR(IF('Patent Portfolio'!E16&lt;&gt;"",TRUE(),FALSE()),FALSE()))</f>
        <v>0</v>
      </c>
      <c r="G16" s="200" t="b">
        <f aca="false">IF(Configuration!$C$14="No","",IFERROR(IF('Patent Portfolio'!G16&lt;&gt;"",TRUE(),FALSE()),FALSE()))</f>
        <v>0</v>
      </c>
      <c r="H16" s="200" t="b">
        <f aca="false">IF(Configuration!$C$15="No","",IFERROR(IF(AND(OR(ISNUMBER(SEARCH("process",'Patent Portfolio'!C16)),ISNUMBER(SEARCH("fab",'Patent Portfolio'!C16)),ISNUMBER(SEARCH("manufac",'Patent Portfolio'!C16))),'Patent Portfolio'!K16="Method"),TRUE(),FALSE()),FALSE()))</f>
        <v>0</v>
      </c>
      <c r="I16" s="200" t="b">
        <f aca="false">IF(Configuration!$C$16="No","",IFERROR(IF(AND(OR(ISNUMBER(SEARCH("material",'Patent Portfolio'!C16)),ISNUMBER(SEARCH("chem",'Patent Portfolio'!C16)),ISNUMBER(SEARCH("battery",'Patent Portfolio'!C16)),ISNUMBER(SEARCH("electrolyte",'Patent Portfolio'!C16)),ISNUMBER(SEARCH("polymer",'Patent Portfolio'!C16))),OR('Patent Portfolio'!K16="Apparatus",'Patent Portfolio'!K16="Method")),TRUE(),FALSE()),FALSE()))</f>
        <v>0</v>
      </c>
      <c r="J16" s="200" t="b">
        <f aca="false">IF(Configuration!$C$17="No","",IFERROR(IF(AND(OR('Patent Portfolio'!E16="App",'Patent Portfolio'!E16="Middleware",'Patent Portfolio'!E16="Cloud"),OR('Patent Portfolio'!K16="Method",'Patent Portfolio'!K16="CRM")),TRUE(),FALSE()),FALSE()))</f>
        <v>0</v>
      </c>
      <c r="K16" s="200" t="b">
        <f aca="false">IF(Configuration!$C$18="No","",IFERROR(IF(N('Patent Portfolio'!J16)&gt;=Configuration!$C$45,TRUE(),FALSE()),FALSE()))</f>
        <v>0</v>
      </c>
      <c r="L16" s="200" t="b">
        <f aca="false">IF(Configuration!$C$19="No","",IFERROR(IF('Patent Portfolio'!AA16&lt;&gt;"",TRUE(),FALSE()),FALSE()))</f>
        <v>0</v>
      </c>
      <c r="M16" s="200" t="b">
        <f aca="false">IF(Configuration!$C$20="No","",IFERROR(IF('Patent Portfolio'!K16&lt;&gt;"",TRUE(),FALSE()),FALSE()))</f>
        <v>0</v>
      </c>
      <c r="N16" s="200" t="b">
        <f aca="false">IF(Configuration!$C$21="No","",IFERROR(IF(OR(N('Patent Portfolio'!O16)&gt;=Configuration!$C$46,N('Patent Portfolio'!P16)&gt;=Configuration!$C$47),TRUE(),FALSE()),FALSE()))</f>
        <v>0</v>
      </c>
      <c r="O16" s="200" t="b">
        <f aca="false">IF(Configuration!$C$22="No","",IFERROR(IF('Patent Portfolio'!X16="Yes",TRUE(),FALSE()),FALSE()))</f>
        <v>0</v>
      </c>
      <c r="P16" s="200" t="b">
        <f aca="false">IF(Configuration!$C$23="No","",IFERROR(IF(N('Patent Portfolio'!R16)&gt;=Configuration!$C$48,TRUE(),FALSE()),FALSE()))</f>
        <v>0</v>
      </c>
      <c r="Q16" s="200" t="b">
        <f aca="false">IF(Configuration!$C$24="No","",IFERROR(IF(N('Patent Portfolio'!U16)&gt;0,TRUE(),FALSE()),FALSE()))</f>
        <v>0</v>
      </c>
      <c r="R16" s="200" t="b">
        <f aca="false">IF(Configuration!$C$25="No","",IFERROR(IF(OR(N('Patent Portfolio'!L16)=3,N('Patent Portfolio'!L16)&lt;=1),TRUE(),FALSE()),FALSE()))</f>
        <v>1</v>
      </c>
      <c r="S16" s="200" t="b">
        <f aca="false">IF(Configuration!$C$26="No","",IFERROR(IF(N('Patent Portfolio'!AB16)&gt;=Configuration!$C$49,TRUE(),FALSE()),FALSE()))</f>
        <v>0</v>
      </c>
      <c r="T16" s="200" t="b">
        <f aca="false">IF(Configuration!$C$27="No","",IFERROR(IF('Patent Portfolio'!Z16&lt;&gt;"",TRUE(),FALSE()),FALSE()))</f>
        <v>0</v>
      </c>
      <c r="U16" s="200" t="b">
        <f aca="false">IF(Configuration!$C$28="No","",IFERROR(IF(N('Patent Portfolio'!Q16)&gt;=Configuration!$C$50,TRUE(),FALSE()),FALSE()))</f>
        <v>0</v>
      </c>
      <c r="V16" s="200" t="b">
        <f aca="false">IF(Configuration!$C$29="No","",IFERROR(IF(AND(N('Patent Portfolio'!N16)&gt;=Configuration!$C$51,'Patent Portfolio'!C16&lt;&gt;""),TRUE(),FALSE()),FALSE()))</f>
        <v>0</v>
      </c>
      <c r="W16" s="200" t="b">
        <f aca="false">IF(Configuration!$C$30="No","",IFERROR(IF(OR('Patent Portfolio'!S16="Pending",'Patent Portfolio'!T16="Yes"),TRUE(),FALSE()),FALSE()))</f>
        <v>0</v>
      </c>
      <c r="X16" s="200" t="b">
        <f aca="false">IF(Configuration!$C$31="No","",IFERROR(IF(AND(N('Patent Portfolio'!AC16)&gt;=Configuration!$C$52,N('Patent Portfolio'!L16)&gt;=1),TRUE(),FALSE()),FALSE()))</f>
        <v>0</v>
      </c>
      <c r="Y16" s="200" t="b">
        <f aca="false">IF(Configuration!$C$32="No","",IFERROR(IF(AND(N('Patent Portfolio'!N16)&gt;=1,OR('Patent Portfolio'!C16&lt;&gt;"",'Patent Portfolio'!I16&lt;&gt;"")),TRUE(),FALSE()),FALSE()))</f>
        <v>0</v>
      </c>
      <c r="Z16" s="200" t="b">
        <f aca="false">IF(Configuration!$C$33="No","",IFERROR(IF('Patent Portfolio'!C16&lt;&gt;"",TRUE(),FALSE()),FALSE()))</f>
        <v>0</v>
      </c>
      <c r="AA16" s="200" t="b">
        <f aca="false">IF(Configuration!$C$34="No","",IFERROR(IF('Patent Portfolio'!T16="Yes",TRUE(),FALSE()),FALSE()))</f>
        <v>0</v>
      </c>
      <c r="AB16" s="200" t="b">
        <f aca="false">IF(Configuration!$C$35="No","",IFERROR(IF(OR('Patent Portfolio'!AK16="Partial",'Patent Portfolio'!AK16="Full"),TRUE(),FALSE()),FALSE()))</f>
        <v>0</v>
      </c>
      <c r="AC16" s="200" t="b">
        <f aca="false">IF(Configuration!$C$36="No","",IFERROR(IF('Patent Portfolio'!AI16="Survived",TRUE(),FALSE()),FALSE()))</f>
        <v>0</v>
      </c>
      <c r="AD16" s="200" t="b">
        <f aca="false">IF(Configuration!$C$37="No","",IFERROR(IF(AND('Patent Portfolio'!AJ16="Clean",'Patent Portfolio'!AL16="None"),TRUE(),FALSE()),FALSE()))</f>
        <v>0</v>
      </c>
      <c r="AE16" s="200" t="b">
        <f aca="false">IF(Configuration!$C$38="No","",IFERROR(IF(N('Patent Portfolio'!AG16)&gt;=Configuration!$C$53,TRUE(),FALSE()),FALSE()))</f>
        <v>0</v>
      </c>
      <c r="AF16" s="200" t="b">
        <f aca="false">IF(Configuration!$C$39="No","",IFERROR(IF(AND(N('Patent Portfolio'!AO16)&gt;=2,N('Patent Portfolio'!AB16)&gt;=2),TRUE(),FALSE()),FALSE()))</f>
        <v>0</v>
      </c>
      <c r="AG16" s="200" t="b">
        <f aca="false">IF(Configuration!$C$40="No","",IFERROR(IF(OR(N('Patent Portfolio'!AC16)&lt;=Configuration!$C$56,N('Patent Portfolio'!U16)&lt;Configuration!$C$57,N('Patent Portfolio'!AD16)&lt;=Configuration!$C$58),TRUE(),FALSE()),FALSE()))</f>
        <v>1</v>
      </c>
      <c r="AH16" s="200" t="b">
        <f aca="false">IF(Configuration!$C$41="No","",IFERROR(IF(AND(N('Patent Portfolio'!U16)&gt;=Configuration!$C$54,N('Patent Portfolio'!U16)&lt;=Configuration!$C$55),TRUE(),FALSE()),FALSE()))</f>
        <v>0</v>
      </c>
      <c r="AI16" s="200" t="b">
        <f aca="false">IF(Configuration!$C$42="No","",IFERROR(IF(AND('Patent Portfolio'!C16&lt;&gt;"",'Patent Portfolio'!F16&lt;&gt;""),TRUE(),FALSE()),FALSE()))</f>
        <v>0</v>
      </c>
      <c r="AJ16" s="198" t="n">
        <f aca="false">COUNTIF(C16:AI16,TRUE())</f>
        <v>2</v>
      </c>
    </row>
    <row r="17" customFormat="false" ht="15" hidden="false" customHeight="true" outlineLevel="0" collapsed="false">
      <c r="A17" s="65" t="n">
        <f aca="false">'Patent Portfolio'!A17</f>
        <v>0</v>
      </c>
      <c r="B17" s="199" t="n">
        <f aca="false">'Patent Portfolio'!B17</f>
        <v>0</v>
      </c>
      <c r="C17" s="200" t="b">
        <f aca="false">IF(Configuration!$C$10="No","",IFERROR(IF('Patent Portfolio'!C17&lt;&gt;"",TRUE(),FALSE()),FALSE()))</f>
        <v>0</v>
      </c>
      <c r="D17" s="200" t="b">
        <f aca="false">IF(Configuration!$C$11="No","",IFERROR(IF(AND(N('Patent Portfolio'!H17)&gt;=Configuration!$C$44,'Patent Portfolio'!I17&lt;&gt;""),TRUE(),FALSE()),FALSE()))</f>
        <v>0</v>
      </c>
      <c r="E17" s="200" t="b">
        <f aca="false">IF(Configuration!$C$12="No","",IFERROR(IF('Patent Portfolio'!F17&lt;&gt;"",TRUE(),FALSE()),FALSE()))</f>
        <v>0</v>
      </c>
      <c r="F17" s="200" t="b">
        <f aca="false">IF(Configuration!$C$13="No","",IFERROR(IF('Patent Portfolio'!E17&lt;&gt;"",TRUE(),FALSE()),FALSE()))</f>
        <v>0</v>
      </c>
      <c r="G17" s="200" t="b">
        <f aca="false">IF(Configuration!$C$14="No","",IFERROR(IF('Patent Portfolio'!G17&lt;&gt;"",TRUE(),FALSE()),FALSE()))</f>
        <v>0</v>
      </c>
      <c r="H17" s="200" t="b">
        <f aca="false">IF(Configuration!$C$15="No","",IFERROR(IF(AND(OR(ISNUMBER(SEARCH("process",'Patent Portfolio'!C17)),ISNUMBER(SEARCH("fab",'Patent Portfolio'!C17)),ISNUMBER(SEARCH("manufac",'Patent Portfolio'!C17))),'Patent Portfolio'!K17="Method"),TRUE(),FALSE()),FALSE()))</f>
        <v>0</v>
      </c>
      <c r="I17" s="200" t="b">
        <f aca="false">IF(Configuration!$C$16="No","",IFERROR(IF(AND(OR(ISNUMBER(SEARCH("material",'Patent Portfolio'!C17)),ISNUMBER(SEARCH("chem",'Patent Portfolio'!C17)),ISNUMBER(SEARCH("battery",'Patent Portfolio'!C17)),ISNUMBER(SEARCH("electrolyte",'Patent Portfolio'!C17)),ISNUMBER(SEARCH("polymer",'Patent Portfolio'!C17))),OR('Patent Portfolio'!K17="Apparatus",'Patent Portfolio'!K17="Method")),TRUE(),FALSE()),FALSE()))</f>
        <v>0</v>
      </c>
      <c r="J17" s="200" t="b">
        <f aca="false">IF(Configuration!$C$17="No","",IFERROR(IF(AND(OR('Patent Portfolio'!E17="App",'Patent Portfolio'!E17="Middleware",'Patent Portfolio'!E17="Cloud"),OR('Patent Portfolio'!K17="Method",'Patent Portfolio'!K17="CRM")),TRUE(),FALSE()),FALSE()))</f>
        <v>0</v>
      </c>
      <c r="K17" s="200" t="b">
        <f aca="false">IF(Configuration!$C$18="No","",IFERROR(IF(N('Patent Portfolio'!J17)&gt;=Configuration!$C$45,TRUE(),FALSE()),FALSE()))</f>
        <v>0</v>
      </c>
      <c r="L17" s="200" t="b">
        <f aca="false">IF(Configuration!$C$19="No","",IFERROR(IF('Patent Portfolio'!AA17&lt;&gt;"",TRUE(),FALSE()),FALSE()))</f>
        <v>0</v>
      </c>
      <c r="M17" s="200" t="b">
        <f aca="false">IF(Configuration!$C$20="No","",IFERROR(IF('Patent Portfolio'!K17&lt;&gt;"",TRUE(),FALSE()),FALSE()))</f>
        <v>0</v>
      </c>
      <c r="N17" s="200" t="b">
        <f aca="false">IF(Configuration!$C$21="No","",IFERROR(IF(OR(N('Patent Portfolio'!O17)&gt;=Configuration!$C$46,N('Patent Portfolio'!P17)&gt;=Configuration!$C$47),TRUE(),FALSE()),FALSE()))</f>
        <v>0</v>
      </c>
      <c r="O17" s="200" t="b">
        <f aca="false">IF(Configuration!$C$22="No","",IFERROR(IF('Patent Portfolio'!X17="Yes",TRUE(),FALSE()),FALSE()))</f>
        <v>0</v>
      </c>
      <c r="P17" s="200" t="b">
        <f aca="false">IF(Configuration!$C$23="No","",IFERROR(IF(N('Patent Portfolio'!R17)&gt;=Configuration!$C$48,TRUE(),FALSE()),FALSE()))</f>
        <v>0</v>
      </c>
      <c r="Q17" s="200" t="b">
        <f aca="false">IF(Configuration!$C$24="No","",IFERROR(IF(N('Patent Portfolio'!U17)&gt;0,TRUE(),FALSE()),FALSE()))</f>
        <v>0</v>
      </c>
      <c r="R17" s="200" t="b">
        <f aca="false">IF(Configuration!$C$25="No","",IFERROR(IF(OR(N('Patent Portfolio'!L17)=3,N('Patent Portfolio'!L17)&lt;=1),TRUE(),FALSE()),FALSE()))</f>
        <v>1</v>
      </c>
      <c r="S17" s="200" t="b">
        <f aca="false">IF(Configuration!$C$26="No","",IFERROR(IF(N('Patent Portfolio'!AB17)&gt;=Configuration!$C$49,TRUE(),FALSE()),FALSE()))</f>
        <v>0</v>
      </c>
      <c r="T17" s="200" t="b">
        <f aca="false">IF(Configuration!$C$27="No","",IFERROR(IF('Patent Portfolio'!Z17&lt;&gt;"",TRUE(),FALSE()),FALSE()))</f>
        <v>0</v>
      </c>
      <c r="U17" s="200" t="b">
        <f aca="false">IF(Configuration!$C$28="No","",IFERROR(IF(N('Patent Portfolio'!Q17)&gt;=Configuration!$C$50,TRUE(),FALSE()),FALSE()))</f>
        <v>0</v>
      </c>
      <c r="V17" s="200" t="b">
        <f aca="false">IF(Configuration!$C$29="No","",IFERROR(IF(AND(N('Patent Portfolio'!N17)&gt;=Configuration!$C$51,'Patent Portfolio'!C17&lt;&gt;""),TRUE(),FALSE()),FALSE()))</f>
        <v>0</v>
      </c>
      <c r="W17" s="200" t="b">
        <f aca="false">IF(Configuration!$C$30="No","",IFERROR(IF(OR('Patent Portfolio'!S17="Pending",'Patent Portfolio'!T17="Yes"),TRUE(),FALSE()),FALSE()))</f>
        <v>0</v>
      </c>
      <c r="X17" s="200" t="b">
        <f aca="false">IF(Configuration!$C$31="No","",IFERROR(IF(AND(N('Patent Portfolio'!AC17)&gt;=Configuration!$C$52,N('Patent Portfolio'!L17)&gt;=1),TRUE(),FALSE()),FALSE()))</f>
        <v>0</v>
      </c>
      <c r="Y17" s="200" t="b">
        <f aca="false">IF(Configuration!$C$32="No","",IFERROR(IF(AND(N('Patent Portfolio'!N17)&gt;=1,OR('Patent Portfolio'!C17&lt;&gt;"",'Patent Portfolio'!I17&lt;&gt;"")),TRUE(),FALSE()),FALSE()))</f>
        <v>0</v>
      </c>
      <c r="Z17" s="200" t="b">
        <f aca="false">IF(Configuration!$C$33="No","",IFERROR(IF('Patent Portfolio'!C17&lt;&gt;"",TRUE(),FALSE()),FALSE()))</f>
        <v>0</v>
      </c>
      <c r="AA17" s="200" t="b">
        <f aca="false">IF(Configuration!$C$34="No","",IFERROR(IF('Patent Portfolio'!T17="Yes",TRUE(),FALSE()),FALSE()))</f>
        <v>0</v>
      </c>
      <c r="AB17" s="200" t="b">
        <f aca="false">IF(Configuration!$C$35="No","",IFERROR(IF(OR('Patent Portfolio'!AK17="Partial",'Patent Portfolio'!AK17="Full"),TRUE(),FALSE()),FALSE()))</f>
        <v>0</v>
      </c>
      <c r="AC17" s="200" t="b">
        <f aca="false">IF(Configuration!$C$36="No","",IFERROR(IF('Patent Portfolio'!AI17="Survived",TRUE(),FALSE()),FALSE()))</f>
        <v>0</v>
      </c>
      <c r="AD17" s="200" t="b">
        <f aca="false">IF(Configuration!$C$37="No","",IFERROR(IF(AND('Patent Portfolio'!AJ17="Clean",'Patent Portfolio'!AL17="None"),TRUE(),FALSE()),FALSE()))</f>
        <v>0</v>
      </c>
      <c r="AE17" s="200" t="b">
        <f aca="false">IF(Configuration!$C$38="No","",IFERROR(IF(N('Patent Portfolio'!AG17)&gt;=Configuration!$C$53,TRUE(),FALSE()),FALSE()))</f>
        <v>0</v>
      </c>
      <c r="AF17" s="200" t="b">
        <f aca="false">IF(Configuration!$C$39="No","",IFERROR(IF(AND(N('Patent Portfolio'!AO17)&gt;=2,N('Patent Portfolio'!AB17)&gt;=2),TRUE(),FALSE()),FALSE()))</f>
        <v>0</v>
      </c>
      <c r="AG17" s="200" t="b">
        <f aca="false">IF(Configuration!$C$40="No","",IFERROR(IF(OR(N('Patent Portfolio'!AC17)&lt;=Configuration!$C$56,N('Patent Portfolio'!U17)&lt;Configuration!$C$57,N('Patent Portfolio'!AD17)&lt;=Configuration!$C$58),TRUE(),FALSE()),FALSE()))</f>
        <v>1</v>
      </c>
      <c r="AH17" s="200" t="b">
        <f aca="false">IF(Configuration!$C$41="No","",IFERROR(IF(AND(N('Patent Portfolio'!U17)&gt;=Configuration!$C$54,N('Patent Portfolio'!U17)&lt;=Configuration!$C$55),TRUE(),FALSE()),FALSE()))</f>
        <v>0</v>
      </c>
      <c r="AI17" s="200" t="b">
        <f aca="false">IF(Configuration!$C$42="No","",IFERROR(IF(AND('Patent Portfolio'!C17&lt;&gt;"",'Patent Portfolio'!F17&lt;&gt;""),TRUE(),FALSE()),FALSE()))</f>
        <v>0</v>
      </c>
      <c r="AJ17" s="198" t="n">
        <f aca="false">COUNTIF(C17:AI17,TRUE())</f>
        <v>2</v>
      </c>
    </row>
    <row r="18" customFormat="false" ht="15" hidden="false" customHeight="true" outlineLevel="0" collapsed="false">
      <c r="A18" s="65" t="n">
        <f aca="false">'Patent Portfolio'!A18</f>
        <v>0</v>
      </c>
      <c r="B18" s="199" t="n">
        <f aca="false">'Patent Portfolio'!B18</f>
        <v>0</v>
      </c>
      <c r="C18" s="200" t="b">
        <f aca="false">IF(Configuration!$C$10="No","",IFERROR(IF('Patent Portfolio'!C18&lt;&gt;"",TRUE(),FALSE()),FALSE()))</f>
        <v>0</v>
      </c>
      <c r="D18" s="200" t="b">
        <f aca="false">IF(Configuration!$C$11="No","",IFERROR(IF(AND(N('Patent Portfolio'!H18)&gt;=Configuration!$C$44,'Patent Portfolio'!I18&lt;&gt;""),TRUE(),FALSE()),FALSE()))</f>
        <v>0</v>
      </c>
      <c r="E18" s="200" t="b">
        <f aca="false">IF(Configuration!$C$12="No","",IFERROR(IF('Patent Portfolio'!F18&lt;&gt;"",TRUE(),FALSE()),FALSE()))</f>
        <v>0</v>
      </c>
      <c r="F18" s="200" t="b">
        <f aca="false">IF(Configuration!$C$13="No","",IFERROR(IF('Patent Portfolio'!E18&lt;&gt;"",TRUE(),FALSE()),FALSE()))</f>
        <v>0</v>
      </c>
      <c r="G18" s="200" t="b">
        <f aca="false">IF(Configuration!$C$14="No","",IFERROR(IF('Patent Portfolio'!G18&lt;&gt;"",TRUE(),FALSE()),FALSE()))</f>
        <v>0</v>
      </c>
      <c r="H18" s="200" t="b">
        <f aca="false">IF(Configuration!$C$15="No","",IFERROR(IF(AND(OR(ISNUMBER(SEARCH("process",'Patent Portfolio'!C18)),ISNUMBER(SEARCH("fab",'Patent Portfolio'!C18)),ISNUMBER(SEARCH("manufac",'Patent Portfolio'!C18))),'Patent Portfolio'!K18="Method"),TRUE(),FALSE()),FALSE()))</f>
        <v>0</v>
      </c>
      <c r="I18" s="200" t="b">
        <f aca="false">IF(Configuration!$C$16="No","",IFERROR(IF(AND(OR(ISNUMBER(SEARCH("material",'Patent Portfolio'!C18)),ISNUMBER(SEARCH("chem",'Patent Portfolio'!C18)),ISNUMBER(SEARCH("battery",'Patent Portfolio'!C18)),ISNUMBER(SEARCH("electrolyte",'Patent Portfolio'!C18)),ISNUMBER(SEARCH("polymer",'Patent Portfolio'!C18))),OR('Patent Portfolio'!K18="Apparatus",'Patent Portfolio'!K18="Method")),TRUE(),FALSE()),FALSE()))</f>
        <v>0</v>
      </c>
      <c r="J18" s="200" t="b">
        <f aca="false">IF(Configuration!$C$17="No","",IFERROR(IF(AND(OR('Patent Portfolio'!E18="App",'Patent Portfolio'!E18="Middleware",'Patent Portfolio'!E18="Cloud"),OR('Patent Portfolio'!K18="Method",'Patent Portfolio'!K18="CRM")),TRUE(),FALSE()),FALSE()))</f>
        <v>0</v>
      </c>
      <c r="K18" s="200" t="b">
        <f aca="false">IF(Configuration!$C$18="No","",IFERROR(IF(N('Patent Portfolio'!J18)&gt;=Configuration!$C$45,TRUE(),FALSE()),FALSE()))</f>
        <v>0</v>
      </c>
      <c r="L18" s="200" t="b">
        <f aca="false">IF(Configuration!$C$19="No","",IFERROR(IF('Patent Portfolio'!AA18&lt;&gt;"",TRUE(),FALSE()),FALSE()))</f>
        <v>0</v>
      </c>
      <c r="M18" s="200" t="b">
        <f aca="false">IF(Configuration!$C$20="No","",IFERROR(IF('Patent Portfolio'!K18&lt;&gt;"",TRUE(),FALSE()),FALSE()))</f>
        <v>0</v>
      </c>
      <c r="N18" s="200" t="b">
        <f aca="false">IF(Configuration!$C$21="No","",IFERROR(IF(OR(N('Patent Portfolio'!O18)&gt;=Configuration!$C$46,N('Patent Portfolio'!P18)&gt;=Configuration!$C$47),TRUE(),FALSE()),FALSE()))</f>
        <v>0</v>
      </c>
      <c r="O18" s="200" t="b">
        <f aca="false">IF(Configuration!$C$22="No","",IFERROR(IF('Patent Portfolio'!X18="Yes",TRUE(),FALSE()),FALSE()))</f>
        <v>0</v>
      </c>
      <c r="P18" s="200" t="b">
        <f aca="false">IF(Configuration!$C$23="No","",IFERROR(IF(N('Patent Portfolio'!R18)&gt;=Configuration!$C$48,TRUE(),FALSE()),FALSE()))</f>
        <v>0</v>
      </c>
      <c r="Q18" s="200" t="b">
        <f aca="false">IF(Configuration!$C$24="No","",IFERROR(IF(N('Patent Portfolio'!U18)&gt;0,TRUE(),FALSE()),FALSE()))</f>
        <v>0</v>
      </c>
      <c r="R18" s="200" t="b">
        <f aca="false">IF(Configuration!$C$25="No","",IFERROR(IF(OR(N('Patent Portfolio'!L18)=3,N('Patent Portfolio'!L18)&lt;=1),TRUE(),FALSE()),FALSE()))</f>
        <v>1</v>
      </c>
      <c r="S18" s="200" t="b">
        <f aca="false">IF(Configuration!$C$26="No","",IFERROR(IF(N('Patent Portfolio'!AB18)&gt;=Configuration!$C$49,TRUE(),FALSE()),FALSE()))</f>
        <v>0</v>
      </c>
      <c r="T18" s="200" t="b">
        <f aca="false">IF(Configuration!$C$27="No","",IFERROR(IF('Patent Portfolio'!Z18&lt;&gt;"",TRUE(),FALSE()),FALSE()))</f>
        <v>0</v>
      </c>
      <c r="U18" s="200" t="b">
        <f aca="false">IF(Configuration!$C$28="No","",IFERROR(IF(N('Patent Portfolio'!Q18)&gt;=Configuration!$C$50,TRUE(),FALSE()),FALSE()))</f>
        <v>0</v>
      </c>
      <c r="V18" s="200" t="b">
        <f aca="false">IF(Configuration!$C$29="No","",IFERROR(IF(AND(N('Patent Portfolio'!N18)&gt;=Configuration!$C$51,'Patent Portfolio'!C18&lt;&gt;""),TRUE(),FALSE()),FALSE()))</f>
        <v>0</v>
      </c>
      <c r="W18" s="200" t="b">
        <f aca="false">IF(Configuration!$C$30="No","",IFERROR(IF(OR('Patent Portfolio'!S18="Pending",'Patent Portfolio'!T18="Yes"),TRUE(),FALSE()),FALSE()))</f>
        <v>0</v>
      </c>
      <c r="X18" s="200" t="b">
        <f aca="false">IF(Configuration!$C$31="No","",IFERROR(IF(AND(N('Patent Portfolio'!AC18)&gt;=Configuration!$C$52,N('Patent Portfolio'!L18)&gt;=1),TRUE(),FALSE()),FALSE()))</f>
        <v>0</v>
      </c>
      <c r="Y18" s="200" t="b">
        <f aca="false">IF(Configuration!$C$32="No","",IFERROR(IF(AND(N('Patent Portfolio'!N18)&gt;=1,OR('Patent Portfolio'!C18&lt;&gt;"",'Patent Portfolio'!I18&lt;&gt;"")),TRUE(),FALSE()),FALSE()))</f>
        <v>0</v>
      </c>
      <c r="Z18" s="200" t="b">
        <f aca="false">IF(Configuration!$C$33="No","",IFERROR(IF('Patent Portfolio'!C18&lt;&gt;"",TRUE(),FALSE()),FALSE()))</f>
        <v>0</v>
      </c>
      <c r="AA18" s="200" t="b">
        <f aca="false">IF(Configuration!$C$34="No","",IFERROR(IF('Patent Portfolio'!T18="Yes",TRUE(),FALSE()),FALSE()))</f>
        <v>0</v>
      </c>
      <c r="AB18" s="200" t="b">
        <f aca="false">IF(Configuration!$C$35="No","",IFERROR(IF(OR('Patent Portfolio'!AK18="Partial",'Patent Portfolio'!AK18="Full"),TRUE(),FALSE()),FALSE()))</f>
        <v>0</v>
      </c>
      <c r="AC18" s="200" t="b">
        <f aca="false">IF(Configuration!$C$36="No","",IFERROR(IF('Patent Portfolio'!AI18="Survived",TRUE(),FALSE()),FALSE()))</f>
        <v>0</v>
      </c>
      <c r="AD18" s="200" t="b">
        <f aca="false">IF(Configuration!$C$37="No","",IFERROR(IF(AND('Patent Portfolio'!AJ18="Clean",'Patent Portfolio'!AL18="None"),TRUE(),FALSE()),FALSE()))</f>
        <v>0</v>
      </c>
      <c r="AE18" s="200" t="b">
        <f aca="false">IF(Configuration!$C$38="No","",IFERROR(IF(N('Patent Portfolio'!AG18)&gt;=Configuration!$C$53,TRUE(),FALSE()),FALSE()))</f>
        <v>0</v>
      </c>
      <c r="AF18" s="200" t="b">
        <f aca="false">IF(Configuration!$C$39="No","",IFERROR(IF(AND(N('Patent Portfolio'!AO18)&gt;=2,N('Patent Portfolio'!AB18)&gt;=2),TRUE(),FALSE()),FALSE()))</f>
        <v>0</v>
      </c>
      <c r="AG18" s="200" t="b">
        <f aca="false">IF(Configuration!$C$40="No","",IFERROR(IF(OR(N('Patent Portfolio'!AC18)&lt;=Configuration!$C$56,N('Patent Portfolio'!U18)&lt;Configuration!$C$57,N('Patent Portfolio'!AD18)&lt;=Configuration!$C$58),TRUE(),FALSE()),FALSE()))</f>
        <v>1</v>
      </c>
      <c r="AH18" s="200" t="b">
        <f aca="false">IF(Configuration!$C$41="No","",IFERROR(IF(AND(N('Patent Portfolio'!U18)&gt;=Configuration!$C$54,N('Patent Portfolio'!U18)&lt;=Configuration!$C$55),TRUE(),FALSE()),FALSE()))</f>
        <v>0</v>
      </c>
      <c r="AI18" s="200" t="b">
        <f aca="false">IF(Configuration!$C$42="No","",IFERROR(IF(AND('Patent Portfolio'!C18&lt;&gt;"",'Patent Portfolio'!F18&lt;&gt;""),TRUE(),FALSE()),FALSE()))</f>
        <v>0</v>
      </c>
      <c r="AJ18" s="198" t="n">
        <f aca="false">COUNTIF(C18:AI18,TRUE())</f>
        <v>2</v>
      </c>
    </row>
    <row r="19" customFormat="false" ht="15" hidden="false" customHeight="true" outlineLevel="0" collapsed="false">
      <c r="A19" s="65" t="n">
        <f aca="false">'Patent Portfolio'!A19</f>
        <v>0</v>
      </c>
      <c r="B19" s="199" t="n">
        <f aca="false">'Patent Portfolio'!B19</f>
        <v>0</v>
      </c>
      <c r="C19" s="200" t="b">
        <f aca="false">IF(Configuration!$C$10="No","",IFERROR(IF('Patent Portfolio'!C19&lt;&gt;"",TRUE(),FALSE()),FALSE()))</f>
        <v>0</v>
      </c>
      <c r="D19" s="200" t="b">
        <f aca="false">IF(Configuration!$C$11="No","",IFERROR(IF(AND(N('Patent Portfolio'!H19)&gt;=Configuration!$C$44,'Patent Portfolio'!I19&lt;&gt;""),TRUE(),FALSE()),FALSE()))</f>
        <v>0</v>
      </c>
      <c r="E19" s="200" t="b">
        <f aca="false">IF(Configuration!$C$12="No","",IFERROR(IF('Patent Portfolio'!F19&lt;&gt;"",TRUE(),FALSE()),FALSE()))</f>
        <v>0</v>
      </c>
      <c r="F19" s="200" t="b">
        <f aca="false">IF(Configuration!$C$13="No","",IFERROR(IF('Patent Portfolio'!E19&lt;&gt;"",TRUE(),FALSE()),FALSE()))</f>
        <v>0</v>
      </c>
      <c r="G19" s="200" t="b">
        <f aca="false">IF(Configuration!$C$14="No","",IFERROR(IF('Patent Portfolio'!G19&lt;&gt;"",TRUE(),FALSE()),FALSE()))</f>
        <v>0</v>
      </c>
      <c r="H19" s="200" t="b">
        <f aca="false">IF(Configuration!$C$15="No","",IFERROR(IF(AND(OR(ISNUMBER(SEARCH("process",'Patent Portfolio'!C19)),ISNUMBER(SEARCH("fab",'Patent Portfolio'!C19)),ISNUMBER(SEARCH("manufac",'Patent Portfolio'!C19))),'Patent Portfolio'!K19="Method"),TRUE(),FALSE()),FALSE()))</f>
        <v>0</v>
      </c>
      <c r="I19" s="200" t="b">
        <f aca="false">IF(Configuration!$C$16="No","",IFERROR(IF(AND(OR(ISNUMBER(SEARCH("material",'Patent Portfolio'!C19)),ISNUMBER(SEARCH("chem",'Patent Portfolio'!C19)),ISNUMBER(SEARCH("battery",'Patent Portfolio'!C19)),ISNUMBER(SEARCH("electrolyte",'Patent Portfolio'!C19)),ISNUMBER(SEARCH("polymer",'Patent Portfolio'!C19))),OR('Patent Portfolio'!K19="Apparatus",'Patent Portfolio'!K19="Method")),TRUE(),FALSE()),FALSE()))</f>
        <v>0</v>
      </c>
      <c r="J19" s="200" t="b">
        <f aca="false">IF(Configuration!$C$17="No","",IFERROR(IF(AND(OR('Patent Portfolio'!E19="App",'Patent Portfolio'!E19="Middleware",'Patent Portfolio'!E19="Cloud"),OR('Patent Portfolio'!K19="Method",'Patent Portfolio'!K19="CRM")),TRUE(),FALSE()),FALSE()))</f>
        <v>0</v>
      </c>
      <c r="K19" s="200" t="b">
        <f aca="false">IF(Configuration!$C$18="No","",IFERROR(IF(N('Patent Portfolio'!J19)&gt;=Configuration!$C$45,TRUE(),FALSE()),FALSE()))</f>
        <v>0</v>
      </c>
      <c r="L19" s="200" t="b">
        <f aca="false">IF(Configuration!$C$19="No","",IFERROR(IF('Patent Portfolio'!AA19&lt;&gt;"",TRUE(),FALSE()),FALSE()))</f>
        <v>0</v>
      </c>
      <c r="M19" s="200" t="b">
        <f aca="false">IF(Configuration!$C$20="No","",IFERROR(IF('Patent Portfolio'!K19&lt;&gt;"",TRUE(),FALSE()),FALSE()))</f>
        <v>0</v>
      </c>
      <c r="N19" s="200" t="b">
        <f aca="false">IF(Configuration!$C$21="No","",IFERROR(IF(OR(N('Patent Portfolio'!O19)&gt;=Configuration!$C$46,N('Patent Portfolio'!P19)&gt;=Configuration!$C$47),TRUE(),FALSE()),FALSE()))</f>
        <v>0</v>
      </c>
      <c r="O19" s="200" t="b">
        <f aca="false">IF(Configuration!$C$22="No","",IFERROR(IF('Patent Portfolio'!X19="Yes",TRUE(),FALSE()),FALSE()))</f>
        <v>0</v>
      </c>
      <c r="P19" s="200" t="b">
        <f aca="false">IF(Configuration!$C$23="No","",IFERROR(IF(N('Patent Portfolio'!R19)&gt;=Configuration!$C$48,TRUE(),FALSE()),FALSE()))</f>
        <v>0</v>
      </c>
      <c r="Q19" s="200" t="b">
        <f aca="false">IF(Configuration!$C$24="No","",IFERROR(IF(N('Patent Portfolio'!U19)&gt;0,TRUE(),FALSE()),FALSE()))</f>
        <v>0</v>
      </c>
      <c r="R19" s="200" t="b">
        <f aca="false">IF(Configuration!$C$25="No","",IFERROR(IF(OR(N('Patent Portfolio'!L19)=3,N('Patent Portfolio'!L19)&lt;=1),TRUE(),FALSE()),FALSE()))</f>
        <v>1</v>
      </c>
      <c r="S19" s="200" t="b">
        <f aca="false">IF(Configuration!$C$26="No","",IFERROR(IF(N('Patent Portfolio'!AB19)&gt;=Configuration!$C$49,TRUE(),FALSE()),FALSE()))</f>
        <v>0</v>
      </c>
      <c r="T19" s="200" t="b">
        <f aca="false">IF(Configuration!$C$27="No","",IFERROR(IF('Patent Portfolio'!Z19&lt;&gt;"",TRUE(),FALSE()),FALSE()))</f>
        <v>0</v>
      </c>
      <c r="U19" s="200" t="b">
        <f aca="false">IF(Configuration!$C$28="No","",IFERROR(IF(N('Patent Portfolio'!Q19)&gt;=Configuration!$C$50,TRUE(),FALSE()),FALSE()))</f>
        <v>0</v>
      </c>
      <c r="V19" s="200" t="b">
        <f aca="false">IF(Configuration!$C$29="No","",IFERROR(IF(AND(N('Patent Portfolio'!N19)&gt;=Configuration!$C$51,'Patent Portfolio'!C19&lt;&gt;""),TRUE(),FALSE()),FALSE()))</f>
        <v>0</v>
      </c>
      <c r="W19" s="200" t="b">
        <f aca="false">IF(Configuration!$C$30="No","",IFERROR(IF(OR('Patent Portfolio'!S19="Pending",'Patent Portfolio'!T19="Yes"),TRUE(),FALSE()),FALSE()))</f>
        <v>0</v>
      </c>
      <c r="X19" s="200" t="b">
        <f aca="false">IF(Configuration!$C$31="No","",IFERROR(IF(AND(N('Patent Portfolio'!AC19)&gt;=Configuration!$C$52,N('Patent Portfolio'!L19)&gt;=1),TRUE(),FALSE()),FALSE()))</f>
        <v>0</v>
      </c>
      <c r="Y19" s="200" t="b">
        <f aca="false">IF(Configuration!$C$32="No","",IFERROR(IF(AND(N('Patent Portfolio'!N19)&gt;=1,OR('Patent Portfolio'!C19&lt;&gt;"",'Patent Portfolio'!I19&lt;&gt;"")),TRUE(),FALSE()),FALSE()))</f>
        <v>0</v>
      </c>
      <c r="Z19" s="200" t="b">
        <f aca="false">IF(Configuration!$C$33="No","",IFERROR(IF('Patent Portfolio'!C19&lt;&gt;"",TRUE(),FALSE()),FALSE()))</f>
        <v>0</v>
      </c>
      <c r="AA19" s="200" t="b">
        <f aca="false">IF(Configuration!$C$34="No","",IFERROR(IF('Patent Portfolio'!T19="Yes",TRUE(),FALSE()),FALSE()))</f>
        <v>0</v>
      </c>
      <c r="AB19" s="200" t="b">
        <f aca="false">IF(Configuration!$C$35="No","",IFERROR(IF(OR('Patent Portfolio'!AK19="Partial",'Patent Portfolio'!AK19="Full"),TRUE(),FALSE()),FALSE()))</f>
        <v>0</v>
      </c>
      <c r="AC19" s="200" t="b">
        <f aca="false">IF(Configuration!$C$36="No","",IFERROR(IF('Patent Portfolio'!AI19="Survived",TRUE(),FALSE()),FALSE()))</f>
        <v>0</v>
      </c>
      <c r="AD19" s="200" t="b">
        <f aca="false">IF(Configuration!$C$37="No","",IFERROR(IF(AND('Patent Portfolio'!AJ19="Clean",'Patent Portfolio'!AL19="None"),TRUE(),FALSE()),FALSE()))</f>
        <v>0</v>
      </c>
      <c r="AE19" s="200" t="b">
        <f aca="false">IF(Configuration!$C$38="No","",IFERROR(IF(N('Patent Portfolio'!AG19)&gt;=Configuration!$C$53,TRUE(),FALSE()),FALSE()))</f>
        <v>0</v>
      </c>
      <c r="AF19" s="200" t="b">
        <f aca="false">IF(Configuration!$C$39="No","",IFERROR(IF(AND(N('Patent Portfolio'!AO19)&gt;=2,N('Patent Portfolio'!AB19)&gt;=2),TRUE(),FALSE()),FALSE()))</f>
        <v>0</v>
      </c>
      <c r="AG19" s="200" t="b">
        <f aca="false">IF(Configuration!$C$40="No","",IFERROR(IF(OR(N('Patent Portfolio'!AC19)&lt;=Configuration!$C$56,N('Patent Portfolio'!U19)&lt;Configuration!$C$57,N('Patent Portfolio'!AD19)&lt;=Configuration!$C$58),TRUE(),FALSE()),FALSE()))</f>
        <v>1</v>
      </c>
      <c r="AH19" s="200" t="b">
        <f aca="false">IF(Configuration!$C$41="No","",IFERROR(IF(AND(N('Patent Portfolio'!U19)&gt;=Configuration!$C$54,N('Patent Portfolio'!U19)&lt;=Configuration!$C$55),TRUE(),FALSE()),FALSE()))</f>
        <v>0</v>
      </c>
      <c r="AI19" s="200" t="b">
        <f aca="false">IF(Configuration!$C$42="No","",IFERROR(IF(AND('Patent Portfolio'!C19&lt;&gt;"",'Patent Portfolio'!F19&lt;&gt;""),TRUE(),FALSE()),FALSE()))</f>
        <v>0</v>
      </c>
      <c r="AJ19" s="198" t="n">
        <f aca="false">COUNTIF(C19:AI19,TRUE())</f>
        <v>2</v>
      </c>
    </row>
    <row r="20" customFormat="false" ht="15" hidden="false" customHeight="true" outlineLevel="0" collapsed="false">
      <c r="A20" s="65" t="n">
        <f aca="false">'Patent Portfolio'!A20</f>
        <v>0</v>
      </c>
      <c r="B20" s="199" t="n">
        <f aca="false">'Patent Portfolio'!B20</f>
        <v>0</v>
      </c>
      <c r="C20" s="200" t="b">
        <f aca="false">IF(Configuration!$C$10="No","",IFERROR(IF('Patent Portfolio'!C20&lt;&gt;"",TRUE(),FALSE()),FALSE()))</f>
        <v>0</v>
      </c>
      <c r="D20" s="200" t="b">
        <f aca="false">IF(Configuration!$C$11="No","",IFERROR(IF(AND(N('Patent Portfolio'!H20)&gt;=Configuration!$C$44,'Patent Portfolio'!I20&lt;&gt;""),TRUE(),FALSE()),FALSE()))</f>
        <v>0</v>
      </c>
      <c r="E20" s="200" t="b">
        <f aca="false">IF(Configuration!$C$12="No","",IFERROR(IF('Patent Portfolio'!F20&lt;&gt;"",TRUE(),FALSE()),FALSE()))</f>
        <v>0</v>
      </c>
      <c r="F20" s="200" t="b">
        <f aca="false">IF(Configuration!$C$13="No","",IFERROR(IF('Patent Portfolio'!E20&lt;&gt;"",TRUE(),FALSE()),FALSE()))</f>
        <v>0</v>
      </c>
      <c r="G20" s="200" t="b">
        <f aca="false">IF(Configuration!$C$14="No","",IFERROR(IF('Patent Portfolio'!G20&lt;&gt;"",TRUE(),FALSE()),FALSE()))</f>
        <v>0</v>
      </c>
      <c r="H20" s="200" t="b">
        <f aca="false">IF(Configuration!$C$15="No","",IFERROR(IF(AND(OR(ISNUMBER(SEARCH("process",'Patent Portfolio'!C20)),ISNUMBER(SEARCH("fab",'Patent Portfolio'!C20)),ISNUMBER(SEARCH("manufac",'Patent Portfolio'!C20))),'Patent Portfolio'!K20="Method"),TRUE(),FALSE()),FALSE()))</f>
        <v>0</v>
      </c>
      <c r="I20" s="200" t="b">
        <f aca="false">IF(Configuration!$C$16="No","",IFERROR(IF(AND(OR(ISNUMBER(SEARCH("material",'Patent Portfolio'!C20)),ISNUMBER(SEARCH("chem",'Patent Portfolio'!C20)),ISNUMBER(SEARCH("battery",'Patent Portfolio'!C20)),ISNUMBER(SEARCH("electrolyte",'Patent Portfolio'!C20)),ISNUMBER(SEARCH("polymer",'Patent Portfolio'!C20))),OR('Patent Portfolio'!K20="Apparatus",'Patent Portfolio'!K20="Method")),TRUE(),FALSE()),FALSE()))</f>
        <v>0</v>
      </c>
      <c r="J20" s="200" t="b">
        <f aca="false">IF(Configuration!$C$17="No","",IFERROR(IF(AND(OR('Patent Portfolio'!E20="App",'Patent Portfolio'!E20="Middleware",'Patent Portfolio'!E20="Cloud"),OR('Patent Portfolio'!K20="Method",'Patent Portfolio'!K20="CRM")),TRUE(),FALSE()),FALSE()))</f>
        <v>0</v>
      </c>
      <c r="K20" s="200" t="b">
        <f aca="false">IF(Configuration!$C$18="No","",IFERROR(IF(N('Patent Portfolio'!J20)&gt;=Configuration!$C$45,TRUE(),FALSE()),FALSE()))</f>
        <v>0</v>
      </c>
      <c r="L20" s="200" t="b">
        <f aca="false">IF(Configuration!$C$19="No","",IFERROR(IF('Patent Portfolio'!AA20&lt;&gt;"",TRUE(),FALSE()),FALSE()))</f>
        <v>0</v>
      </c>
      <c r="M20" s="200" t="b">
        <f aca="false">IF(Configuration!$C$20="No","",IFERROR(IF('Patent Portfolio'!K20&lt;&gt;"",TRUE(),FALSE()),FALSE()))</f>
        <v>0</v>
      </c>
      <c r="N20" s="200" t="b">
        <f aca="false">IF(Configuration!$C$21="No","",IFERROR(IF(OR(N('Patent Portfolio'!O20)&gt;=Configuration!$C$46,N('Patent Portfolio'!P20)&gt;=Configuration!$C$47),TRUE(),FALSE()),FALSE()))</f>
        <v>0</v>
      </c>
      <c r="O20" s="200" t="b">
        <f aca="false">IF(Configuration!$C$22="No","",IFERROR(IF('Patent Portfolio'!X20="Yes",TRUE(),FALSE()),FALSE()))</f>
        <v>0</v>
      </c>
      <c r="P20" s="200" t="b">
        <f aca="false">IF(Configuration!$C$23="No","",IFERROR(IF(N('Patent Portfolio'!R20)&gt;=Configuration!$C$48,TRUE(),FALSE()),FALSE()))</f>
        <v>0</v>
      </c>
      <c r="Q20" s="200" t="b">
        <f aca="false">IF(Configuration!$C$24="No","",IFERROR(IF(N('Patent Portfolio'!U20)&gt;0,TRUE(),FALSE()),FALSE()))</f>
        <v>0</v>
      </c>
      <c r="R20" s="200" t="b">
        <f aca="false">IF(Configuration!$C$25="No","",IFERROR(IF(OR(N('Patent Portfolio'!L20)=3,N('Patent Portfolio'!L20)&lt;=1),TRUE(),FALSE()),FALSE()))</f>
        <v>1</v>
      </c>
      <c r="S20" s="200" t="b">
        <f aca="false">IF(Configuration!$C$26="No","",IFERROR(IF(N('Patent Portfolio'!AB20)&gt;=Configuration!$C$49,TRUE(),FALSE()),FALSE()))</f>
        <v>0</v>
      </c>
      <c r="T20" s="200" t="b">
        <f aca="false">IF(Configuration!$C$27="No","",IFERROR(IF('Patent Portfolio'!Z20&lt;&gt;"",TRUE(),FALSE()),FALSE()))</f>
        <v>0</v>
      </c>
      <c r="U20" s="200" t="b">
        <f aca="false">IF(Configuration!$C$28="No","",IFERROR(IF(N('Patent Portfolio'!Q20)&gt;=Configuration!$C$50,TRUE(),FALSE()),FALSE()))</f>
        <v>0</v>
      </c>
      <c r="V20" s="200" t="b">
        <f aca="false">IF(Configuration!$C$29="No","",IFERROR(IF(AND(N('Patent Portfolio'!N20)&gt;=Configuration!$C$51,'Patent Portfolio'!C20&lt;&gt;""),TRUE(),FALSE()),FALSE()))</f>
        <v>0</v>
      </c>
      <c r="W20" s="200" t="b">
        <f aca="false">IF(Configuration!$C$30="No","",IFERROR(IF(OR('Patent Portfolio'!S20="Pending",'Patent Portfolio'!T20="Yes"),TRUE(),FALSE()),FALSE()))</f>
        <v>0</v>
      </c>
      <c r="X20" s="200" t="b">
        <f aca="false">IF(Configuration!$C$31="No","",IFERROR(IF(AND(N('Patent Portfolio'!AC20)&gt;=Configuration!$C$52,N('Patent Portfolio'!L20)&gt;=1),TRUE(),FALSE()),FALSE()))</f>
        <v>0</v>
      </c>
      <c r="Y20" s="200" t="b">
        <f aca="false">IF(Configuration!$C$32="No","",IFERROR(IF(AND(N('Patent Portfolio'!N20)&gt;=1,OR('Patent Portfolio'!C20&lt;&gt;"",'Patent Portfolio'!I20&lt;&gt;"")),TRUE(),FALSE()),FALSE()))</f>
        <v>0</v>
      </c>
      <c r="Z20" s="200" t="b">
        <f aca="false">IF(Configuration!$C$33="No","",IFERROR(IF('Patent Portfolio'!C20&lt;&gt;"",TRUE(),FALSE()),FALSE()))</f>
        <v>0</v>
      </c>
      <c r="AA20" s="200" t="b">
        <f aca="false">IF(Configuration!$C$34="No","",IFERROR(IF('Patent Portfolio'!T20="Yes",TRUE(),FALSE()),FALSE()))</f>
        <v>0</v>
      </c>
      <c r="AB20" s="200" t="b">
        <f aca="false">IF(Configuration!$C$35="No","",IFERROR(IF(OR('Patent Portfolio'!AK20="Partial",'Patent Portfolio'!AK20="Full"),TRUE(),FALSE()),FALSE()))</f>
        <v>0</v>
      </c>
      <c r="AC20" s="200" t="b">
        <f aca="false">IF(Configuration!$C$36="No","",IFERROR(IF('Patent Portfolio'!AI20="Survived",TRUE(),FALSE()),FALSE()))</f>
        <v>0</v>
      </c>
      <c r="AD20" s="200" t="b">
        <f aca="false">IF(Configuration!$C$37="No","",IFERROR(IF(AND('Patent Portfolio'!AJ20="Clean",'Patent Portfolio'!AL20="None"),TRUE(),FALSE()),FALSE()))</f>
        <v>0</v>
      </c>
      <c r="AE20" s="200" t="b">
        <f aca="false">IF(Configuration!$C$38="No","",IFERROR(IF(N('Patent Portfolio'!AG20)&gt;=Configuration!$C$53,TRUE(),FALSE()),FALSE()))</f>
        <v>0</v>
      </c>
      <c r="AF20" s="200" t="b">
        <f aca="false">IF(Configuration!$C$39="No","",IFERROR(IF(AND(N('Patent Portfolio'!AO20)&gt;=2,N('Patent Portfolio'!AB20)&gt;=2),TRUE(),FALSE()),FALSE()))</f>
        <v>0</v>
      </c>
      <c r="AG20" s="200" t="b">
        <f aca="false">IF(Configuration!$C$40="No","",IFERROR(IF(OR(N('Patent Portfolio'!AC20)&lt;=Configuration!$C$56,N('Patent Portfolio'!U20)&lt;Configuration!$C$57,N('Patent Portfolio'!AD20)&lt;=Configuration!$C$58),TRUE(),FALSE()),FALSE()))</f>
        <v>1</v>
      </c>
      <c r="AH20" s="200" t="b">
        <f aca="false">IF(Configuration!$C$41="No","",IFERROR(IF(AND(N('Patent Portfolio'!U20)&gt;=Configuration!$C$54,N('Patent Portfolio'!U20)&lt;=Configuration!$C$55),TRUE(),FALSE()),FALSE()))</f>
        <v>0</v>
      </c>
      <c r="AI20" s="200" t="b">
        <f aca="false">IF(Configuration!$C$42="No","",IFERROR(IF(AND('Patent Portfolio'!C20&lt;&gt;"",'Patent Portfolio'!F20&lt;&gt;""),TRUE(),FALSE()),FALSE()))</f>
        <v>0</v>
      </c>
      <c r="AJ20" s="198" t="n">
        <f aca="false">COUNTIF(C20:AI20,TRUE())</f>
        <v>2</v>
      </c>
    </row>
    <row r="21" customFormat="false" ht="15" hidden="false" customHeight="true" outlineLevel="0" collapsed="false">
      <c r="A21" s="65" t="n">
        <f aca="false">'Patent Portfolio'!A21</f>
        <v>0</v>
      </c>
      <c r="B21" s="199" t="n">
        <f aca="false">'Patent Portfolio'!B21</f>
        <v>0</v>
      </c>
      <c r="C21" s="200" t="b">
        <f aca="false">IF(Configuration!$C$10="No","",IFERROR(IF('Patent Portfolio'!C21&lt;&gt;"",TRUE(),FALSE()),FALSE()))</f>
        <v>0</v>
      </c>
      <c r="D21" s="200" t="b">
        <f aca="false">IF(Configuration!$C$11="No","",IFERROR(IF(AND(N('Patent Portfolio'!H21)&gt;=Configuration!$C$44,'Patent Portfolio'!I21&lt;&gt;""),TRUE(),FALSE()),FALSE()))</f>
        <v>0</v>
      </c>
      <c r="E21" s="200" t="b">
        <f aca="false">IF(Configuration!$C$12="No","",IFERROR(IF('Patent Portfolio'!F21&lt;&gt;"",TRUE(),FALSE()),FALSE()))</f>
        <v>0</v>
      </c>
      <c r="F21" s="200" t="b">
        <f aca="false">IF(Configuration!$C$13="No","",IFERROR(IF('Patent Portfolio'!E21&lt;&gt;"",TRUE(),FALSE()),FALSE()))</f>
        <v>0</v>
      </c>
      <c r="G21" s="200" t="b">
        <f aca="false">IF(Configuration!$C$14="No","",IFERROR(IF('Patent Portfolio'!G21&lt;&gt;"",TRUE(),FALSE()),FALSE()))</f>
        <v>0</v>
      </c>
      <c r="H21" s="200" t="b">
        <f aca="false">IF(Configuration!$C$15="No","",IFERROR(IF(AND(OR(ISNUMBER(SEARCH("process",'Patent Portfolio'!C21)),ISNUMBER(SEARCH("fab",'Patent Portfolio'!C21)),ISNUMBER(SEARCH("manufac",'Patent Portfolio'!C21))),'Patent Portfolio'!K21="Method"),TRUE(),FALSE()),FALSE()))</f>
        <v>0</v>
      </c>
      <c r="I21" s="200" t="b">
        <f aca="false">IF(Configuration!$C$16="No","",IFERROR(IF(AND(OR(ISNUMBER(SEARCH("material",'Patent Portfolio'!C21)),ISNUMBER(SEARCH("chem",'Patent Portfolio'!C21)),ISNUMBER(SEARCH("battery",'Patent Portfolio'!C21)),ISNUMBER(SEARCH("electrolyte",'Patent Portfolio'!C21)),ISNUMBER(SEARCH("polymer",'Patent Portfolio'!C21))),OR('Patent Portfolio'!K21="Apparatus",'Patent Portfolio'!K21="Method")),TRUE(),FALSE()),FALSE()))</f>
        <v>0</v>
      </c>
      <c r="J21" s="200" t="b">
        <f aca="false">IF(Configuration!$C$17="No","",IFERROR(IF(AND(OR('Patent Portfolio'!E21="App",'Patent Portfolio'!E21="Middleware",'Patent Portfolio'!E21="Cloud"),OR('Patent Portfolio'!K21="Method",'Patent Portfolio'!K21="CRM")),TRUE(),FALSE()),FALSE()))</f>
        <v>0</v>
      </c>
      <c r="K21" s="200" t="b">
        <f aca="false">IF(Configuration!$C$18="No","",IFERROR(IF(N('Patent Portfolio'!J21)&gt;=Configuration!$C$45,TRUE(),FALSE()),FALSE()))</f>
        <v>0</v>
      </c>
      <c r="L21" s="200" t="b">
        <f aca="false">IF(Configuration!$C$19="No","",IFERROR(IF('Patent Portfolio'!AA21&lt;&gt;"",TRUE(),FALSE()),FALSE()))</f>
        <v>0</v>
      </c>
      <c r="M21" s="200" t="b">
        <f aca="false">IF(Configuration!$C$20="No","",IFERROR(IF('Patent Portfolio'!K21&lt;&gt;"",TRUE(),FALSE()),FALSE()))</f>
        <v>0</v>
      </c>
      <c r="N21" s="200" t="b">
        <f aca="false">IF(Configuration!$C$21="No","",IFERROR(IF(OR(N('Patent Portfolio'!O21)&gt;=Configuration!$C$46,N('Patent Portfolio'!P21)&gt;=Configuration!$C$47),TRUE(),FALSE()),FALSE()))</f>
        <v>0</v>
      </c>
      <c r="O21" s="200" t="b">
        <f aca="false">IF(Configuration!$C$22="No","",IFERROR(IF('Patent Portfolio'!X21="Yes",TRUE(),FALSE()),FALSE()))</f>
        <v>0</v>
      </c>
      <c r="P21" s="200" t="b">
        <f aca="false">IF(Configuration!$C$23="No","",IFERROR(IF(N('Patent Portfolio'!R21)&gt;=Configuration!$C$48,TRUE(),FALSE()),FALSE()))</f>
        <v>0</v>
      </c>
      <c r="Q21" s="200" t="b">
        <f aca="false">IF(Configuration!$C$24="No","",IFERROR(IF(N('Patent Portfolio'!U21)&gt;0,TRUE(),FALSE()),FALSE()))</f>
        <v>0</v>
      </c>
      <c r="R21" s="200" t="b">
        <f aca="false">IF(Configuration!$C$25="No","",IFERROR(IF(OR(N('Patent Portfolio'!L21)=3,N('Patent Portfolio'!L21)&lt;=1),TRUE(),FALSE()),FALSE()))</f>
        <v>1</v>
      </c>
      <c r="S21" s="200" t="b">
        <f aca="false">IF(Configuration!$C$26="No","",IFERROR(IF(N('Patent Portfolio'!AB21)&gt;=Configuration!$C$49,TRUE(),FALSE()),FALSE()))</f>
        <v>0</v>
      </c>
      <c r="T21" s="200" t="b">
        <f aca="false">IF(Configuration!$C$27="No","",IFERROR(IF('Patent Portfolio'!Z21&lt;&gt;"",TRUE(),FALSE()),FALSE()))</f>
        <v>0</v>
      </c>
      <c r="U21" s="200" t="b">
        <f aca="false">IF(Configuration!$C$28="No","",IFERROR(IF(N('Patent Portfolio'!Q21)&gt;=Configuration!$C$50,TRUE(),FALSE()),FALSE()))</f>
        <v>0</v>
      </c>
      <c r="V21" s="200" t="b">
        <f aca="false">IF(Configuration!$C$29="No","",IFERROR(IF(AND(N('Patent Portfolio'!N21)&gt;=Configuration!$C$51,'Patent Portfolio'!C21&lt;&gt;""),TRUE(),FALSE()),FALSE()))</f>
        <v>0</v>
      </c>
      <c r="W21" s="200" t="b">
        <f aca="false">IF(Configuration!$C$30="No","",IFERROR(IF(OR('Patent Portfolio'!S21="Pending",'Patent Portfolio'!T21="Yes"),TRUE(),FALSE()),FALSE()))</f>
        <v>0</v>
      </c>
      <c r="X21" s="200" t="b">
        <f aca="false">IF(Configuration!$C$31="No","",IFERROR(IF(AND(N('Patent Portfolio'!AC21)&gt;=Configuration!$C$52,N('Patent Portfolio'!L21)&gt;=1),TRUE(),FALSE()),FALSE()))</f>
        <v>0</v>
      </c>
      <c r="Y21" s="200" t="b">
        <f aca="false">IF(Configuration!$C$32="No","",IFERROR(IF(AND(N('Patent Portfolio'!N21)&gt;=1,OR('Patent Portfolio'!C21&lt;&gt;"",'Patent Portfolio'!I21&lt;&gt;"")),TRUE(),FALSE()),FALSE()))</f>
        <v>0</v>
      </c>
      <c r="Z21" s="200" t="b">
        <f aca="false">IF(Configuration!$C$33="No","",IFERROR(IF('Patent Portfolio'!C21&lt;&gt;"",TRUE(),FALSE()),FALSE()))</f>
        <v>0</v>
      </c>
      <c r="AA21" s="200" t="b">
        <f aca="false">IF(Configuration!$C$34="No","",IFERROR(IF('Patent Portfolio'!T21="Yes",TRUE(),FALSE()),FALSE()))</f>
        <v>0</v>
      </c>
      <c r="AB21" s="200" t="b">
        <f aca="false">IF(Configuration!$C$35="No","",IFERROR(IF(OR('Patent Portfolio'!AK21="Partial",'Patent Portfolio'!AK21="Full"),TRUE(),FALSE()),FALSE()))</f>
        <v>0</v>
      </c>
      <c r="AC21" s="200" t="b">
        <f aca="false">IF(Configuration!$C$36="No","",IFERROR(IF('Patent Portfolio'!AI21="Survived",TRUE(),FALSE()),FALSE()))</f>
        <v>0</v>
      </c>
      <c r="AD21" s="200" t="b">
        <f aca="false">IF(Configuration!$C$37="No","",IFERROR(IF(AND('Patent Portfolio'!AJ21="Clean",'Patent Portfolio'!AL21="None"),TRUE(),FALSE()),FALSE()))</f>
        <v>0</v>
      </c>
      <c r="AE21" s="200" t="b">
        <f aca="false">IF(Configuration!$C$38="No","",IFERROR(IF(N('Patent Portfolio'!AG21)&gt;=Configuration!$C$53,TRUE(),FALSE()),FALSE()))</f>
        <v>0</v>
      </c>
      <c r="AF21" s="200" t="b">
        <f aca="false">IF(Configuration!$C$39="No","",IFERROR(IF(AND(N('Patent Portfolio'!AO21)&gt;=2,N('Patent Portfolio'!AB21)&gt;=2),TRUE(),FALSE()),FALSE()))</f>
        <v>0</v>
      </c>
      <c r="AG21" s="200" t="b">
        <f aca="false">IF(Configuration!$C$40="No","",IFERROR(IF(OR(N('Patent Portfolio'!AC21)&lt;=Configuration!$C$56,N('Patent Portfolio'!U21)&lt;Configuration!$C$57,N('Patent Portfolio'!AD21)&lt;=Configuration!$C$58),TRUE(),FALSE()),FALSE()))</f>
        <v>1</v>
      </c>
      <c r="AH21" s="200" t="b">
        <f aca="false">IF(Configuration!$C$41="No","",IFERROR(IF(AND(N('Patent Portfolio'!U21)&gt;=Configuration!$C$54,N('Patent Portfolio'!U21)&lt;=Configuration!$C$55),TRUE(),FALSE()),FALSE()))</f>
        <v>0</v>
      </c>
      <c r="AI21" s="200" t="b">
        <f aca="false">IF(Configuration!$C$42="No","",IFERROR(IF(AND('Patent Portfolio'!C21&lt;&gt;"",'Patent Portfolio'!F21&lt;&gt;""),TRUE(),FALSE()),FALSE()))</f>
        <v>0</v>
      </c>
      <c r="AJ21" s="198" t="n">
        <f aca="false">COUNTIF(C21:AI21,TRUE())</f>
        <v>2</v>
      </c>
    </row>
    <row r="22" customFormat="false" ht="15" hidden="false" customHeight="true" outlineLevel="0" collapsed="false">
      <c r="A22" s="65" t="n">
        <f aca="false">'Patent Portfolio'!A22</f>
        <v>0</v>
      </c>
      <c r="B22" s="199" t="n">
        <f aca="false">'Patent Portfolio'!B22</f>
        <v>0</v>
      </c>
      <c r="C22" s="200" t="b">
        <f aca="false">IF(Configuration!$C$10="No","",IFERROR(IF('Patent Portfolio'!C22&lt;&gt;"",TRUE(),FALSE()),FALSE()))</f>
        <v>0</v>
      </c>
      <c r="D22" s="200" t="b">
        <f aca="false">IF(Configuration!$C$11="No","",IFERROR(IF(AND(N('Patent Portfolio'!H22)&gt;=Configuration!$C$44,'Patent Portfolio'!I22&lt;&gt;""),TRUE(),FALSE()),FALSE()))</f>
        <v>0</v>
      </c>
      <c r="E22" s="200" t="b">
        <f aca="false">IF(Configuration!$C$12="No","",IFERROR(IF('Patent Portfolio'!F22&lt;&gt;"",TRUE(),FALSE()),FALSE()))</f>
        <v>0</v>
      </c>
      <c r="F22" s="200" t="b">
        <f aca="false">IF(Configuration!$C$13="No","",IFERROR(IF('Patent Portfolio'!E22&lt;&gt;"",TRUE(),FALSE()),FALSE()))</f>
        <v>0</v>
      </c>
      <c r="G22" s="200" t="b">
        <f aca="false">IF(Configuration!$C$14="No","",IFERROR(IF('Patent Portfolio'!G22&lt;&gt;"",TRUE(),FALSE()),FALSE()))</f>
        <v>0</v>
      </c>
      <c r="H22" s="200" t="b">
        <f aca="false">IF(Configuration!$C$15="No","",IFERROR(IF(AND(OR(ISNUMBER(SEARCH("process",'Patent Portfolio'!C22)),ISNUMBER(SEARCH("fab",'Patent Portfolio'!C22)),ISNUMBER(SEARCH("manufac",'Patent Portfolio'!C22))),'Patent Portfolio'!K22="Method"),TRUE(),FALSE()),FALSE()))</f>
        <v>0</v>
      </c>
      <c r="I22" s="200" t="b">
        <f aca="false">IF(Configuration!$C$16="No","",IFERROR(IF(AND(OR(ISNUMBER(SEARCH("material",'Patent Portfolio'!C22)),ISNUMBER(SEARCH("chem",'Patent Portfolio'!C22)),ISNUMBER(SEARCH("battery",'Patent Portfolio'!C22)),ISNUMBER(SEARCH("electrolyte",'Patent Portfolio'!C22)),ISNUMBER(SEARCH("polymer",'Patent Portfolio'!C22))),OR('Patent Portfolio'!K22="Apparatus",'Patent Portfolio'!K22="Method")),TRUE(),FALSE()),FALSE()))</f>
        <v>0</v>
      </c>
      <c r="J22" s="200" t="b">
        <f aca="false">IF(Configuration!$C$17="No","",IFERROR(IF(AND(OR('Patent Portfolio'!E22="App",'Patent Portfolio'!E22="Middleware",'Patent Portfolio'!E22="Cloud"),OR('Patent Portfolio'!K22="Method",'Patent Portfolio'!K22="CRM")),TRUE(),FALSE()),FALSE()))</f>
        <v>0</v>
      </c>
      <c r="K22" s="200" t="b">
        <f aca="false">IF(Configuration!$C$18="No","",IFERROR(IF(N('Patent Portfolio'!J22)&gt;=Configuration!$C$45,TRUE(),FALSE()),FALSE()))</f>
        <v>0</v>
      </c>
      <c r="L22" s="200" t="b">
        <f aca="false">IF(Configuration!$C$19="No","",IFERROR(IF('Patent Portfolio'!AA22&lt;&gt;"",TRUE(),FALSE()),FALSE()))</f>
        <v>0</v>
      </c>
      <c r="M22" s="200" t="b">
        <f aca="false">IF(Configuration!$C$20="No","",IFERROR(IF('Patent Portfolio'!K22&lt;&gt;"",TRUE(),FALSE()),FALSE()))</f>
        <v>0</v>
      </c>
      <c r="N22" s="200" t="b">
        <f aca="false">IF(Configuration!$C$21="No","",IFERROR(IF(OR(N('Patent Portfolio'!O22)&gt;=Configuration!$C$46,N('Patent Portfolio'!P22)&gt;=Configuration!$C$47),TRUE(),FALSE()),FALSE()))</f>
        <v>0</v>
      </c>
      <c r="O22" s="200" t="b">
        <f aca="false">IF(Configuration!$C$22="No","",IFERROR(IF('Patent Portfolio'!X22="Yes",TRUE(),FALSE()),FALSE()))</f>
        <v>0</v>
      </c>
      <c r="P22" s="200" t="b">
        <f aca="false">IF(Configuration!$C$23="No","",IFERROR(IF(N('Patent Portfolio'!R22)&gt;=Configuration!$C$48,TRUE(),FALSE()),FALSE()))</f>
        <v>0</v>
      </c>
      <c r="Q22" s="200" t="b">
        <f aca="false">IF(Configuration!$C$24="No","",IFERROR(IF(N('Patent Portfolio'!U22)&gt;0,TRUE(),FALSE()),FALSE()))</f>
        <v>0</v>
      </c>
      <c r="R22" s="200" t="b">
        <f aca="false">IF(Configuration!$C$25="No","",IFERROR(IF(OR(N('Patent Portfolio'!L22)=3,N('Patent Portfolio'!L22)&lt;=1),TRUE(),FALSE()),FALSE()))</f>
        <v>1</v>
      </c>
      <c r="S22" s="200" t="b">
        <f aca="false">IF(Configuration!$C$26="No","",IFERROR(IF(N('Patent Portfolio'!AB22)&gt;=Configuration!$C$49,TRUE(),FALSE()),FALSE()))</f>
        <v>0</v>
      </c>
      <c r="T22" s="200" t="b">
        <f aca="false">IF(Configuration!$C$27="No","",IFERROR(IF('Patent Portfolio'!Z22&lt;&gt;"",TRUE(),FALSE()),FALSE()))</f>
        <v>0</v>
      </c>
      <c r="U22" s="200" t="b">
        <f aca="false">IF(Configuration!$C$28="No","",IFERROR(IF(N('Patent Portfolio'!Q22)&gt;=Configuration!$C$50,TRUE(),FALSE()),FALSE()))</f>
        <v>0</v>
      </c>
      <c r="V22" s="200" t="b">
        <f aca="false">IF(Configuration!$C$29="No","",IFERROR(IF(AND(N('Patent Portfolio'!N22)&gt;=Configuration!$C$51,'Patent Portfolio'!C22&lt;&gt;""),TRUE(),FALSE()),FALSE()))</f>
        <v>0</v>
      </c>
      <c r="W22" s="200" t="b">
        <f aca="false">IF(Configuration!$C$30="No","",IFERROR(IF(OR('Patent Portfolio'!S22="Pending",'Patent Portfolio'!T22="Yes"),TRUE(),FALSE()),FALSE()))</f>
        <v>0</v>
      </c>
      <c r="X22" s="200" t="b">
        <f aca="false">IF(Configuration!$C$31="No","",IFERROR(IF(AND(N('Patent Portfolio'!AC22)&gt;=Configuration!$C$52,N('Patent Portfolio'!L22)&gt;=1),TRUE(),FALSE()),FALSE()))</f>
        <v>0</v>
      </c>
      <c r="Y22" s="200" t="b">
        <f aca="false">IF(Configuration!$C$32="No","",IFERROR(IF(AND(N('Patent Portfolio'!N22)&gt;=1,OR('Patent Portfolio'!C22&lt;&gt;"",'Patent Portfolio'!I22&lt;&gt;"")),TRUE(),FALSE()),FALSE()))</f>
        <v>0</v>
      </c>
      <c r="Z22" s="200" t="b">
        <f aca="false">IF(Configuration!$C$33="No","",IFERROR(IF('Patent Portfolio'!C22&lt;&gt;"",TRUE(),FALSE()),FALSE()))</f>
        <v>0</v>
      </c>
      <c r="AA22" s="200" t="b">
        <f aca="false">IF(Configuration!$C$34="No","",IFERROR(IF('Patent Portfolio'!T22="Yes",TRUE(),FALSE()),FALSE()))</f>
        <v>0</v>
      </c>
      <c r="AB22" s="200" t="b">
        <f aca="false">IF(Configuration!$C$35="No","",IFERROR(IF(OR('Patent Portfolio'!AK22="Partial",'Patent Portfolio'!AK22="Full"),TRUE(),FALSE()),FALSE()))</f>
        <v>0</v>
      </c>
      <c r="AC22" s="200" t="b">
        <f aca="false">IF(Configuration!$C$36="No","",IFERROR(IF('Patent Portfolio'!AI22="Survived",TRUE(),FALSE()),FALSE()))</f>
        <v>0</v>
      </c>
      <c r="AD22" s="200" t="b">
        <f aca="false">IF(Configuration!$C$37="No","",IFERROR(IF(AND('Patent Portfolio'!AJ22="Clean",'Patent Portfolio'!AL22="None"),TRUE(),FALSE()),FALSE()))</f>
        <v>0</v>
      </c>
      <c r="AE22" s="200" t="b">
        <f aca="false">IF(Configuration!$C$38="No","",IFERROR(IF(N('Patent Portfolio'!AG22)&gt;=Configuration!$C$53,TRUE(),FALSE()),FALSE()))</f>
        <v>0</v>
      </c>
      <c r="AF22" s="200" t="b">
        <f aca="false">IF(Configuration!$C$39="No","",IFERROR(IF(AND(N('Patent Portfolio'!AO22)&gt;=2,N('Patent Portfolio'!AB22)&gt;=2),TRUE(),FALSE()),FALSE()))</f>
        <v>0</v>
      </c>
      <c r="AG22" s="200" t="b">
        <f aca="false">IF(Configuration!$C$40="No","",IFERROR(IF(OR(N('Patent Portfolio'!AC22)&lt;=Configuration!$C$56,N('Patent Portfolio'!U22)&lt;Configuration!$C$57,N('Patent Portfolio'!AD22)&lt;=Configuration!$C$58),TRUE(),FALSE()),FALSE()))</f>
        <v>1</v>
      </c>
      <c r="AH22" s="200" t="b">
        <f aca="false">IF(Configuration!$C$41="No","",IFERROR(IF(AND(N('Patent Portfolio'!U22)&gt;=Configuration!$C$54,N('Patent Portfolio'!U22)&lt;=Configuration!$C$55),TRUE(),FALSE()),FALSE()))</f>
        <v>0</v>
      </c>
      <c r="AI22" s="200" t="b">
        <f aca="false">IF(Configuration!$C$42="No","",IFERROR(IF(AND('Patent Portfolio'!C22&lt;&gt;"",'Patent Portfolio'!F22&lt;&gt;""),TRUE(),FALSE()),FALSE()))</f>
        <v>0</v>
      </c>
      <c r="AJ22" s="198" t="n">
        <f aca="false">COUNTIF(C22:AI22,TRUE())</f>
        <v>2</v>
      </c>
    </row>
    <row r="23" customFormat="false" ht="15" hidden="false" customHeight="true" outlineLevel="0" collapsed="false">
      <c r="A23" s="201" t="str">
        <f aca="false">'Patent Portfolio'!A24</f>
        <v>SL-001</v>
      </c>
      <c r="B23" s="201" t="str">
        <f aca="false">'Patent Portfolio'!B24</f>
        <v>LTE handover parameter optimization method</v>
      </c>
      <c r="C23" s="202" t="b">
        <f aca="false">IF(Configuration!$C$10="No","",IFERROR(IF('Patent Portfolio'!C24&lt;&gt;"",TRUE(),FALSE()),FALSE()))</f>
        <v>1</v>
      </c>
      <c r="D23" s="202" t="b">
        <f aca="false">IF(Configuration!$C$11="No","",IFERROR(IF(AND(N('Patent Portfolio'!H24)&gt;=Configuration!$C$44,'Patent Portfolio'!I24&lt;&gt;""),TRUE(),FALSE()),FALSE()))</f>
        <v>1</v>
      </c>
      <c r="E23" s="202" t="b">
        <f aca="false">IF(Configuration!$C$12="No","",IFERROR(IF('Patent Portfolio'!F24&lt;&gt;"",TRUE(),FALSE()),FALSE()))</f>
        <v>1</v>
      </c>
      <c r="F23" s="202" t="b">
        <f aca="false">IF(Configuration!$C$13="No","",IFERROR(IF('Patent Portfolio'!E24&lt;&gt;"",TRUE(),FALSE()),FALSE()))</f>
        <v>1</v>
      </c>
      <c r="G23" s="202" t="b">
        <f aca="false">IF(Configuration!$C$14="No","",IFERROR(IF('Patent Portfolio'!G24&lt;&gt;"",TRUE(),FALSE()),FALSE()))</f>
        <v>1</v>
      </c>
      <c r="H23" s="202" t="b">
        <f aca="false">IF(Configuration!$C$15="No","",IFERROR(IF(AND(OR(ISNUMBER(SEARCH("process",'Patent Portfolio'!C24)),ISNUMBER(SEARCH("fab",'Patent Portfolio'!C24)),ISNUMBER(SEARCH("manufac",'Patent Portfolio'!C24))),'Patent Portfolio'!K24="Method"),TRUE(),FALSE()),FALSE()))</f>
        <v>0</v>
      </c>
      <c r="I23" s="202" t="b">
        <f aca="false">IF(Configuration!$C$16="No","",IFERROR(IF(AND(OR(ISNUMBER(SEARCH("material",'Patent Portfolio'!C24)),ISNUMBER(SEARCH("chem",'Patent Portfolio'!C24)),ISNUMBER(SEARCH("battery",'Patent Portfolio'!C24)),ISNUMBER(SEARCH("electrolyte",'Patent Portfolio'!C24)),ISNUMBER(SEARCH("polymer",'Patent Portfolio'!C24))),OR('Patent Portfolio'!K24="Apparatus",'Patent Portfolio'!K24="Method")),TRUE(),FALSE()),FALSE()))</f>
        <v>0</v>
      </c>
      <c r="J23" s="202" t="b">
        <f aca="false">IF(Configuration!$C$17="No","",IFERROR(IF(AND(OR('Patent Portfolio'!E24="App",'Patent Portfolio'!E24="Middleware",'Patent Portfolio'!E24="Cloud"),OR('Patent Portfolio'!K24="Method",'Patent Portfolio'!K24="CRM")),TRUE(),FALSE()),FALSE()))</f>
        <v>0</v>
      </c>
      <c r="K23" s="202" t="b">
        <f aca="false">IF(Configuration!$C$18="No","",IFERROR(IF(N('Patent Portfolio'!J24)&gt;=Configuration!$C$45,TRUE(),FALSE()),FALSE()))</f>
        <v>1</v>
      </c>
      <c r="L23" s="202" t="b">
        <f aca="false">IF(Configuration!$C$19="No","",IFERROR(IF('Patent Portfolio'!AA24&lt;&gt;"",TRUE(),FALSE()),FALSE()))</f>
        <v>1</v>
      </c>
      <c r="M23" s="202" t="b">
        <f aca="false">IF(Configuration!$C$20="No","",IFERROR(IF('Patent Portfolio'!K24&lt;&gt;"",TRUE(),FALSE()),FALSE()))</f>
        <v>1</v>
      </c>
      <c r="N23" s="202" t="b">
        <f aca="false">IF(Configuration!$C$21="No","",IFERROR(IF(OR(N('Patent Portfolio'!O24)&gt;=Configuration!$C$46,N('Patent Portfolio'!P24)&gt;=Configuration!$C$47),TRUE(),FALSE()),FALSE()))</f>
        <v>1</v>
      </c>
      <c r="O23" s="202" t="b">
        <f aca="false">IF(Configuration!$C$22="No","",IFERROR(IF('Patent Portfolio'!X24="Yes",TRUE(),FALSE()),FALSE()))</f>
        <v>1</v>
      </c>
      <c r="P23" s="202" t="b">
        <f aca="false">IF(Configuration!$C$23="No","",IFERROR(IF(N('Patent Portfolio'!R24)&gt;=Configuration!$C$48,TRUE(),FALSE()),FALSE()))</f>
        <v>1</v>
      </c>
      <c r="Q23" s="202" t="b">
        <f aca="false">IF(Configuration!$C$24="No","",IFERROR(IF(N('Patent Portfolio'!U24)&gt;0,TRUE(),FALSE()),FALSE()))</f>
        <v>1</v>
      </c>
      <c r="R23" s="202" t="b">
        <f aca="false">IF(Configuration!$C$25="No","",IFERROR(IF(OR(N('Patent Portfolio'!L24)=3,N('Patent Portfolio'!L24)&lt;=1),TRUE(),FALSE()),FALSE()))</f>
        <v>0</v>
      </c>
      <c r="S23" s="202" t="b">
        <f aca="false">IF(Configuration!$C$26="No","",IFERROR(IF(N('Patent Portfolio'!AB24)&gt;=Configuration!$C$49,TRUE(),FALSE()),FALSE()))</f>
        <v>0</v>
      </c>
      <c r="T23" s="202" t="b">
        <f aca="false">IF(Configuration!$C$27="No","",IFERROR(IF('Patent Portfolio'!Z24&lt;&gt;"",TRUE(),FALSE()),FALSE()))</f>
        <v>0</v>
      </c>
      <c r="U23" s="202" t="b">
        <f aca="false">IF(Configuration!$C$28="No","",IFERROR(IF(N('Patent Portfolio'!Q24)&gt;=Configuration!$C$50,TRUE(),FALSE()),FALSE()))</f>
        <v>1</v>
      </c>
      <c r="V23" s="202" t="b">
        <f aca="false">IF(Configuration!$C$29="No","",IFERROR(IF(AND(N('Patent Portfolio'!N24)&gt;=Configuration!$C$51,'Patent Portfolio'!C24&lt;&gt;""),TRUE(),FALSE()),FALSE()))</f>
        <v>1</v>
      </c>
      <c r="W23" s="202" t="b">
        <f aca="false">IF(Configuration!$C$30="No","",IFERROR(IF(OR('Patent Portfolio'!S24="Pending",'Patent Portfolio'!T24="Yes"),TRUE(),FALSE()),FALSE()))</f>
        <v>0</v>
      </c>
      <c r="X23" s="202" t="b">
        <f aca="false">IF(Configuration!$C$31="No","",IFERROR(IF(AND(N('Patent Portfolio'!AC24)&gt;=Configuration!$C$52,N('Patent Portfolio'!L24)&gt;=1),TRUE(),FALSE()),FALSE()))</f>
        <v>1</v>
      </c>
      <c r="Y23" s="202" t="b">
        <f aca="false">IF(Configuration!$C$32="No","",IFERROR(IF(AND(N('Patent Portfolio'!N24)&gt;=1,OR('Patent Portfolio'!C24&lt;&gt;"",'Patent Portfolio'!I24&lt;&gt;"")),TRUE(),FALSE()),FALSE()))</f>
        <v>1</v>
      </c>
      <c r="Z23" s="202" t="b">
        <f aca="false">IF(Configuration!$C$33="No","",IFERROR(IF('Patent Portfolio'!C24&lt;&gt;"",TRUE(),FALSE()),FALSE()))</f>
        <v>1</v>
      </c>
      <c r="AA23" s="202" t="b">
        <f aca="false">IF(Configuration!$C$34="No","",IFERROR(IF('Patent Portfolio'!T24="Yes",TRUE(),FALSE()),FALSE()))</f>
        <v>0</v>
      </c>
      <c r="AB23" s="202" t="b">
        <f aca="false">IF(Configuration!$C$35="No","",IFERROR(IF(OR('Patent Portfolio'!AK24="Partial",'Patent Portfolio'!AK24="Full"),TRUE(),FALSE()),FALSE()))</f>
        <v>1</v>
      </c>
      <c r="AC23" s="202" t="b">
        <f aca="false">IF(Configuration!$C$36="No","",IFERROR(IF('Patent Portfolio'!AI24="Survived",TRUE(),FALSE()),FALSE()))</f>
        <v>1</v>
      </c>
      <c r="AD23" s="202" t="b">
        <f aca="false">IF(Configuration!$C$37="No","",IFERROR(IF(AND('Patent Portfolio'!AJ24="Clean",'Patent Portfolio'!AL24="None"),TRUE(),FALSE()),FALSE()))</f>
        <v>1</v>
      </c>
      <c r="AE23" s="202" t="b">
        <f aca="false">IF(Configuration!$C$38="No","",IFERROR(IF(N('Patent Portfolio'!AG24)&gt;=Configuration!$C$53,TRUE(),FALSE()),FALSE()))</f>
        <v>1</v>
      </c>
      <c r="AF23" s="202" t="b">
        <f aca="false">IF(Configuration!$C$39="No","",IFERROR(IF(AND(N('Patent Portfolio'!AO24)&gt;=2,N('Patent Portfolio'!AB24)&gt;=2),TRUE(),FALSE()),FALSE()))</f>
        <v>0</v>
      </c>
      <c r="AG23" s="202" t="b">
        <f aca="false">IF(Configuration!$C$40="No","",IFERROR(IF(OR(N('Patent Portfolio'!AC24)&lt;=Configuration!$C$56,N('Patent Portfolio'!U24)&lt;Configuration!$C$57,N('Patent Portfolio'!AD24)&lt;=Configuration!$C$58),TRUE(),FALSE()),FALSE()))</f>
        <v>1</v>
      </c>
      <c r="AH23" s="202" t="b">
        <f aca="false">IF(Configuration!$C$41="No","",IFERROR(IF(AND(N('Patent Portfolio'!U24)&gt;=Configuration!$C$54,N('Patent Portfolio'!U24)&lt;=Configuration!$C$55),TRUE(),FALSE()),FALSE()))</f>
        <v>1</v>
      </c>
      <c r="AI23" s="202" t="b">
        <f aca="false">IF(Configuration!$C$42="No","",IFERROR(IF(AND('Patent Portfolio'!C24&lt;&gt;"",'Patent Portfolio'!F24&lt;&gt;""),TRUE(),FALSE()),FALSE()))</f>
        <v>1</v>
      </c>
      <c r="AJ23" s="203" t="n">
        <f aca="false">COUNTIF(C23:AH23,TRUE())</f>
        <v>23</v>
      </c>
    </row>
    <row r="24" customFormat="false" ht="15" hidden="false" customHeight="true" outlineLevel="0" collapsed="false">
      <c r="A24" s="201" t="str">
        <f aca="false">'Patent Portfolio'!A25</f>
        <v>SL-002</v>
      </c>
      <c r="B24" s="201" t="str">
        <f aca="false">'Patent Portfolio'!B25</f>
        <v>Touch haptic feedback encoding for mobile UI</v>
      </c>
      <c r="C24" s="202" t="b">
        <f aca="false">IF(Configuration!$C$10="No","",IFERROR(IF('Patent Portfolio'!C25&lt;&gt;"",TRUE(),FALSE()),FALSE()))</f>
        <v>1</v>
      </c>
      <c r="D24" s="202" t="b">
        <f aca="false">IF(Configuration!$C$11="No","",IFERROR(IF(AND(N('Patent Portfolio'!H25)&gt;=Configuration!$C$44,'Patent Portfolio'!I25&lt;&gt;""),TRUE(),FALSE()),FALSE()))</f>
        <v>0</v>
      </c>
      <c r="E24" s="202" t="b">
        <f aca="false">IF(Configuration!$C$12="No","",IFERROR(IF('Patent Portfolio'!F25&lt;&gt;"",TRUE(),FALSE()),FALSE()))</f>
        <v>1</v>
      </c>
      <c r="F24" s="202" t="b">
        <f aca="false">IF(Configuration!$C$13="No","",IFERROR(IF('Patent Portfolio'!E25&lt;&gt;"",TRUE(),FALSE()),FALSE()))</f>
        <v>1</v>
      </c>
      <c r="G24" s="202" t="b">
        <f aca="false">IF(Configuration!$C$14="No","",IFERROR(IF('Patent Portfolio'!G25&lt;&gt;"",TRUE(),FALSE()),FALSE()))</f>
        <v>1</v>
      </c>
      <c r="H24" s="202" t="b">
        <f aca="false">IF(Configuration!$C$15="No","",IFERROR(IF(AND(OR(ISNUMBER(SEARCH("process",'Patent Portfolio'!C25)),ISNUMBER(SEARCH("fab",'Patent Portfolio'!C25)),ISNUMBER(SEARCH("manufac",'Patent Portfolio'!C25))),'Patent Portfolio'!K25="Method"),TRUE(),FALSE()),FALSE()))</f>
        <v>0</v>
      </c>
      <c r="I24" s="202" t="b">
        <f aca="false">IF(Configuration!$C$16="No","",IFERROR(IF(AND(OR(ISNUMBER(SEARCH("material",'Patent Portfolio'!C25)),ISNUMBER(SEARCH("chem",'Patent Portfolio'!C25)),ISNUMBER(SEARCH("battery",'Patent Portfolio'!C25)),ISNUMBER(SEARCH("electrolyte",'Patent Portfolio'!C25)),ISNUMBER(SEARCH("polymer",'Patent Portfolio'!C25))),OR('Patent Portfolio'!K25="Apparatus",'Patent Portfolio'!K25="Method")),TRUE(),FALSE()),FALSE()))</f>
        <v>0</v>
      </c>
      <c r="J24" s="202" t="b">
        <f aca="false">IF(Configuration!$C$17="No","",IFERROR(IF(AND(OR('Patent Portfolio'!E25="App",'Patent Portfolio'!E25="Middleware",'Patent Portfolio'!E25="Cloud"),OR('Patent Portfolio'!K25="Method",'Patent Portfolio'!K25="CRM")),TRUE(),FALSE()),FALSE()))</f>
        <v>1</v>
      </c>
      <c r="K24" s="202" t="b">
        <f aca="false">IF(Configuration!$C$18="No","",IFERROR(IF(N('Patent Portfolio'!J25)&gt;=Configuration!$C$45,TRUE(),FALSE()),FALSE()))</f>
        <v>0</v>
      </c>
      <c r="L24" s="202" t="b">
        <f aca="false">IF(Configuration!$C$19="No","",IFERROR(IF('Patent Portfolio'!AA25&lt;&gt;"",TRUE(),FALSE()),FALSE()))</f>
        <v>1</v>
      </c>
      <c r="M24" s="202" t="b">
        <f aca="false">IF(Configuration!$C$20="No","",IFERROR(IF('Patent Portfolio'!K25&lt;&gt;"",TRUE(),FALSE()),FALSE()))</f>
        <v>1</v>
      </c>
      <c r="N24" s="202" t="b">
        <f aca="false">IF(Configuration!$C$21="No","",IFERROR(IF(OR(N('Patent Portfolio'!O25)&gt;=Configuration!$C$46,N('Patent Portfolio'!P25)&gt;=Configuration!$C$47),TRUE(),FALSE()),FALSE()))</f>
        <v>1</v>
      </c>
      <c r="O24" s="202" t="b">
        <f aca="false">IF(Configuration!$C$22="No","",IFERROR(IF('Patent Portfolio'!X25="Yes",TRUE(),FALSE()),FALSE()))</f>
        <v>0</v>
      </c>
      <c r="P24" s="202" t="b">
        <f aca="false">IF(Configuration!$C$23="No","",IFERROR(IF(N('Patent Portfolio'!R25)&gt;=Configuration!$C$48,TRUE(),FALSE()),FALSE()))</f>
        <v>1</v>
      </c>
      <c r="Q24" s="202" t="b">
        <f aca="false">IF(Configuration!$C$24="No","",IFERROR(IF(N('Patent Portfolio'!U25)&gt;0,TRUE(),FALSE()),FALSE()))</f>
        <v>1</v>
      </c>
      <c r="R24" s="202" t="b">
        <f aca="false">IF(Configuration!$C$25="No","",IFERROR(IF(OR(N('Patent Portfolio'!L25)=3,N('Patent Portfolio'!L25)&lt;=1),TRUE(),FALSE()),FALSE()))</f>
        <v>0</v>
      </c>
      <c r="S24" s="202" t="b">
        <f aca="false">IF(Configuration!$C$26="No","",IFERROR(IF(N('Patent Portfolio'!AB25)&gt;=Configuration!$C$49,TRUE(),FALSE()),FALSE()))</f>
        <v>1</v>
      </c>
      <c r="T24" s="202" t="b">
        <f aca="false">IF(Configuration!$C$27="No","",IFERROR(IF('Patent Portfolio'!Z25&lt;&gt;"",TRUE(),FALSE()),FALSE()))</f>
        <v>0</v>
      </c>
      <c r="U24" s="202" t="b">
        <f aca="false">IF(Configuration!$C$28="No","",IFERROR(IF(N('Patent Portfolio'!Q25)&gt;=Configuration!$C$50,TRUE(),FALSE()),FALSE()))</f>
        <v>1</v>
      </c>
      <c r="V24" s="202" t="b">
        <f aca="false">IF(Configuration!$C$29="No","",IFERROR(IF(AND(N('Patent Portfolio'!N25)&gt;=Configuration!$C$51,'Patent Portfolio'!C25&lt;&gt;""),TRUE(),FALSE()),FALSE()))</f>
        <v>1</v>
      </c>
      <c r="W24" s="202" t="b">
        <f aca="false">IF(Configuration!$C$30="No","",IFERROR(IF(OR('Patent Portfolio'!S25="Pending",'Patent Portfolio'!T25="Yes"),TRUE(),FALSE()),FALSE()))</f>
        <v>0</v>
      </c>
      <c r="X24" s="202" t="b">
        <f aca="false">IF(Configuration!$C$31="No","",IFERROR(IF(AND(N('Patent Portfolio'!AC25)&gt;=Configuration!$C$52,N('Patent Portfolio'!L25)&gt;=1),TRUE(),FALSE()),FALSE()))</f>
        <v>1</v>
      </c>
      <c r="Y24" s="202" t="b">
        <f aca="false">IF(Configuration!$C$32="No","",IFERROR(IF(AND(N('Patent Portfolio'!N25)&gt;=1,OR('Patent Portfolio'!C25&lt;&gt;"",'Patent Portfolio'!I25&lt;&gt;"")),TRUE(),FALSE()),FALSE()))</f>
        <v>1</v>
      </c>
      <c r="Z24" s="202" t="b">
        <f aca="false">IF(Configuration!$C$33="No","",IFERROR(IF('Patent Portfolio'!C25&lt;&gt;"",TRUE(),FALSE()),FALSE()))</f>
        <v>1</v>
      </c>
      <c r="AA24" s="202" t="b">
        <f aca="false">IF(Configuration!$C$34="No","",IFERROR(IF('Patent Portfolio'!T25="Yes",TRUE(),FALSE()),FALSE()))</f>
        <v>0</v>
      </c>
      <c r="AB24" s="202" t="b">
        <f aca="false">IF(Configuration!$C$35="No","",IFERROR(IF(OR('Patent Portfolio'!AK25="Partial",'Patent Portfolio'!AK25="Full"),TRUE(),FALSE()),FALSE()))</f>
        <v>1</v>
      </c>
      <c r="AC24" s="202" t="b">
        <f aca="false">IF(Configuration!$C$36="No","",IFERROR(IF('Patent Portfolio'!AI25="Survived",TRUE(),FALSE()),FALSE()))</f>
        <v>1</v>
      </c>
      <c r="AD24" s="202" t="b">
        <f aca="false">IF(Configuration!$C$37="No","",IFERROR(IF(AND('Patent Portfolio'!AJ25="Clean",'Patent Portfolio'!AL25="None"),TRUE(),FALSE()),FALSE()))</f>
        <v>1</v>
      </c>
      <c r="AE24" s="202" t="b">
        <f aca="false">IF(Configuration!$C$38="No","",IFERROR(IF(N('Patent Portfolio'!AG25)&gt;=Configuration!$C$53,TRUE(),FALSE()),FALSE()))</f>
        <v>0</v>
      </c>
      <c r="AF24" s="202" t="b">
        <f aca="false">IF(Configuration!$C$39="No","",IFERROR(IF(AND(N('Patent Portfolio'!AO25)&gt;=2,N('Patent Portfolio'!AB25)&gt;=2),TRUE(),FALSE()),FALSE()))</f>
        <v>1</v>
      </c>
      <c r="AG24" s="202" t="b">
        <f aca="false">IF(Configuration!$C$40="No","",IFERROR(IF(OR(N('Patent Portfolio'!AC25)&lt;=Configuration!$C$56,N('Patent Portfolio'!U25)&lt;Configuration!$C$57,N('Patent Portfolio'!AD25)&lt;=Configuration!$C$58),TRUE(),FALSE()),FALSE()))</f>
        <v>1</v>
      </c>
      <c r="AH24" s="202" t="b">
        <f aca="false">IF(Configuration!$C$41="No","",IFERROR(IF(AND(N('Patent Portfolio'!U25)&gt;=Configuration!$C$54,N('Patent Portfolio'!U25)&lt;=Configuration!$C$55),TRUE(),FALSE()),FALSE()))</f>
        <v>1</v>
      </c>
      <c r="AI24" s="202" t="b">
        <f aca="false">IF(Configuration!$C$42="No","",IFERROR(IF(AND('Patent Portfolio'!C25&lt;&gt;"",'Patent Portfolio'!F25&lt;&gt;""),TRUE(),FALSE()),FALSE()))</f>
        <v>1</v>
      </c>
      <c r="AJ24" s="203" t="n">
        <f aca="false">COUNTIF(C24:AH24,TRUE())</f>
        <v>22</v>
      </c>
    </row>
    <row r="25" customFormat="false" ht="15" hidden="false" customHeight="true" outlineLevel="0" collapsed="false">
      <c r="A25" s="201" t="str">
        <f aca="false">'Patent Portfolio'!A26</f>
        <v>SL-003</v>
      </c>
      <c r="B25" s="201" t="str">
        <f aca="false">'Patent Portfolio'!B26</f>
        <v>Low-power wake-word detection on microcontrollers</v>
      </c>
      <c r="C25" s="202" t="b">
        <f aca="false">IF(Configuration!$C$10="No","",IFERROR(IF('Patent Portfolio'!C26&lt;&gt;"",TRUE(),FALSE()),FALSE()))</f>
        <v>1</v>
      </c>
      <c r="D25" s="202" t="b">
        <f aca="false">IF(Configuration!$C$11="No","",IFERROR(IF(AND(N('Patent Portfolio'!H26)&gt;=Configuration!$C$44,'Patent Portfolio'!I26&lt;&gt;""),TRUE(),FALSE()),FALSE()))</f>
        <v>0</v>
      </c>
      <c r="E25" s="202" t="b">
        <f aca="false">IF(Configuration!$C$12="No","",IFERROR(IF('Patent Portfolio'!F26&lt;&gt;"",TRUE(),FALSE()),FALSE()))</f>
        <v>1</v>
      </c>
      <c r="F25" s="202" t="b">
        <f aca="false">IF(Configuration!$C$13="No","",IFERROR(IF('Patent Portfolio'!E26&lt;&gt;"",TRUE(),FALSE()),FALSE()))</f>
        <v>1</v>
      </c>
      <c r="G25" s="202" t="b">
        <f aca="false">IF(Configuration!$C$14="No","",IFERROR(IF('Patent Portfolio'!G26&lt;&gt;"",TRUE(),FALSE()),FALSE()))</f>
        <v>1</v>
      </c>
      <c r="H25" s="202" t="b">
        <f aca="false">IF(Configuration!$C$15="No","",IFERROR(IF(AND(OR(ISNUMBER(SEARCH("process",'Patent Portfolio'!C26)),ISNUMBER(SEARCH("fab",'Patent Portfolio'!C26)),ISNUMBER(SEARCH("manufac",'Patent Portfolio'!C26))),'Patent Portfolio'!K26="Method"),TRUE(),FALSE()),FALSE()))</f>
        <v>0</v>
      </c>
      <c r="I25" s="202" t="b">
        <f aca="false">IF(Configuration!$C$16="No","",IFERROR(IF(AND(OR(ISNUMBER(SEARCH("material",'Patent Portfolio'!C26)),ISNUMBER(SEARCH("chem",'Patent Portfolio'!C26)),ISNUMBER(SEARCH("battery",'Patent Portfolio'!C26)),ISNUMBER(SEARCH("electrolyte",'Patent Portfolio'!C26)),ISNUMBER(SEARCH("polymer",'Patent Portfolio'!C26))),OR('Patent Portfolio'!K26="Apparatus",'Patent Portfolio'!K26="Method")),TRUE(),FALSE()),FALSE()))</f>
        <v>0</v>
      </c>
      <c r="J25" s="202" t="b">
        <f aca="false">IF(Configuration!$C$17="No","",IFERROR(IF(AND(OR('Patent Portfolio'!E26="App",'Patent Portfolio'!E26="Middleware",'Patent Portfolio'!E26="Cloud"),OR('Patent Portfolio'!K26="Method",'Patent Portfolio'!K26="CRM")),TRUE(),FALSE()),FALSE()))</f>
        <v>0</v>
      </c>
      <c r="K25" s="202" t="b">
        <f aca="false">IF(Configuration!$C$18="No","",IFERROR(IF(N('Patent Portfolio'!J26)&gt;=Configuration!$C$45,TRUE(),FALSE()),FALSE()))</f>
        <v>0</v>
      </c>
      <c r="L25" s="202" t="b">
        <f aca="false">IF(Configuration!$C$19="No","",IFERROR(IF('Patent Portfolio'!AA26&lt;&gt;"",TRUE(),FALSE()),FALSE()))</f>
        <v>1</v>
      </c>
      <c r="M25" s="202" t="b">
        <f aca="false">IF(Configuration!$C$20="No","",IFERROR(IF('Patent Portfolio'!K26&lt;&gt;"",TRUE(),FALSE()),FALSE()))</f>
        <v>1</v>
      </c>
      <c r="N25" s="202" t="b">
        <f aca="false">IF(Configuration!$C$21="No","",IFERROR(IF(OR(N('Patent Portfolio'!O26)&gt;=Configuration!$C$46,N('Patent Portfolio'!P26)&gt;=Configuration!$C$47),TRUE(),FALSE()),FALSE()))</f>
        <v>1</v>
      </c>
      <c r="O25" s="202" t="b">
        <f aca="false">IF(Configuration!$C$22="No","",IFERROR(IF('Patent Portfolio'!X26="Yes",TRUE(),FALSE()),FALSE()))</f>
        <v>0</v>
      </c>
      <c r="P25" s="202" t="b">
        <f aca="false">IF(Configuration!$C$23="No","",IFERROR(IF(N('Patent Portfolio'!R26)&gt;=Configuration!$C$48,TRUE(),FALSE()),FALSE()))</f>
        <v>1</v>
      </c>
      <c r="Q25" s="202" t="b">
        <f aca="false">IF(Configuration!$C$24="No","",IFERROR(IF(N('Patent Portfolio'!U26)&gt;0,TRUE(),FALSE()),FALSE()))</f>
        <v>1</v>
      </c>
      <c r="R25" s="202" t="b">
        <f aca="false">IF(Configuration!$C$25="No","",IFERROR(IF(OR(N('Patent Portfolio'!L26)=3,N('Patent Portfolio'!L26)&lt;=1),TRUE(),FALSE()),FALSE()))</f>
        <v>0</v>
      </c>
      <c r="S25" s="202" t="b">
        <f aca="false">IF(Configuration!$C$26="No","",IFERROR(IF(N('Patent Portfolio'!AB26)&gt;=Configuration!$C$49,TRUE(),FALSE()),FALSE()))</f>
        <v>1</v>
      </c>
      <c r="T25" s="202" t="b">
        <f aca="false">IF(Configuration!$C$27="No","",IFERROR(IF('Patent Portfolio'!Z26&lt;&gt;"",TRUE(),FALSE()),FALSE()))</f>
        <v>1</v>
      </c>
      <c r="U25" s="202" t="b">
        <f aca="false">IF(Configuration!$C$28="No","",IFERROR(IF(N('Patent Portfolio'!Q26)&gt;=Configuration!$C$50,TRUE(),FALSE()),FALSE()))</f>
        <v>1</v>
      </c>
      <c r="V25" s="202" t="b">
        <f aca="false">IF(Configuration!$C$29="No","",IFERROR(IF(AND(N('Patent Portfolio'!N26)&gt;=Configuration!$C$51,'Patent Portfolio'!C26&lt;&gt;""),TRUE(),FALSE()),FALSE()))</f>
        <v>0</v>
      </c>
      <c r="W25" s="202" t="b">
        <f aca="false">IF(Configuration!$C$30="No","",IFERROR(IF(OR('Patent Portfolio'!S26="Pending",'Patent Portfolio'!T26="Yes"),TRUE(),FALSE()),FALSE()))</f>
        <v>0</v>
      </c>
      <c r="X25" s="202" t="b">
        <f aca="false">IF(Configuration!$C$31="No","",IFERROR(IF(AND(N('Patent Portfolio'!AC26)&gt;=Configuration!$C$52,N('Patent Portfolio'!L26)&gt;=1),TRUE(),FALSE()),FALSE()))</f>
        <v>1</v>
      </c>
      <c r="Y25" s="202" t="b">
        <f aca="false">IF(Configuration!$C$32="No","",IFERROR(IF(AND(N('Patent Portfolio'!N26)&gt;=1,OR('Patent Portfolio'!C26&lt;&gt;"",'Patent Portfolio'!I26&lt;&gt;"")),TRUE(),FALSE()),FALSE()))</f>
        <v>1</v>
      </c>
      <c r="Z25" s="202" t="b">
        <f aca="false">IF(Configuration!$C$33="No","",IFERROR(IF('Patent Portfolio'!C26&lt;&gt;"",TRUE(),FALSE()),FALSE()))</f>
        <v>1</v>
      </c>
      <c r="AA25" s="202" t="b">
        <f aca="false">IF(Configuration!$C$34="No","",IFERROR(IF('Patent Portfolio'!T26="Yes",TRUE(),FALSE()),FALSE()))</f>
        <v>0</v>
      </c>
      <c r="AB25" s="202" t="b">
        <f aca="false">IF(Configuration!$C$35="No","",IFERROR(IF(OR('Patent Portfolio'!AK26="Partial",'Patent Portfolio'!AK26="Full"),TRUE(),FALSE()),FALSE()))</f>
        <v>1</v>
      </c>
      <c r="AC25" s="202" t="b">
        <f aca="false">IF(Configuration!$C$36="No","",IFERROR(IF('Patent Portfolio'!AI26="Survived",TRUE(),FALSE()),FALSE()))</f>
        <v>0</v>
      </c>
      <c r="AD25" s="202" t="b">
        <f aca="false">IF(Configuration!$C$37="No","",IFERROR(IF(AND('Patent Portfolio'!AJ26="Clean",'Patent Portfolio'!AL26="None"),TRUE(),FALSE()),FALSE()))</f>
        <v>1</v>
      </c>
      <c r="AE25" s="202" t="b">
        <f aca="false">IF(Configuration!$C$38="No","",IFERROR(IF(N('Patent Portfolio'!AG26)&gt;=Configuration!$C$53,TRUE(),FALSE()),FALSE()))</f>
        <v>0</v>
      </c>
      <c r="AF25" s="202" t="b">
        <f aca="false">IF(Configuration!$C$39="No","",IFERROR(IF(AND(N('Patent Portfolio'!AO26)&gt;=2,N('Patent Portfolio'!AB26)&gt;=2),TRUE(),FALSE()),FALSE()))</f>
        <v>1</v>
      </c>
      <c r="AG25" s="202" t="b">
        <f aca="false">IF(Configuration!$C$40="No","",IFERROR(IF(OR(N('Patent Portfolio'!AC26)&lt;=Configuration!$C$56,N('Patent Portfolio'!U26)&lt;Configuration!$C$57,N('Patent Portfolio'!AD26)&lt;=Configuration!$C$58),TRUE(),FALSE()),FALSE()))</f>
        <v>1</v>
      </c>
      <c r="AH25" s="202" t="b">
        <f aca="false">IF(Configuration!$C$41="No","",IFERROR(IF(AND(N('Patent Portfolio'!U26)&gt;=Configuration!$C$54,N('Patent Portfolio'!U26)&lt;=Configuration!$C$55),TRUE(),FALSE()),FALSE()))</f>
        <v>1</v>
      </c>
      <c r="AI25" s="202" t="b">
        <f aca="false">IF(Configuration!$C$42="No","",IFERROR(IF(AND('Patent Portfolio'!C26&lt;&gt;"",'Patent Portfolio'!F26&lt;&gt;""),TRUE(),FALSE()),FALSE()))</f>
        <v>1</v>
      </c>
      <c r="AJ25" s="203" t="n">
        <f aca="false">COUNTIF(C25:AH25,TRUE())</f>
        <v>20</v>
      </c>
    </row>
    <row r="26" customFormat="false" ht="15" hidden="false" customHeight="true" outlineLevel="0" collapsed="false">
      <c r="A26" s="201" t="str">
        <f aca="false">'Patent Portfolio'!A27</f>
        <v>SL-004</v>
      </c>
      <c r="B26" s="201" t="str">
        <f aca="false">'Patent Portfolio'!B27</f>
        <v>Fingerprint sensor anti-spoofing via impedance spectroscopy</v>
      </c>
      <c r="C26" s="202" t="b">
        <f aca="false">IF(Configuration!$C$10="No","",IFERROR(IF('Patent Portfolio'!C27&lt;&gt;"",TRUE(),FALSE()),FALSE()))</f>
        <v>1</v>
      </c>
      <c r="D26" s="202" t="b">
        <f aca="false">IF(Configuration!$C$11="No","",IFERROR(IF(AND(N('Patent Portfolio'!H27)&gt;=Configuration!$C$44,'Patent Portfolio'!I27&lt;&gt;""),TRUE(),FALSE()),FALSE()))</f>
        <v>0</v>
      </c>
      <c r="E26" s="202" t="b">
        <f aca="false">IF(Configuration!$C$12="No","",IFERROR(IF('Patent Portfolio'!F27&lt;&gt;"",TRUE(),FALSE()),FALSE()))</f>
        <v>1</v>
      </c>
      <c r="F26" s="202" t="b">
        <f aca="false">IF(Configuration!$C$13="No","",IFERROR(IF('Patent Portfolio'!E27&lt;&gt;"",TRUE(),FALSE()),FALSE()))</f>
        <v>1</v>
      </c>
      <c r="G26" s="202" t="b">
        <f aca="false">IF(Configuration!$C$14="No","",IFERROR(IF('Patent Portfolio'!G27&lt;&gt;"",TRUE(),FALSE()),FALSE()))</f>
        <v>1</v>
      </c>
      <c r="H26" s="202" t="b">
        <f aca="false">IF(Configuration!$C$15="No","",IFERROR(IF(AND(OR(ISNUMBER(SEARCH("process",'Patent Portfolio'!C27)),ISNUMBER(SEARCH("fab",'Patent Portfolio'!C27)),ISNUMBER(SEARCH("manufac",'Patent Portfolio'!C27))),'Patent Portfolio'!K27="Method"),TRUE(),FALSE()),FALSE()))</f>
        <v>0</v>
      </c>
      <c r="I26" s="202" t="b">
        <f aca="false">IF(Configuration!$C$16="No","",IFERROR(IF(AND(OR(ISNUMBER(SEARCH("material",'Patent Portfolio'!C27)),ISNUMBER(SEARCH("chem",'Patent Portfolio'!C27)),ISNUMBER(SEARCH("battery",'Patent Portfolio'!C27)),ISNUMBER(SEARCH("electrolyte",'Patent Portfolio'!C27)),ISNUMBER(SEARCH("polymer",'Patent Portfolio'!C27))),OR('Patent Portfolio'!K27="Apparatus",'Patent Portfolio'!K27="Method")),TRUE(),FALSE()),FALSE()))</f>
        <v>0</v>
      </c>
      <c r="J26" s="202" t="b">
        <f aca="false">IF(Configuration!$C$17="No","",IFERROR(IF(AND(OR('Patent Portfolio'!E27="App",'Patent Portfolio'!E27="Middleware",'Patent Portfolio'!E27="Cloud"),OR('Patent Portfolio'!K27="Method",'Patent Portfolio'!K27="CRM")),TRUE(),FALSE()),FALSE()))</f>
        <v>0</v>
      </c>
      <c r="K26" s="202" t="b">
        <f aca="false">IF(Configuration!$C$18="No","",IFERROR(IF(N('Patent Portfolio'!J27)&gt;=Configuration!$C$45,TRUE(),FALSE()),FALSE()))</f>
        <v>0</v>
      </c>
      <c r="L26" s="202" t="b">
        <f aca="false">IF(Configuration!$C$19="No","",IFERROR(IF('Patent Portfolio'!AA27&lt;&gt;"",TRUE(),FALSE()),FALSE()))</f>
        <v>1</v>
      </c>
      <c r="M26" s="202" t="b">
        <f aca="false">IF(Configuration!$C$20="No","",IFERROR(IF('Patent Portfolio'!K27&lt;&gt;"",TRUE(),FALSE()),FALSE()))</f>
        <v>1</v>
      </c>
      <c r="N26" s="202" t="b">
        <f aca="false">IF(Configuration!$C$21="No","",IFERROR(IF(OR(N('Patent Portfolio'!O27)&gt;=Configuration!$C$46,N('Patent Portfolio'!P27)&gt;=Configuration!$C$47),TRUE(),FALSE()),FALSE()))</f>
        <v>1</v>
      </c>
      <c r="O26" s="202" t="b">
        <f aca="false">IF(Configuration!$C$22="No","",IFERROR(IF('Patent Portfolio'!X27="Yes",TRUE(),FALSE()),FALSE()))</f>
        <v>1</v>
      </c>
      <c r="P26" s="202" t="b">
        <f aca="false">IF(Configuration!$C$23="No","",IFERROR(IF(N('Patent Portfolio'!R27)&gt;=Configuration!$C$48,TRUE(),FALSE()),FALSE()))</f>
        <v>1</v>
      </c>
      <c r="Q26" s="202" t="b">
        <f aca="false">IF(Configuration!$C$24="No","",IFERROR(IF(N('Patent Portfolio'!U27)&gt;0,TRUE(),FALSE()),FALSE()))</f>
        <v>1</v>
      </c>
      <c r="R26" s="202" t="b">
        <f aca="false">IF(Configuration!$C$25="No","",IFERROR(IF(OR(N('Patent Portfolio'!L27)=3,N('Patent Portfolio'!L27)&lt;=1),TRUE(),FALSE()),FALSE()))</f>
        <v>1</v>
      </c>
      <c r="S26" s="202" t="b">
        <f aca="false">IF(Configuration!$C$26="No","",IFERROR(IF(N('Patent Portfolio'!AB27)&gt;=Configuration!$C$49,TRUE(),FALSE()),FALSE()))</f>
        <v>1</v>
      </c>
      <c r="T26" s="202" t="b">
        <f aca="false">IF(Configuration!$C$27="No","",IFERROR(IF('Patent Portfolio'!Z27&lt;&gt;"",TRUE(),FALSE()),FALSE()))</f>
        <v>0</v>
      </c>
      <c r="U26" s="202" t="b">
        <f aca="false">IF(Configuration!$C$28="No","",IFERROR(IF(N('Patent Portfolio'!Q27)&gt;=Configuration!$C$50,TRUE(),FALSE()),FALSE()))</f>
        <v>1</v>
      </c>
      <c r="V26" s="202" t="b">
        <f aca="false">IF(Configuration!$C$29="No","",IFERROR(IF(AND(N('Patent Portfolio'!N27)&gt;=Configuration!$C$51,'Patent Portfolio'!C27&lt;&gt;""),TRUE(),FALSE()),FALSE()))</f>
        <v>1</v>
      </c>
      <c r="W26" s="202" t="b">
        <f aca="false">IF(Configuration!$C$30="No","",IFERROR(IF(OR('Patent Portfolio'!S27="Pending",'Patent Portfolio'!T27="Yes"),TRUE(),FALSE()),FALSE()))</f>
        <v>0</v>
      </c>
      <c r="X26" s="202" t="b">
        <f aca="false">IF(Configuration!$C$31="No","",IFERROR(IF(AND(N('Patent Portfolio'!AC27)&gt;=Configuration!$C$52,N('Patent Portfolio'!L27)&gt;=1),TRUE(),FALSE()),FALSE()))</f>
        <v>1</v>
      </c>
      <c r="Y26" s="202" t="b">
        <f aca="false">IF(Configuration!$C$32="No","",IFERROR(IF(AND(N('Patent Portfolio'!N27)&gt;=1,OR('Patent Portfolio'!C27&lt;&gt;"",'Patent Portfolio'!I27&lt;&gt;"")),TRUE(),FALSE()),FALSE()))</f>
        <v>1</v>
      </c>
      <c r="Z26" s="202" t="b">
        <f aca="false">IF(Configuration!$C$33="No","",IFERROR(IF('Patent Portfolio'!C27&lt;&gt;"",TRUE(),FALSE()),FALSE()))</f>
        <v>1</v>
      </c>
      <c r="AA26" s="202" t="b">
        <f aca="false">IF(Configuration!$C$34="No","",IFERROR(IF('Patent Portfolio'!T27="Yes",TRUE(),FALSE()),FALSE()))</f>
        <v>0</v>
      </c>
      <c r="AB26" s="202" t="b">
        <f aca="false">IF(Configuration!$C$35="No","",IFERROR(IF(OR('Patent Portfolio'!AK27="Partial",'Patent Portfolio'!AK27="Full"),TRUE(),FALSE()),FALSE()))</f>
        <v>1</v>
      </c>
      <c r="AC26" s="202" t="b">
        <f aca="false">IF(Configuration!$C$36="No","",IFERROR(IF('Patent Portfolio'!AI27="Survived",TRUE(),FALSE()),FALSE()))</f>
        <v>1</v>
      </c>
      <c r="AD26" s="202" t="b">
        <f aca="false">IF(Configuration!$C$37="No","",IFERROR(IF(AND('Patent Portfolio'!AJ27="Clean",'Patent Portfolio'!AL27="None"),TRUE(),FALSE()),FALSE()))</f>
        <v>1</v>
      </c>
      <c r="AE26" s="202" t="b">
        <f aca="false">IF(Configuration!$C$38="No","",IFERROR(IF(N('Patent Portfolio'!AG27)&gt;=Configuration!$C$53,TRUE(),FALSE()),FALSE()))</f>
        <v>1</v>
      </c>
      <c r="AF26" s="202" t="b">
        <f aca="false">IF(Configuration!$C$39="No","",IFERROR(IF(AND(N('Patent Portfolio'!AO27)&gt;=2,N('Patent Portfolio'!AB27)&gt;=2),TRUE(),FALSE()),FALSE()))</f>
        <v>1</v>
      </c>
      <c r="AG26" s="202" t="b">
        <f aca="false">IF(Configuration!$C$40="No","",IFERROR(IF(OR(N('Patent Portfolio'!AC27)&lt;=Configuration!$C$56,N('Patent Portfolio'!U27)&lt;Configuration!$C$57,N('Patent Portfolio'!AD27)&lt;=Configuration!$C$58),TRUE(),FALSE()),FALSE()))</f>
        <v>1</v>
      </c>
      <c r="AH26" s="202" t="b">
        <f aca="false">IF(Configuration!$C$41="No","",IFERROR(IF(AND(N('Patent Portfolio'!U27)&gt;=Configuration!$C$54,N('Patent Portfolio'!U27)&lt;=Configuration!$C$55),TRUE(),FALSE()),FALSE()))</f>
        <v>1</v>
      </c>
      <c r="AI26" s="202" t="b">
        <f aca="false">IF(Configuration!$C$42="No","",IFERROR(IF(AND('Patent Portfolio'!C27&lt;&gt;"",'Patent Portfolio'!F27&lt;&gt;""),TRUE(),FALSE()),FALSE()))</f>
        <v>1</v>
      </c>
      <c r="AJ26" s="203" t="n">
        <f aca="false">COUNTIF(C26:AH26,TRUE())</f>
        <v>24</v>
      </c>
    </row>
    <row r="27" customFormat="false" ht="15" hidden="false" customHeight="true" outlineLevel="0" collapsed="false">
      <c r="A27" s="201" t="str">
        <f aca="false">'Patent Portfolio'!A28</f>
        <v>SL-005</v>
      </c>
      <c r="B27" s="201" t="str">
        <f aca="false">'Patent Portfolio'!B28</f>
        <v>DRAM refresh power optimization algorithm</v>
      </c>
      <c r="C27" s="202" t="b">
        <f aca="false">IF(Configuration!$C$10="No","",IFERROR(IF('Patent Portfolio'!C28&lt;&gt;"",TRUE(),FALSE()),FALSE()))</f>
        <v>1</v>
      </c>
      <c r="D27" s="202" t="b">
        <f aca="false">IF(Configuration!$C$11="No","",IFERROR(IF(AND(N('Patent Portfolio'!H28)&gt;=Configuration!$C$44,'Patent Portfolio'!I28&lt;&gt;""),TRUE(),FALSE()),FALSE()))</f>
        <v>0</v>
      </c>
      <c r="E27" s="202" t="b">
        <f aca="false">IF(Configuration!$C$12="No","",IFERROR(IF('Patent Portfolio'!F28&lt;&gt;"",TRUE(),FALSE()),FALSE()))</f>
        <v>1</v>
      </c>
      <c r="F27" s="202" t="b">
        <f aca="false">IF(Configuration!$C$13="No","",IFERROR(IF('Patent Portfolio'!E28&lt;&gt;"",TRUE(),FALSE()),FALSE()))</f>
        <v>1</v>
      </c>
      <c r="G27" s="202" t="b">
        <f aca="false">IF(Configuration!$C$14="No","",IFERROR(IF('Patent Portfolio'!G28&lt;&gt;"",TRUE(),FALSE()),FALSE()))</f>
        <v>1</v>
      </c>
      <c r="H27" s="202" t="b">
        <f aca="false">IF(Configuration!$C$15="No","",IFERROR(IF(AND(OR(ISNUMBER(SEARCH("process",'Patent Portfolio'!C28)),ISNUMBER(SEARCH("fab",'Patent Portfolio'!C28)),ISNUMBER(SEARCH("manufac",'Patent Portfolio'!C28))),'Patent Portfolio'!K28="Method"),TRUE(),FALSE()),FALSE()))</f>
        <v>0</v>
      </c>
      <c r="I27" s="202" t="b">
        <f aca="false">IF(Configuration!$C$16="No","",IFERROR(IF(AND(OR(ISNUMBER(SEARCH("material",'Patent Portfolio'!C28)),ISNUMBER(SEARCH("chem",'Patent Portfolio'!C28)),ISNUMBER(SEARCH("battery",'Patent Portfolio'!C28)),ISNUMBER(SEARCH("electrolyte",'Patent Portfolio'!C28)),ISNUMBER(SEARCH("polymer",'Patent Portfolio'!C28))),OR('Patent Portfolio'!K28="Apparatus",'Patent Portfolio'!K28="Method")),TRUE(),FALSE()),FALSE()))</f>
        <v>0</v>
      </c>
      <c r="J27" s="202" t="b">
        <f aca="false">IF(Configuration!$C$17="No","",IFERROR(IF(AND(OR('Patent Portfolio'!E28="App",'Patent Portfolio'!E28="Middleware",'Patent Portfolio'!E28="Cloud"),OR('Patent Portfolio'!K28="Method",'Patent Portfolio'!K28="CRM")),TRUE(),FALSE()),FALSE()))</f>
        <v>0</v>
      </c>
      <c r="K27" s="202" t="b">
        <f aca="false">IF(Configuration!$C$18="No","",IFERROR(IF(N('Patent Portfolio'!J28)&gt;=Configuration!$C$45,TRUE(),FALSE()),FALSE()))</f>
        <v>0</v>
      </c>
      <c r="L27" s="202" t="b">
        <f aca="false">IF(Configuration!$C$19="No","",IFERROR(IF('Patent Portfolio'!AA28&lt;&gt;"",TRUE(),FALSE()),FALSE()))</f>
        <v>1</v>
      </c>
      <c r="M27" s="202" t="b">
        <f aca="false">IF(Configuration!$C$20="No","",IFERROR(IF('Patent Portfolio'!K28&lt;&gt;"",TRUE(),FALSE()),FALSE()))</f>
        <v>1</v>
      </c>
      <c r="N27" s="202" t="b">
        <f aca="false">IF(Configuration!$C$21="No","",IFERROR(IF(OR(N('Patent Portfolio'!O28)&gt;=Configuration!$C$46,N('Patent Portfolio'!P28)&gt;=Configuration!$C$47),TRUE(),FALSE()),FALSE()))</f>
        <v>1</v>
      </c>
      <c r="O27" s="202" t="b">
        <f aca="false">IF(Configuration!$C$22="No","",IFERROR(IF('Patent Portfolio'!X28="Yes",TRUE(),FALSE()),FALSE()))</f>
        <v>0</v>
      </c>
      <c r="P27" s="202" t="b">
        <f aca="false">IF(Configuration!$C$23="No","",IFERROR(IF(N('Patent Portfolio'!R28)&gt;=Configuration!$C$48,TRUE(),FALSE()),FALSE()))</f>
        <v>1</v>
      </c>
      <c r="Q27" s="202" t="b">
        <f aca="false">IF(Configuration!$C$24="No","",IFERROR(IF(N('Patent Portfolio'!U28)&gt;0,TRUE(),FALSE()),FALSE()))</f>
        <v>1</v>
      </c>
      <c r="R27" s="202" t="b">
        <f aca="false">IF(Configuration!$C$25="No","",IFERROR(IF(OR(N('Patent Portfolio'!L28)=3,N('Patent Portfolio'!L28)&lt;=1),TRUE(),FALSE()),FALSE()))</f>
        <v>0</v>
      </c>
      <c r="S27" s="202" t="b">
        <f aca="false">IF(Configuration!$C$26="No","",IFERROR(IF(N('Patent Portfolio'!AB28)&gt;=Configuration!$C$49,TRUE(),FALSE()),FALSE()))</f>
        <v>1</v>
      </c>
      <c r="T27" s="202" t="b">
        <f aca="false">IF(Configuration!$C$27="No","",IFERROR(IF('Patent Portfolio'!Z28&lt;&gt;"",TRUE(),FALSE()),FALSE()))</f>
        <v>0</v>
      </c>
      <c r="U27" s="202" t="b">
        <f aca="false">IF(Configuration!$C$28="No","",IFERROR(IF(N('Patent Portfolio'!Q28)&gt;=Configuration!$C$50,TRUE(),FALSE()),FALSE()))</f>
        <v>1</v>
      </c>
      <c r="V27" s="202" t="b">
        <f aca="false">IF(Configuration!$C$29="No","",IFERROR(IF(AND(N('Patent Portfolio'!N28)&gt;=Configuration!$C$51,'Patent Portfolio'!C28&lt;&gt;""),TRUE(),FALSE()),FALSE()))</f>
        <v>1</v>
      </c>
      <c r="W27" s="202" t="b">
        <f aca="false">IF(Configuration!$C$30="No","",IFERROR(IF(OR('Patent Portfolio'!S28="Pending",'Patent Portfolio'!T28="Yes"),TRUE(),FALSE()),FALSE()))</f>
        <v>0</v>
      </c>
      <c r="X27" s="202" t="b">
        <f aca="false">IF(Configuration!$C$31="No","",IFERROR(IF(AND(N('Patent Portfolio'!AC28)&gt;=Configuration!$C$52,N('Patent Portfolio'!L28)&gt;=1),TRUE(),FALSE()),FALSE()))</f>
        <v>1</v>
      </c>
      <c r="Y27" s="202" t="b">
        <f aca="false">IF(Configuration!$C$32="No","",IFERROR(IF(AND(N('Patent Portfolio'!N28)&gt;=1,OR('Patent Portfolio'!C28&lt;&gt;"",'Patent Portfolio'!I28&lt;&gt;"")),TRUE(),FALSE()),FALSE()))</f>
        <v>1</v>
      </c>
      <c r="Z27" s="202" t="b">
        <f aca="false">IF(Configuration!$C$33="No","",IFERROR(IF('Patent Portfolio'!C28&lt;&gt;"",TRUE(),FALSE()),FALSE()))</f>
        <v>1</v>
      </c>
      <c r="AA27" s="202" t="b">
        <f aca="false">IF(Configuration!$C$34="No","",IFERROR(IF('Patent Portfolio'!T28="Yes",TRUE(),FALSE()),FALSE()))</f>
        <v>0</v>
      </c>
      <c r="AB27" s="202" t="b">
        <f aca="false">IF(Configuration!$C$35="No","",IFERROR(IF(OR('Patent Portfolio'!AK28="Partial",'Patent Portfolio'!AK28="Full"),TRUE(),FALSE()),FALSE()))</f>
        <v>1</v>
      </c>
      <c r="AC27" s="202" t="b">
        <f aca="false">IF(Configuration!$C$36="No","",IFERROR(IF('Patent Portfolio'!AI28="Survived",TRUE(),FALSE()),FALSE()))</f>
        <v>1</v>
      </c>
      <c r="AD27" s="202" t="b">
        <f aca="false">IF(Configuration!$C$37="No","",IFERROR(IF(AND('Patent Portfolio'!AJ28="Clean",'Patent Portfolio'!AL28="None"),TRUE(),FALSE()),FALSE()))</f>
        <v>1</v>
      </c>
      <c r="AE27" s="202" t="b">
        <f aca="false">IF(Configuration!$C$38="No","",IFERROR(IF(N('Patent Portfolio'!AG28)&gt;=Configuration!$C$53,TRUE(),FALSE()),FALSE()))</f>
        <v>1</v>
      </c>
      <c r="AF27" s="202" t="b">
        <f aca="false">IF(Configuration!$C$39="No","",IFERROR(IF(AND(N('Patent Portfolio'!AO28)&gt;=2,N('Patent Portfolio'!AB28)&gt;=2),TRUE(),FALSE()),FALSE()))</f>
        <v>0</v>
      </c>
      <c r="AG27" s="202" t="b">
        <f aca="false">IF(Configuration!$C$40="No","",IFERROR(IF(OR(N('Patent Portfolio'!AC28)&lt;=Configuration!$C$56,N('Patent Portfolio'!U28)&lt;Configuration!$C$57,N('Patent Portfolio'!AD28)&lt;=Configuration!$C$58),TRUE(),FALSE()),FALSE()))</f>
        <v>1</v>
      </c>
      <c r="AH27" s="202" t="b">
        <f aca="false">IF(Configuration!$C$41="No","",IFERROR(IF(AND(N('Patent Portfolio'!U28)&gt;=Configuration!$C$54,N('Patent Portfolio'!U28)&lt;=Configuration!$C$55),TRUE(),FALSE()),FALSE()))</f>
        <v>1</v>
      </c>
      <c r="AI27" s="202" t="b">
        <f aca="false">IF(Configuration!$C$42="No","",IFERROR(IF(AND('Patent Portfolio'!C28&lt;&gt;"",'Patent Portfolio'!F28&lt;&gt;""),TRUE(),FALSE()),FALSE()))</f>
        <v>1</v>
      </c>
      <c r="AJ27" s="203" t="n">
        <f aca="false">COUNTIF(C27:AH27,TRUE())</f>
        <v>21</v>
      </c>
    </row>
    <row r="28" customFormat="false" ht="15" hidden="false" customHeight="true" outlineLevel="0" collapsed="false">
      <c r="A28" s="201" t="str">
        <f aca="false">'Patent Portfolio'!A29</f>
        <v>SL-006</v>
      </c>
      <c r="B28" s="201" t="str">
        <f aca="false">'Patent Portfolio'!B29</f>
        <v>Packet classification with ternary content-addressable memory</v>
      </c>
      <c r="C28" s="202" t="b">
        <f aca="false">IF(Configuration!$C$10="No","",IFERROR(IF('Patent Portfolio'!C29&lt;&gt;"",TRUE(),FALSE()),FALSE()))</f>
        <v>1</v>
      </c>
      <c r="D28" s="202" t="b">
        <f aca="false">IF(Configuration!$C$11="No","",IFERROR(IF(AND(N('Patent Portfolio'!H29)&gt;=Configuration!$C$44,'Patent Portfolio'!I29&lt;&gt;""),TRUE(),FALSE()),FALSE()))</f>
        <v>0</v>
      </c>
      <c r="E28" s="202" t="b">
        <f aca="false">IF(Configuration!$C$12="No","",IFERROR(IF('Patent Portfolio'!F29&lt;&gt;"",TRUE(),FALSE()),FALSE()))</f>
        <v>1</v>
      </c>
      <c r="F28" s="202" t="b">
        <f aca="false">IF(Configuration!$C$13="No","",IFERROR(IF('Patent Portfolio'!E29&lt;&gt;"",TRUE(),FALSE()),FALSE()))</f>
        <v>1</v>
      </c>
      <c r="G28" s="202" t="b">
        <f aca="false">IF(Configuration!$C$14="No","",IFERROR(IF('Patent Portfolio'!G29&lt;&gt;"",TRUE(),FALSE()),FALSE()))</f>
        <v>1</v>
      </c>
      <c r="H28" s="202" t="b">
        <f aca="false">IF(Configuration!$C$15="No","",IFERROR(IF(AND(OR(ISNUMBER(SEARCH("process",'Patent Portfolio'!C29)),ISNUMBER(SEARCH("fab",'Patent Portfolio'!C29)),ISNUMBER(SEARCH("manufac",'Patent Portfolio'!C29))),'Patent Portfolio'!K29="Method"),TRUE(),FALSE()),FALSE()))</f>
        <v>0</v>
      </c>
      <c r="I28" s="202" t="b">
        <f aca="false">IF(Configuration!$C$16="No","",IFERROR(IF(AND(OR(ISNUMBER(SEARCH("material",'Patent Portfolio'!C29)),ISNUMBER(SEARCH("chem",'Patent Portfolio'!C29)),ISNUMBER(SEARCH("battery",'Patent Portfolio'!C29)),ISNUMBER(SEARCH("electrolyte",'Patent Portfolio'!C29)),ISNUMBER(SEARCH("polymer",'Patent Portfolio'!C29))),OR('Patent Portfolio'!K29="Apparatus",'Patent Portfolio'!K29="Method")),TRUE(),FALSE()),FALSE()))</f>
        <v>0</v>
      </c>
      <c r="J28" s="202" t="b">
        <f aca="false">IF(Configuration!$C$17="No","",IFERROR(IF(AND(OR('Patent Portfolio'!E29="App",'Patent Portfolio'!E29="Middleware",'Patent Portfolio'!E29="Cloud"),OR('Patent Portfolio'!K29="Method",'Patent Portfolio'!K29="CRM")),TRUE(),FALSE()),FALSE()))</f>
        <v>0</v>
      </c>
      <c r="K28" s="202" t="b">
        <f aca="false">IF(Configuration!$C$18="No","",IFERROR(IF(N('Patent Portfolio'!J29)&gt;=Configuration!$C$45,TRUE(),FALSE()),FALSE()))</f>
        <v>1</v>
      </c>
      <c r="L28" s="202" t="b">
        <f aca="false">IF(Configuration!$C$19="No","",IFERROR(IF('Patent Portfolio'!AA29&lt;&gt;"",TRUE(),FALSE()),FALSE()))</f>
        <v>1</v>
      </c>
      <c r="M28" s="202" t="b">
        <f aca="false">IF(Configuration!$C$20="No","",IFERROR(IF('Patent Portfolio'!K29&lt;&gt;"",TRUE(),FALSE()),FALSE()))</f>
        <v>1</v>
      </c>
      <c r="N28" s="202" t="b">
        <f aca="false">IF(Configuration!$C$21="No","",IFERROR(IF(OR(N('Patent Portfolio'!O29)&gt;=Configuration!$C$46,N('Patent Portfolio'!P29)&gt;=Configuration!$C$47),TRUE(),FALSE()),FALSE()))</f>
        <v>1</v>
      </c>
      <c r="O28" s="202" t="b">
        <f aca="false">IF(Configuration!$C$22="No","",IFERROR(IF('Patent Portfolio'!X29="Yes",TRUE(),FALSE()),FALSE()))</f>
        <v>0</v>
      </c>
      <c r="P28" s="202" t="b">
        <f aca="false">IF(Configuration!$C$23="No","",IFERROR(IF(N('Patent Portfolio'!R29)&gt;=Configuration!$C$48,TRUE(),FALSE()),FALSE()))</f>
        <v>1</v>
      </c>
      <c r="Q28" s="202" t="b">
        <f aca="false">IF(Configuration!$C$24="No","",IFERROR(IF(N('Patent Portfolio'!U29)&gt;0,TRUE(),FALSE()),FALSE()))</f>
        <v>1</v>
      </c>
      <c r="R28" s="202" t="b">
        <f aca="false">IF(Configuration!$C$25="No","",IFERROR(IF(OR(N('Patent Portfolio'!L29)=3,N('Patent Portfolio'!L29)&lt;=1),TRUE(),FALSE()),FALSE()))</f>
        <v>0</v>
      </c>
      <c r="S28" s="202" t="b">
        <f aca="false">IF(Configuration!$C$26="No","",IFERROR(IF(N('Patent Portfolio'!AB29)&gt;=Configuration!$C$49,TRUE(),FALSE()),FALSE()))</f>
        <v>1</v>
      </c>
      <c r="T28" s="202" t="b">
        <f aca="false">IF(Configuration!$C$27="No","",IFERROR(IF('Patent Portfolio'!Z29&lt;&gt;"",TRUE(),FALSE()),FALSE()))</f>
        <v>0</v>
      </c>
      <c r="U28" s="202" t="b">
        <f aca="false">IF(Configuration!$C$28="No","",IFERROR(IF(N('Patent Portfolio'!Q29)&gt;=Configuration!$C$50,TRUE(),FALSE()),FALSE()))</f>
        <v>1</v>
      </c>
      <c r="V28" s="202" t="b">
        <f aca="false">IF(Configuration!$C$29="No","",IFERROR(IF(AND(N('Patent Portfolio'!N29)&gt;=Configuration!$C$51,'Patent Portfolio'!C29&lt;&gt;""),TRUE(),FALSE()),FALSE()))</f>
        <v>1</v>
      </c>
      <c r="W28" s="202" t="b">
        <f aca="false">IF(Configuration!$C$30="No","",IFERROR(IF(OR('Patent Portfolio'!S29="Pending",'Patent Portfolio'!T29="Yes"),TRUE(),FALSE()),FALSE()))</f>
        <v>0</v>
      </c>
      <c r="X28" s="202" t="b">
        <f aca="false">IF(Configuration!$C$31="No","",IFERROR(IF(AND(N('Patent Portfolio'!AC29)&gt;=Configuration!$C$52,N('Patent Portfolio'!L29)&gt;=1),TRUE(),FALSE()),FALSE()))</f>
        <v>1</v>
      </c>
      <c r="Y28" s="202" t="b">
        <f aca="false">IF(Configuration!$C$32="No","",IFERROR(IF(AND(N('Patent Portfolio'!N29)&gt;=1,OR('Patent Portfolio'!C29&lt;&gt;"",'Patent Portfolio'!I29&lt;&gt;"")),TRUE(),FALSE()),FALSE()))</f>
        <v>1</v>
      </c>
      <c r="Z28" s="202" t="b">
        <f aca="false">IF(Configuration!$C$33="No","",IFERROR(IF('Patent Portfolio'!C29&lt;&gt;"",TRUE(),FALSE()),FALSE()))</f>
        <v>1</v>
      </c>
      <c r="AA28" s="202" t="b">
        <f aca="false">IF(Configuration!$C$34="No","",IFERROR(IF('Patent Portfolio'!T29="Yes",TRUE(),FALSE()),FALSE()))</f>
        <v>0</v>
      </c>
      <c r="AB28" s="202" t="b">
        <f aca="false">IF(Configuration!$C$35="No","",IFERROR(IF(OR('Patent Portfolio'!AK29="Partial",'Patent Portfolio'!AK29="Full"),TRUE(),FALSE()),FALSE()))</f>
        <v>1</v>
      </c>
      <c r="AC28" s="202" t="b">
        <f aca="false">IF(Configuration!$C$36="No","",IFERROR(IF('Patent Portfolio'!AI29="Survived",TRUE(),FALSE()),FALSE()))</f>
        <v>0</v>
      </c>
      <c r="AD28" s="202" t="b">
        <f aca="false">IF(Configuration!$C$37="No","",IFERROR(IF(AND('Patent Portfolio'!AJ29="Clean",'Patent Portfolio'!AL29="None"),TRUE(),FALSE()),FALSE()))</f>
        <v>1</v>
      </c>
      <c r="AE28" s="202" t="b">
        <f aca="false">IF(Configuration!$C$38="No","",IFERROR(IF(N('Patent Portfolio'!AG29)&gt;=Configuration!$C$53,TRUE(),FALSE()),FALSE()))</f>
        <v>0</v>
      </c>
      <c r="AF28" s="202" t="b">
        <f aca="false">IF(Configuration!$C$39="No","",IFERROR(IF(AND(N('Patent Portfolio'!AO29)&gt;=2,N('Patent Portfolio'!AB29)&gt;=2),TRUE(),FALSE()),FALSE()))</f>
        <v>1</v>
      </c>
      <c r="AG28" s="202" t="b">
        <f aca="false">IF(Configuration!$C$40="No","",IFERROR(IF(OR(N('Patent Portfolio'!AC29)&lt;=Configuration!$C$56,N('Patent Portfolio'!U29)&lt;Configuration!$C$57,N('Patent Portfolio'!AD29)&lt;=Configuration!$C$58),TRUE(),FALSE()),FALSE()))</f>
        <v>1</v>
      </c>
      <c r="AH28" s="202" t="b">
        <f aca="false">IF(Configuration!$C$41="No","",IFERROR(IF(AND(N('Patent Portfolio'!U29)&gt;=Configuration!$C$54,N('Patent Portfolio'!U29)&lt;=Configuration!$C$55),TRUE(),FALSE()),FALSE()))</f>
        <v>1</v>
      </c>
      <c r="AI28" s="202" t="b">
        <f aca="false">IF(Configuration!$C$42="No","",IFERROR(IF(AND('Patent Portfolio'!C29&lt;&gt;"",'Patent Portfolio'!F29&lt;&gt;""),TRUE(),FALSE()),FALSE()))</f>
        <v>1</v>
      </c>
      <c r="AJ28" s="203" t="n">
        <f aca="false">COUNTIF(C28:AH28,TRUE())</f>
        <v>21</v>
      </c>
    </row>
    <row r="29" customFormat="false" ht="15" hidden="false" customHeight="true" outlineLevel="0" collapsed="false">
      <c r="A29" s="201" t="str">
        <f aca="false">'Patent Portfolio'!A30</f>
        <v>SL-007</v>
      </c>
      <c r="B29" s="201" t="str">
        <f aca="false">'Patent Portfolio'!B30</f>
        <v>EV charging session authentication via PLC</v>
      </c>
      <c r="C29" s="202" t="b">
        <f aca="false">IF(Configuration!$C$10="No","",IFERROR(IF('Patent Portfolio'!C30&lt;&gt;"",TRUE(),FALSE()),FALSE()))</f>
        <v>1</v>
      </c>
      <c r="D29" s="202" t="b">
        <f aca="false">IF(Configuration!$C$11="No","",IFERROR(IF(AND(N('Patent Portfolio'!H30)&gt;=Configuration!$C$44,'Patent Portfolio'!I30&lt;&gt;""),TRUE(),FALSE()),FALSE()))</f>
        <v>0</v>
      </c>
      <c r="E29" s="202" t="b">
        <f aca="false">IF(Configuration!$C$12="No","",IFERROR(IF('Patent Portfolio'!F30&lt;&gt;"",TRUE(),FALSE()),FALSE()))</f>
        <v>1</v>
      </c>
      <c r="F29" s="202" t="b">
        <f aca="false">IF(Configuration!$C$13="No","",IFERROR(IF('Patent Portfolio'!E30&lt;&gt;"",TRUE(),FALSE()),FALSE()))</f>
        <v>1</v>
      </c>
      <c r="G29" s="202" t="b">
        <f aca="false">IF(Configuration!$C$14="No","",IFERROR(IF('Patent Portfolio'!G30&lt;&gt;"",TRUE(),FALSE()),FALSE()))</f>
        <v>1</v>
      </c>
      <c r="H29" s="202" t="b">
        <f aca="false">IF(Configuration!$C$15="No","",IFERROR(IF(AND(OR(ISNUMBER(SEARCH("process",'Patent Portfolio'!C30)),ISNUMBER(SEARCH("fab",'Patent Portfolio'!C30)),ISNUMBER(SEARCH("manufac",'Patent Portfolio'!C30))),'Patent Portfolio'!K30="Method"),TRUE(),FALSE()),FALSE()))</f>
        <v>0</v>
      </c>
      <c r="I29" s="202" t="b">
        <f aca="false">IF(Configuration!$C$16="No","",IFERROR(IF(AND(OR(ISNUMBER(SEARCH("material",'Patent Portfolio'!C30)),ISNUMBER(SEARCH("chem",'Patent Portfolio'!C30)),ISNUMBER(SEARCH("battery",'Patent Portfolio'!C30)),ISNUMBER(SEARCH("electrolyte",'Patent Portfolio'!C30)),ISNUMBER(SEARCH("polymer",'Patent Portfolio'!C30))),OR('Patent Portfolio'!K30="Apparatus",'Patent Portfolio'!K30="Method")),TRUE(),FALSE()),FALSE()))</f>
        <v>0</v>
      </c>
      <c r="J29" s="202" t="b">
        <f aca="false">IF(Configuration!$C$17="No","",IFERROR(IF(AND(OR('Patent Portfolio'!E30="App",'Patent Portfolio'!E30="Middleware",'Patent Portfolio'!E30="Cloud"),OR('Patent Portfolio'!K30="Method",'Patent Portfolio'!K30="CRM")),TRUE(),FALSE()),FALSE()))</f>
        <v>1</v>
      </c>
      <c r="K29" s="202" t="b">
        <f aca="false">IF(Configuration!$C$18="No","",IFERROR(IF(N('Patent Portfolio'!J30)&gt;=Configuration!$C$45,TRUE(),FALSE()),FALSE()))</f>
        <v>1</v>
      </c>
      <c r="L29" s="202" t="b">
        <f aca="false">IF(Configuration!$C$19="No","",IFERROR(IF('Patent Portfolio'!AA30&lt;&gt;"",TRUE(),FALSE()),FALSE()))</f>
        <v>1</v>
      </c>
      <c r="M29" s="202" t="b">
        <f aca="false">IF(Configuration!$C$20="No","",IFERROR(IF('Patent Portfolio'!K30&lt;&gt;"",TRUE(),FALSE()),FALSE()))</f>
        <v>1</v>
      </c>
      <c r="N29" s="202" t="b">
        <f aca="false">IF(Configuration!$C$21="No","",IFERROR(IF(OR(N('Patent Portfolio'!O30)&gt;=Configuration!$C$46,N('Patent Portfolio'!P30)&gt;=Configuration!$C$47),TRUE(),FALSE()),FALSE()))</f>
        <v>1</v>
      </c>
      <c r="O29" s="202" t="b">
        <f aca="false">IF(Configuration!$C$22="No","",IFERROR(IF('Patent Portfolio'!X30="Yes",TRUE(),FALSE()),FALSE()))</f>
        <v>1</v>
      </c>
      <c r="P29" s="202" t="b">
        <f aca="false">IF(Configuration!$C$23="No","",IFERROR(IF(N('Patent Portfolio'!R30)&gt;=Configuration!$C$48,TRUE(),FALSE()),FALSE()))</f>
        <v>1</v>
      </c>
      <c r="Q29" s="202" t="b">
        <f aca="false">IF(Configuration!$C$24="No","",IFERROR(IF(N('Patent Portfolio'!U30)&gt;0,TRUE(),FALSE()),FALSE()))</f>
        <v>1</v>
      </c>
      <c r="R29" s="202" t="b">
        <f aca="false">IF(Configuration!$C$25="No","",IFERROR(IF(OR(N('Patent Portfolio'!L30)=3,N('Patent Portfolio'!L30)&lt;=1),TRUE(),FALSE()),FALSE()))</f>
        <v>0</v>
      </c>
      <c r="S29" s="202" t="b">
        <f aca="false">IF(Configuration!$C$26="No","",IFERROR(IF(N('Patent Portfolio'!AB30)&gt;=Configuration!$C$49,TRUE(),FALSE()),FALSE()))</f>
        <v>1</v>
      </c>
      <c r="T29" s="202" t="b">
        <f aca="false">IF(Configuration!$C$27="No","",IFERROR(IF('Patent Portfolio'!Z30&lt;&gt;"",TRUE(),FALSE()),FALSE()))</f>
        <v>1</v>
      </c>
      <c r="U29" s="202" t="b">
        <f aca="false">IF(Configuration!$C$28="No","",IFERROR(IF(N('Patent Portfolio'!Q30)&gt;=Configuration!$C$50,TRUE(),FALSE()),FALSE()))</f>
        <v>1</v>
      </c>
      <c r="V29" s="202" t="b">
        <f aca="false">IF(Configuration!$C$29="No","",IFERROR(IF(AND(N('Patent Portfolio'!N30)&gt;=Configuration!$C$51,'Patent Portfolio'!C30&lt;&gt;""),TRUE(),FALSE()),FALSE()))</f>
        <v>1</v>
      </c>
      <c r="W29" s="202" t="b">
        <f aca="false">IF(Configuration!$C$30="No","",IFERROR(IF(OR('Patent Portfolio'!S30="Pending",'Patent Portfolio'!T30="Yes"),TRUE(),FALSE()),FALSE()))</f>
        <v>0</v>
      </c>
      <c r="X29" s="202" t="b">
        <f aca="false">IF(Configuration!$C$31="No","",IFERROR(IF(AND(N('Patent Portfolio'!AC30)&gt;=Configuration!$C$52,N('Patent Portfolio'!L30)&gt;=1),TRUE(),FALSE()),FALSE()))</f>
        <v>1</v>
      </c>
      <c r="Y29" s="202" t="b">
        <f aca="false">IF(Configuration!$C$32="No","",IFERROR(IF(AND(N('Patent Portfolio'!N30)&gt;=1,OR('Patent Portfolio'!C30&lt;&gt;"",'Patent Portfolio'!I30&lt;&gt;"")),TRUE(),FALSE()),FALSE()))</f>
        <v>1</v>
      </c>
      <c r="Z29" s="202" t="b">
        <f aca="false">IF(Configuration!$C$33="No","",IFERROR(IF('Patent Portfolio'!C30&lt;&gt;"",TRUE(),FALSE()),FALSE()))</f>
        <v>1</v>
      </c>
      <c r="AA29" s="202" t="b">
        <f aca="false">IF(Configuration!$C$34="No","",IFERROR(IF('Patent Portfolio'!T30="Yes",TRUE(),FALSE()),FALSE()))</f>
        <v>0</v>
      </c>
      <c r="AB29" s="202" t="b">
        <f aca="false">IF(Configuration!$C$35="No","",IFERROR(IF(OR('Patent Portfolio'!AK30="Partial",'Patent Portfolio'!AK30="Full"),TRUE(),FALSE()),FALSE()))</f>
        <v>1</v>
      </c>
      <c r="AC29" s="202" t="b">
        <f aca="false">IF(Configuration!$C$36="No","",IFERROR(IF('Patent Portfolio'!AI30="Survived",TRUE(),FALSE()),FALSE()))</f>
        <v>0</v>
      </c>
      <c r="AD29" s="202" t="b">
        <f aca="false">IF(Configuration!$C$37="No","",IFERROR(IF(AND('Patent Portfolio'!AJ30="Clean",'Patent Portfolio'!AL30="None"),TRUE(),FALSE()),FALSE()))</f>
        <v>1</v>
      </c>
      <c r="AE29" s="202" t="b">
        <f aca="false">IF(Configuration!$C$38="No","",IFERROR(IF(N('Patent Portfolio'!AG30)&gt;=Configuration!$C$53,TRUE(),FALSE()),FALSE()))</f>
        <v>0</v>
      </c>
      <c r="AF29" s="202" t="b">
        <f aca="false">IF(Configuration!$C$39="No","",IFERROR(IF(AND(N('Patent Portfolio'!AO30)&gt;=2,N('Patent Portfolio'!AB30)&gt;=2),TRUE(),FALSE()),FALSE()))</f>
        <v>1</v>
      </c>
      <c r="AG29" s="202" t="b">
        <f aca="false">IF(Configuration!$C$40="No","",IFERROR(IF(OR(N('Patent Portfolio'!AC30)&lt;=Configuration!$C$56,N('Patent Portfolio'!U30)&lt;Configuration!$C$57,N('Patent Portfolio'!AD30)&lt;=Configuration!$C$58),TRUE(),FALSE()),FALSE()))</f>
        <v>1</v>
      </c>
      <c r="AH29" s="202" t="b">
        <f aca="false">IF(Configuration!$C$41="No","",IFERROR(IF(AND(N('Patent Portfolio'!U30)&gt;=Configuration!$C$54,N('Patent Portfolio'!U30)&lt;=Configuration!$C$55),TRUE(),FALSE()),FALSE()))</f>
        <v>1</v>
      </c>
      <c r="AI29" s="202" t="b">
        <f aca="false">IF(Configuration!$C$42="No","",IFERROR(IF(AND('Patent Portfolio'!C30&lt;&gt;"",'Patent Portfolio'!F30&lt;&gt;""),TRUE(),FALSE()),FALSE()))</f>
        <v>1</v>
      </c>
      <c r="AJ29" s="203" t="n">
        <f aca="false">COUNTIF(C29:AH29,TRUE())</f>
        <v>24</v>
      </c>
    </row>
    <row r="30" customFormat="false" ht="15" hidden="false" customHeight="true" outlineLevel="0" collapsed="false">
      <c r="A30" s="201" t="str">
        <f aca="false">'Patent Portfolio'!A31</f>
        <v>SL-008</v>
      </c>
      <c r="B30" s="201" t="str">
        <f aca="false">'Patent Portfolio'!B31</f>
        <v>Predictive battery cell balancing using ML</v>
      </c>
      <c r="C30" s="202" t="b">
        <f aca="false">IF(Configuration!$C$10="No","",IFERROR(IF('Patent Portfolio'!C31&lt;&gt;"",TRUE(),FALSE()),FALSE()))</f>
        <v>1</v>
      </c>
      <c r="D30" s="202" t="b">
        <f aca="false">IF(Configuration!$C$11="No","",IFERROR(IF(AND(N('Patent Portfolio'!H31)&gt;=Configuration!$C$44,'Patent Portfolio'!I31&lt;&gt;""),TRUE(),FALSE()),FALSE()))</f>
        <v>0</v>
      </c>
      <c r="E30" s="202" t="b">
        <f aca="false">IF(Configuration!$C$12="No","",IFERROR(IF('Patent Portfolio'!F31&lt;&gt;"",TRUE(),FALSE()),FALSE()))</f>
        <v>1</v>
      </c>
      <c r="F30" s="202" t="b">
        <f aca="false">IF(Configuration!$C$13="No","",IFERROR(IF('Patent Portfolio'!E31&lt;&gt;"",TRUE(),FALSE()),FALSE()))</f>
        <v>1</v>
      </c>
      <c r="G30" s="202" t="b">
        <f aca="false">IF(Configuration!$C$14="No","",IFERROR(IF('Patent Portfolio'!G31&lt;&gt;"",TRUE(),FALSE()),FALSE()))</f>
        <v>1</v>
      </c>
      <c r="H30" s="202" t="b">
        <f aca="false">IF(Configuration!$C$15="No","",IFERROR(IF(AND(OR(ISNUMBER(SEARCH("process",'Patent Portfolio'!C31)),ISNUMBER(SEARCH("fab",'Patent Portfolio'!C31)),ISNUMBER(SEARCH("manufac",'Patent Portfolio'!C31))),'Patent Portfolio'!K31="Method"),TRUE(),FALSE()),FALSE()))</f>
        <v>0</v>
      </c>
      <c r="I30" s="202" t="b">
        <f aca="false">IF(Configuration!$C$16="No","",IFERROR(IF(AND(OR(ISNUMBER(SEARCH("material",'Patent Portfolio'!C31)),ISNUMBER(SEARCH("chem",'Patent Portfolio'!C31)),ISNUMBER(SEARCH("battery",'Patent Portfolio'!C31)),ISNUMBER(SEARCH("electrolyte",'Patent Portfolio'!C31)),ISNUMBER(SEARCH("polymer",'Patent Portfolio'!C31))),OR('Patent Portfolio'!K31="Apparatus",'Patent Portfolio'!K31="Method")),TRUE(),FALSE()),FALSE()))</f>
        <v>1</v>
      </c>
      <c r="J30" s="202" t="b">
        <f aca="false">IF(Configuration!$C$17="No","",IFERROR(IF(AND(OR('Patent Portfolio'!E31="App",'Patent Portfolio'!E31="Middleware",'Patent Portfolio'!E31="Cloud"),OR('Patent Portfolio'!K31="Method",'Patent Portfolio'!K31="CRM")),TRUE(),FALSE()),FALSE()))</f>
        <v>1</v>
      </c>
      <c r="K30" s="202" t="b">
        <f aca="false">IF(Configuration!$C$18="No","",IFERROR(IF(N('Patent Portfolio'!J31)&gt;=Configuration!$C$45,TRUE(),FALSE()),FALSE()))</f>
        <v>0</v>
      </c>
      <c r="L30" s="202" t="b">
        <f aca="false">IF(Configuration!$C$19="No","",IFERROR(IF('Patent Portfolio'!AA31&lt;&gt;"",TRUE(),FALSE()),FALSE()))</f>
        <v>1</v>
      </c>
      <c r="M30" s="202" t="b">
        <f aca="false">IF(Configuration!$C$20="No","",IFERROR(IF('Patent Portfolio'!K31&lt;&gt;"",TRUE(),FALSE()),FALSE()))</f>
        <v>1</v>
      </c>
      <c r="N30" s="202" t="b">
        <f aca="false">IF(Configuration!$C$21="No","",IFERROR(IF(OR(N('Patent Portfolio'!O31)&gt;=Configuration!$C$46,N('Patent Portfolio'!P31)&gt;=Configuration!$C$47),TRUE(),FALSE()),FALSE()))</f>
        <v>1</v>
      </c>
      <c r="O30" s="202" t="b">
        <f aca="false">IF(Configuration!$C$22="No","",IFERROR(IF('Patent Portfolio'!X31="Yes",TRUE(),FALSE()),FALSE()))</f>
        <v>0</v>
      </c>
      <c r="P30" s="202" t="b">
        <f aca="false">IF(Configuration!$C$23="No","",IFERROR(IF(N('Patent Portfolio'!R31)&gt;=Configuration!$C$48,TRUE(),FALSE()),FALSE()))</f>
        <v>1</v>
      </c>
      <c r="Q30" s="202" t="b">
        <f aca="false">IF(Configuration!$C$24="No","",IFERROR(IF(N('Patent Portfolio'!U31)&gt;0,TRUE(),FALSE()),FALSE()))</f>
        <v>1</v>
      </c>
      <c r="R30" s="202" t="b">
        <f aca="false">IF(Configuration!$C$25="No","",IFERROR(IF(OR(N('Patent Portfolio'!L31)=3,N('Patent Portfolio'!L31)&lt;=1),TRUE(),FALSE()),FALSE()))</f>
        <v>0</v>
      </c>
      <c r="S30" s="202" t="b">
        <f aca="false">IF(Configuration!$C$26="No","",IFERROR(IF(N('Patent Portfolio'!AB31)&gt;=Configuration!$C$49,TRUE(),FALSE()),FALSE()))</f>
        <v>1</v>
      </c>
      <c r="T30" s="202" t="b">
        <f aca="false">IF(Configuration!$C$27="No","",IFERROR(IF('Patent Portfolio'!Z31&lt;&gt;"",TRUE(),FALSE()),FALSE()))</f>
        <v>1</v>
      </c>
      <c r="U30" s="202" t="b">
        <f aca="false">IF(Configuration!$C$28="No","",IFERROR(IF(N('Patent Portfolio'!Q31)&gt;=Configuration!$C$50,TRUE(),FALSE()),FALSE()))</f>
        <v>1</v>
      </c>
      <c r="V30" s="202" t="b">
        <f aca="false">IF(Configuration!$C$29="No","",IFERROR(IF(AND(N('Patent Portfolio'!N31)&gt;=Configuration!$C$51,'Patent Portfolio'!C31&lt;&gt;""),TRUE(),FALSE()),FALSE()))</f>
        <v>1</v>
      </c>
      <c r="W30" s="202" t="b">
        <f aca="false">IF(Configuration!$C$30="No","",IFERROR(IF(OR('Patent Portfolio'!S31="Pending",'Patent Portfolio'!T31="Yes"),TRUE(),FALSE()),FALSE()))</f>
        <v>0</v>
      </c>
      <c r="X30" s="202" t="b">
        <f aca="false">IF(Configuration!$C$31="No","",IFERROR(IF(AND(N('Patent Portfolio'!AC31)&gt;=Configuration!$C$52,N('Patent Portfolio'!L31)&gt;=1),TRUE(),FALSE()),FALSE()))</f>
        <v>1</v>
      </c>
      <c r="Y30" s="202" t="b">
        <f aca="false">IF(Configuration!$C$32="No","",IFERROR(IF(AND(N('Patent Portfolio'!N31)&gt;=1,OR('Patent Portfolio'!C31&lt;&gt;"",'Patent Portfolio'!I31&lt;&gt;"")),TRUE(),FALSE()),FALSE()))</f>
        <v>1</v>
      </c>
      <c r="Z30" s="202" t="b">
        <f aca="false">IF(Configuration!$C$33="No","",IFERROR(IF('Patent Portfolio'!C31&lt;&gt;"",TRUE(),FALSE()),FALSE()))</f>
        <v>1</v>
      </c>
      <c r="AA30" s="202" t="b">
        <f aca="false">IF(Configuration!$C$34="No","",IFERROR(IF('Patent Portfolio'!T31="Yes",TRUE(),FALSE()),FALSE()))</f>
        <v>0</v>
      </c>
      <c r="AB30" s="202" t="b">
        <f aca="false">IF(Configuration!$C$35="No","",IFERROR(IF(OR('Patent Portfolio'!AK31="Partial",'Patent Portfolio'!AK31="Full"),TRUE(),FALSE()),FALSE()))</f>
        <v>1</v>
      </c>
      <c r="AC30" s="202" t="b">
        <f aca="false">IF(Configuration!$C$36="No","",IFERROR(IF('Patent Portfolio'!AI31="Survived",TRUE(),FALSE()),FALSE()))</f>
        <v>1</v>
      </c>
      <c r="AD30" s="202" t="b">
        <f aca="false">IF(Configuration!$C$37="No","",IFERROR(IF(AND('Patent Portfolio'!AJ31="Clean",'Patent Portfolio'!AL31="None"),TRUE(),FALSE()),FALSE()))</f>
        <v>1</v>
      </c>
      <c r="AE30" s="202" t="b">
        <f aca="false">IF(Configuration!$C$38="No","",IFERROR(IF(N('Patent Portfolio'!AG31)&gt;=Configuration!$C$53,TRUE(),FALSE()),FALSE()))</f>
        <v>0</v>
      </c>
      <c r="AF30" s="202" t="b">
        <f aca="false">IF(Configuration!$C$39="No","",IFERROR(IF(AND(N('Patent Portfolio'!AO31)&gt;=2,N('Patent Portfolio'!AB31)&gt;=2),TRUE(),FALSE()),FALSE()))</f>
        <v>1</v>
      </c>
      <c r="AG30" s="202" t="b">
        <f aca="false">IF(Configuration!$C$40="No","",IFERROR(IF(OR(N('Patent Portfolio'!AC31)&lt;=Configuration!$C$56,N('Patent Portfolio'!U31)&lt;Configuration!$C$57,N('Patent Portfolio'!AD31)&lt;=Configuration!$C$58),TRUE(),FALSE()),FALSE()))</f>
        <v>1</v>
      </c>
      <c r="AH30" s="202" t="b">
        <f aca="false">IF(Configuration!$C$41="No","",IFERROR(IF(AND(N('Patent Portfolio'!U31)&gt;=Configuration!$C$54,N('Patent Portfolio'!U31)&lt;=Configuration!$C$55),TRUE(),FALSE()),FALSE()))</f>
        <v>1</v>
      </c>
      <c r="AI30" s="202" t="b">
        <f aca="false">IF(Configuration!$C$42="No","",IFERROR(IF(AND('Patent Portfolio'!C31&lt;&gt;"",'Patent Portfolio'!F31&lt;&gt;""),TRUE(),FALSE()),FALSE()))</f>
        <v>1</v>
      </c>
      <c r="AJ30" s="203" t="n">
        <f aca="false">COUNTIF(C30:AH30,TRUE())</f>
        <v>24</v>
      </c>
    </row>
    <row r="31" customFormat="false" ht="15" hidden="false" customHeight="true" outlineLevel="0" collapsed="false">
      <c r="A31" s="201" t="str">
        <f aca="false">'Patent Portfolio'!A32</f>
        <v>SL-009</v>
      </c>
      <c r="B31" s="201" t="str">
        <f aca="false">'Patent Portfolio'!B32</f>
        <v>Ultra-wideband indoor localization ranging method</v>
      </c>
      <c r="C31" s="202" t="b">
        <f aca="false">IF(Configuration!$C$10="No","",IFERROR(IF('Patent Portfolio'!C32&lt;&gt;"",TRUE(),FALSE()),FALSE()))</f>
        <v>1</v>
      </c>
      <c r="D31" s="202" t="b">
        <f aca="false">IF(Configuration!$C$11="No","",IFERROR(IF(AND(N('Patent Portfolio'!H32)&gt;=Configuration!$C$44,'Patent Portfolio'!I32&lt;&gt;""),TRUE(),FALSE()),FALSE()))</f>
        <v>1</v>
      </c>
      <c r="E31" s="202" t="b">
        <f aca="false">IF(Configuration!$C$12="No","",IFERROR(IF('Patent Portfolio'!F32&lt;&gt;"",TRUE(),FALSE()),FALSE()))</f>
        <v>1</v>
      </c>
      <c r="F31" s="202" t="b">
        <f aca="false">IF(Configuration!$C$13="No","",IFERROR(IF('Patent Portfolio'!E32&lt;&gt;"",TRUE(),FALSE()),FALSE()))</f>
        <v>1</v>
      </c>
      <c r="G31" s="202" t="b">
        <f aca="false">IF(Configuration!$C$14="No","",IFERROR(IF('Patent Portfolio'!G32&lt;&gt;"",TRUE(),FALSE()),FALSE()))</f>
        <v>1</v>
      </c>
      <c r="H31" s="202" t="b">
        <f aca="false">IF(Configuration!$C$15="No","",IFERROR(IF(AND(OR(ISNUMBER(SEARCH("process",'Patent Portfolio'!C32)),ISNUMBER(SEARCH("fab",'Patent Portfolio'!C32)),ISNUMBER(SEARCH("manufac",'Patent Portfolio'!C32))),'Patent Portfolio'!K32="Method"),TRUE(),FALSE()),FALSE()))</f>
        <v>0</v>
      </c>
      <c r="I31" s="202" t="b">
        <f aca="false">IF(Configuration!$C$16="No","",IFERROR(IF(AND(OR(ISNUMBER(SEARCH("material",'Patent Portfolio'!C32)),ISNUMBER(SEARCH("chem",'Patent Portfolio'!C32)),ISNUMBER(SEARCH("battery",'Patent Portfolio'!C32)),ISNUMBER(SEARCH("electrolyte",'Patent Portfolio'!C32)),ISNUMBER(SEARCH("polymer",'Patent Portfolio'!C32))),OR('Patent Portfolio'!K32="Apparatus",'Patent Portfolio'!K32="Method")),TRUE(),FALSE()),FALSE()))</f>
        <v>0</v>
      </c>
      <c r="J31" s="202" t="b">
        <f aca="false">IF(Configuration!$C$17="No","",IFERROR(IF(AND(OR('Patent Portfolio'!E32="App",'Patent Portfolio'!E32="Middleware",'Patent Portfolio'!E32="Cloud"),OR('Patent Portfolio'!K32="Method",'Patent Portfolio'!K32="CRM")),TRUE(),FALSE()),FALSE()))</f>
        <v>0</v>
      </c>
      <c r="K31" s="202" t="b">
        <f aca="false">IF(Configuration!$C$18="No","",IFERROR(IF(N('Patent Portfolio'!J32)&gt;=Configuration!$C$45,TRUE(),FALSE()),FALSE()))</f>
        <v>1</v>
      </c>
      <c r="L31" s="202" t="b">
        <f aca="false">IF(Configuration!$C$19="No","",IFERROR(IF('Patent Portfolio'!AA32&lt;&gt;"",TRUE(),FALSE()),FALSE()))</f>
        <v>1</v>
      </c>
      <c r="M31" s="202" t="b">
        <f aca="false">IF(Configuration!$C$20="No","",IFERROR(IF('Patent Portfolio'!K32&lt;&gt;"",TRUE(),FALSE()),FALSE()))</f>
        <v>1</v>
      </c>
      <c r="N31" s="202" t="b">
        <f aca="false">IF(Configuration!$C$21="No","",IFERROR(IF(OR(N('Patent Portfolio'!O32)&gt;=Configuration!$C$46,N('Patent Portfolio'!P32)&gt;=Configuration!$C$47),TRUE(),FALSE()),FALSE()))</f>
        <v>1</v>
      </c>
      <c r="O31" s="202" t="b">
        <f aca="false">IF(Configuration!$C$22="No","",IFERROR(IF('Patent Portfolio'!X32="Yes",TRUE(),FALSE()),FALSE()))</f>
        <v>0</v>
      </c>
      <c r="P31" s="202" t="b">
        <f aca="false">IF(Configuration!$C$23="No","",IFERROR(IF(N('Patent Portfolio'!R32)&gt;=Configuration!$C$48,TRUE(),FALSE()),FALSE()))</f>
        <v>1</v>
      </c>
      <c r="Q31" s="202" t="b">
        <f aca="false">IF(Configuration!$C$24="No","",IFERROR(IF(N('Patent Portfolio'!U32)&gt;0,TRUE(),FALSE()),FALSE()))</f>
        <v>1</v>
      </c>
      <c r="R31" s="202" t="b">
        <f aca="false">IF(Configuration!$C$25="No","",IFERROR(IF(OR(N('Patent Portfolio'!L32)=3,N('Patent Portfolio'!L32)&lt;=1),TRUE(),FALSE()),FALSE()))</f>
        <v>0</v>
      </c>
      <c r="S31" s="202" t="b">
        <f aca="false">IF(Configuration!$C$26="No","",IFERROR(IF(N('Patent Portfolio'!AB32)&gt;=Configuration!$C$49,TRUE(),FALSE()),FALSE()))</f>
        <v>1</v>
      </c>
      <c r="T31" s="202" t="b">
        <f aca="false">IF(Configuration!$C$27="No","",IFERROR(IF('Patent Portfolio'!Z32&lt;&gt;"",TRUE(),FALSE()),FALSE()))</f>
        <v>0</v>
      </c>
      <c r="U31" s="202" t="b">
        <f aca="false">IF(Configuration!$C$28="No","",IFERROR(IF(N('Patent Portfolio'!Q32)&gt;=Configuration!$C$50,TRUE(),FALSE()),FALSE()))</f>
        <v>1</v>
      </c>
      <c r="V31" s="202" t="b">
        <f aca="false">IF(Configuration!$C$29="No","",IFERROR(IF(AND(N('Patent Portfolio'!N32)&gt;=Configuration!$C$51,'Patent Portfolio'!C32&lt;&gt;""),TRUE(),FALSE()),FALSE()))</f>
        <v>1</v>
      </c>
      <c r="W31" s="202" t="b">
        <f aca="false">IF(Configuration!$C$30="No","",IFERROR(IF(OR('Patent Portfolio'!S32="Pending",'Patent Portfolio'!T32="Yes"),TRUE(),FALSE()),FALSE()))</f>
        <v>0</v>
      </c>
      <c r="X31" s="202" t="b">
        <f aca="false">IF(Configuration!$C$31="No","",IFERROR(IF(AND(N('Patent Portfolio'!AC32)&gt;=Configuration!$C$52,N('Patent Portfolio'!L32)&gt;=1),TRUE(),FALSE()),FALSE()))</f>
        <v>1</v>
      </c>
      <c r="Y31" s="202" t="b">
        <f aca="false">IF(Configuration!$C$32="No","",IFERROR(IF(AND(N('Patent Portfolio'!N32)&gt;=1,OR('Patent Portfolio'!C32&lt;&gt;"",'Patent Portfolio'!I32&lt;&gt;"")),TRUE(),FALSE()),FALSE()))</f>
        <v>1</v>
      </c>
      <c r="Z31" s="202" t="b">
        <f aca="false">IF(Configuration!$C$33="No","",IFERROR(IF('Patent Portfolio'!C32&lt;&gt;"",TRUE(),FALSE()),FALSE()))</f>
        <v>1</v>
      </c>
      <c r="AA31" s="202" t="b">
        <f aca="false">IF(Configuration!$C$34="No","",IFERROR(IF('Patent Portfolio'!T32="Yes",TRUE(),FALSE()),FALSE()))</f>
        <v>0</v>
      </c>
      <c r="AB31" s="202" t="b">
        <f aca="false">IF(Configuration!$C$35="No","",IFERROR(IF(OR('Patent Portfolio'!AK32="Partial",'Patent Portfolio'!AK32="Full"),TRUE(),FALSE()),FALSE()))</f>
        <v>1</v>
      </c>
      <c r="AC31" s="202" t="b">
        <f aca="false">IF(Configuration!$C$36="No","",IFERROR(IF('Patent Portfolio'!AI32="Survived",TRUE(),FALSE()),FALSE()))</f>
        <v>0</v>
      </c>
      <c r="AD31" s="202" t="b">
        <f aca="false">IF(Configuration!$C$37="No","",IFERROR(IF(AND('Patent Portfolio'!AJ32="Clean",'Patent Portfolio'!AL32="None"),TRUE(),FALSE()),FALSE()))</f>
        <v>1</v>
      </c>
      <c r="AE31" s="202" t="b">
        <f aca="false">IF(Configuration!$C$38="No","",IFERROR(IF(N('Patent Portfolio'!AG32)&gt;=Configuration!$C$53,TRUE(),FALSE()),FALSE()))</f>
        <v>0</v>
      </c>
      <c r="AF31" s="202" t="b">
        <f aca="false">IF(Configuration!$C$39="No","",IFERROR(IF(AND(N('Patent Portfolio'!AO32)&gt;=2,N('Patent Portfolio'!AB32)&gt;=2),TRUE(),FALSE()),FALSE()))</f>
        <v>1</v>
      </c>
      <c r="AG31" s="202" t="b">
        <f aca="false">IF(Configuration!$C$40="No","",IFERROR(IF(OR(N('Patent Portfolio'!AC32)&lt;=Configuration!$C$56,N('Patent Portfolio'!U32)&lt;Configuration!$C$57,N('Patent Portfolio'!AD32)&lt;=Configuration!$C$58),TRUE(),FALSE()),FALSE()))</f>
        <v>1</v>
      </c>
      <c r="AH31" s="202" t="b">
        <f aca="false">IF(Configuration!$C$41="No","",IFERROR(IF(AND(N('Patent Portfolio'!U32)&gt;=Configuration!$C$54,N('Patent Portfolio'!U32)&lt;=Configuration!$C$55),TRUE(),FALSE()),FALSE()))</f>
        <v>1</v>
      </c>
      <c r="AI31" s="202" t="b">
        <f aca="false">IF(Configuration!$C$42="No","",IFERROR(IF(AND('Patent Portfolio'!C32&lt;&gt;"",'Patent Portfolio'!F32&lt;&gt;""),TRUE(),FALSE()),FALSE()))</f>
        <v>1</v>
      </c>
      <c r="AJ31" s="203" t="n">
        <f aca="false">COUNTIF(C31:AH31,TRUE())</f>
        <v>22</v>
      </c>
    </row>
    <row r="32" customFormat="false" ht="15" hidden="false" customHeight="true" outlineLevel="0" collapsed="false">
      <c r="A32" s="201" t="str">
        <f aca="false">'Patent Portfolio'!A33</f>
        <v>SL-010</v>
      </c>
      <c r="B32" s="201" t="str">
        <f aca="false">'Patent Portfolio'!B33</f>
        <v>Adaptive video codec rate control for lossy networks</v>
      </c>
      <c r="C32" s="202" t="b">
        <f aca="false">IF(Configuration!$C$10="No","",IFERROR(IF('Patent Portfolio'!C33&lt;&gt;"",TRUE(),FALSE()),FALSE()))</f>
        <v>1</v>
      </c>
      <c r="D32" s="202" t="b">
        <f aca="false">IF(Configuration!$C$11="No","",IFERROR(IF(AND(N('Patent Portfolio'!H33)&gt;=Configuration!$C$44,'Patent Portfolio'!I33&lt;&gt;""),TRUE(),FALSE()),FALSE()))</f>
        <v>0</v>
      </c>
      <c r="E32" s="202" t="b">
        <f aca="false">IF(Configuration!$C$12="No","",IFERROR(IF('Patent Portfolio'!F33&lt;&gt;"",TRUE(),FALSE()),FALSE()))</f>
        <v>1</v>
      </c>
      <c r="F32" s="202" t="b">
        <f aca="false">IF(Configuration!$C$13="No","",IFERROR(IF('Patent Portfolio'!E33&lt;&gt;"",TRUE(),FALSE()),FALSE()))</f>
        <v>1</v>
      </c>
      <c r="G32" s="202" t="b">
        <f aca="false">IF(Configuration!$C$14="No","",IFERROR(IF('Patent Portfolio'!G33&lt;&gt;"",TRUE(),FALSE()),FALSE()))</f>
        <v>1</v>
      </c>
      <c r="H32" s="202" t="b">
        <f aca="false">IF(Configuration!$C$15="No","",IFERROR(IF(AND(OR(ISNUMBER(SEARCH("process",'Patent Portfolio'!C33)),ISNUMBER(SEARCH("fab",'Patent Portfolio'!C33)),ISNUMBER(SEARCH("manufac",'Patent Portfolio'!C33))),'Patent Portfolio'!K33="Method"),TRUE(),FALSE()),FALSE()))</f>
        <v>0</v>
      </c>
      <c r="I32" s="202" t="b">
        <f aca="false">IF(Configuration!$C$16="No","",IFERROR(IF(AND(OR(ISNUMBER(SEARCH("material",'Patent Portfolio'!C33)),ISNUMBER(SEARCH("chem",'Patent Portfolio'!C33)),ISNUMBER(SEARCH("battery",'Patent Portfolio'!C33)),ISNUMBER(SEARCH("electrolyte",'Patent Portfolio'!C33)),ISNUMBER(SEARCH("polymer",'Patent Portfolio'!C33))),OR('Patent Portfolio'!K33="Apparatus",'Patent Portfolio'!K33="Method")),TRUE(),FALSE()),FALSE()))</f>
        <v>0</v>
      </c>
      <c r="J32" s="202" t="b">
        <f aca="false">IF(Configuration!$C$17="No","",IFERROR(IF(AND(OR('Patent Portfolio'!E33="App",'Patent Portfolio'!E33="Middleware",'Patent Portfolio'!E33="Cloud"),OR('Patent Portfolio'!K33="Method",'Patent Portfolio'!K33="CRM")),TRUE(),FALSE()),FALSE()))</f>
        <v>1</v>
      </c>
      <c r="K32" s="202" t="b">
        <f aca="false">IF(Configuration!$C$18="No","",IFERROR(IF(N('Patent Portfolio'!J33)&gt;=Configuration!$C$45,TRUE(),FALSE()),FALSE()))</f>
        <v>1</v>
      </c>
      <c r="L32" s="202" t="b">
        <f aca="false">IF(Configuration!$C$19="No","",IFERROR(IF('Patent Portfolio'!AA33&lt;&gt;"",TRUE(),FALSE()),FALSE()))</f>
        <v>1</v>
      </c>
      <c r="M32" s="202" t="b">
        <f aca="false">IF(Configuration!$C$20="No","",IFERROR(IF('Patent Portfolio'!K33&lt;&gt;"",TRUE(),FALSE()),FALSE()))</f>
        <v>1</v>
      </c>
      <c r="N32" s="202" t="b">
        <f aca="false">IF(Configuration!$C$21="No","",IFERROR(IF(OR(N('Patent Portfolio'!O33)&gt;=Configuration!$C$46,N('Patent Portfolio'!P33)&gt;=Configuration!$C$47),TRUE(),FALSE()),FALSE()))</f>
        <v>1</v>
      </c>
      <c r="O32" s="202" t="b">
        <f aca="false">IF(Configuration!$C$22="No","",IFERROR(IF('Patent Portfolio'!X33="Yes",TRUE(),FALSE()),FALSE()))</f>
        <v>1</v>
      </c>
      <c r="P32" s="202" t="b">
        <f aca="false">IF(Configuration!$C$23="No","",IFERROR(IF(N('Patent Portfolio'!R33)&gt;=Configuration!$C$48,TRUE(),FALSE()),FALSE()))</f>
        <v>1</v>
      </c>
      <c r="Q32" s="202" t="b">
        <f aca="false">IF(Configuration!$C$24="No","",IFERROR(IF(N('Patent Portfolio'!U33)&gt;0,TRUE(),FALSE()),FALSE()))</f>
        <v>1</v>
      </c>
      <c r="R32" s="202" t="b">
        <f aca="false">IF(Configuration!$C$25="No","",IFERROR(IF(OR(N('Patent Portfolio'!L33)=3,N('Patent Portfolio'!L33)&lt;=1),TRUE(),FALSE()),FALSE()))</f>
        <v>1</v>
      </c>
      <c r="S32" s="202" t="b">
        <f aca="false">IF(Configuration!$C$26="No","",IFERROR(IF(N('Patent Portfolio'!AB33)&gt;=Configuration!$C$49,TRUE(),FALSE()),FALSE()))</f>
        <v>1</v>
      </c>
      <c r="T32" s="202" t="b">
        <f aca="false">IF(Configuration!$C$27="No","",IFERROR(IF('Patent Portfolio'!Z33&lt;&gt;"",TRUE(),FALSE()),FALSE()))</f>
        <v>0</v>
      </c>
      <c r="U32" s="202" t="b">
        <f aca="false">IF(Configuration!$C$28="No","",IFERROR(IF(N('Patent Portfolio'!Q33)&gt;=Configuration!$C$50,TRUE(),FALSE()),FALSE()))</f>
        <v>1</v>
      </c>
      <c r="V32" s="202" t="b">
        <f aca="false">IF(Configuration!$C$29="No","",IFERROR(IF(AND(N('Patent Portfolio'!N33)&gt;=Configuration!$C$51,'Patent Portfolio'!C33&lt;&gt;""),TRUE(),FALSE()),FALSE()))</f>
        <v>1</v>
      </c>
      <c r="W32" s="202" t="b">
        <f aca="false">IF(Configuration!$C$30="No","",IFERROR(IF(OR('Patent Portfolio'!S33="Pending",'Patent Portfolio'!T33="Yes"),TRUE(),FALSE()),FALSE()))</f>
        <v>0</v>
      </c>
      <c r="X32" s="202" t="b">
        <f aca="false">IF(Configuration!$C$31="No","",IFERROR(IF(AND(N('Patent Portfolio'!AC33)&gt;=Configuration!$C$52,N('Patent Portfolio'!L33)&gt;=1),TRUE(),FALSE()),FALSE()))</f>
        <v>1</v>
      </c>
      <c r="Y32" s="202" t="b">
        <f aca="false">IF(Configuration!$C$32="No","",IFERROR(IF(AND(N('Patent Portfolio'!N33)&gt;=1,OR('Patent Portfolio'!C33&lt;&gt;"",'Patent Portfolio'!I33&lt;&gt;"")),TRUE(),FALSE()),FALSE()))</f>
        <v>1</v>
      </c>
      <c r="Z32" s="202" t="b">
        <f aca="false">IF(Configuration!$C$33="No","",IFERROR(IF('Patent Portfolio'!C33&lt;&gt;"",TRUE(),FALSE()),FALSE()))</f>
        <v>1</v>
      </c>
      <c r="AA32" s="202" t="b">
        <f aca="false">IF(Configuration!$C$34="No","",IFERROR(IF('Patent Portfolio'!T33="Yes",TRUE(),FALSE()),FALSE()))</f>
        <v>0</v>
      </c>
      <c r="AB32" s="202" t="b">
        <f aca="false">IF(Configuration!$C$35="No","",IFERROR(IF(OR('Patent Portfolio'!AK33="Partial",'Patent Portfolio'!AK33="Full"),TRUE(),FALSE()),FALSE()))</f>
        <v>1</v>
      </c>
      <c r="AC32" s="202" t="b">
        <f aca="false">IF(Configuration!$C$36="No","",IFERROR(IF('Patent Portfolio'!AI33="Survived",TRUE(),FALSE()),FALSE()))</f>
        <v>0</v>
      </c>
      <c r="AD32" s="202" t="b">
        <f aca="false">IF(Configuration!$C$37="No","",IFERROR(IF(AND('Patent Portfolio'!AJ33="Clean",'Patent Portfolio'!AL33="None"),TRUE(),FALSE()),FALSE()))</f>
        <v>0</v>
      </c>
      <c r="AE32" s="202" t="b">
        <f aca="false">IF(Configuration!$C$38="No","",IFERROR(IF(N('Patent Portfolio'!AG33)&gt;=Configuration!$C$53,TRUE(),FALSE()),FALSE()))</f>
        <v>1</v>
      </c>
      <c r="AF32" s="202" t="b">
        <f aca="false">IF(Configuration!$C$39="No","",IFERROR(IF(AND(N('Patent Portfolio'!AO33)&gt;=2,N('Patent Portfolio'!AB33)&gt;=2),TRUE(),FALSE()),FALSE()))</f>
        <v>1</v>
      </c>
      <c r="AG32" s="202" t="b">
        <f aca="false">IF(Configuration!$C$40="No","",IFERROR(IF(OR(N('Patent Portfolio'!AC33)&lt;=Configuration!$C$56,N('Patent Portfolio'!U33)&lt;Configuration!$C$57,N('Patent Portfolio'!AD33)&lt;=Configuration!$C$58),TRUE(),FALSE()),FALSE()))</f>
        <v>1</v>
      </c>
      <c r="AH32" s="202" t="b">
        <f aca="false">IF(Configuration!$C$41="No","",IFERROR(IF(AND(N('Patent Portfolio'!U33)&gt;=Configuration!$C$54,N('Patent Portfolio'!U33)&lt;=Configuration!$C$55),TRUE(),FALSE()),FALSE()))</f>
        <v>1</v>
      </c>
      <c r="AI32" s="202" t="b">
        <f aca="false">IF(Configuration!$C$42="No","",IFERROR(IF(AND('Patent Portfolio'!C33&lt;&gt;"",'Patent Portfolio'!F33&lt;&gt;""),TRUE(),FALSE()),FALSE()))</f>
        <v>1</v>
      </c>
      <c r="AJ32" s="203" t="n">
        <f aca="false">COUNTIF(C32:AH32,TRUE())</f>
        <v>24</v>
      </c>
    </row>
    <row r="33" customFormat="false" ht="15" hidden="false" customHeight="true" outlineLevel="0" collapsed="false">
      <c r="A33" s="204" t="str">
        <f aca="false">'Patent Portfolio'!A35</f>
        <v>SL-011</v>
      </c>
      <c r="B33" s="204" t="str">
        <f aca="false">'Patent Portfolio'!B35</f>
        <v>5G NR downlink HARQ-ACK timing control</v>
      </c>
      <c r="C33" s="205" t="b">
        <f aca="false">IF(Configuration!$C$10="No","",IFERROR(IF('Patent Portfolio'!C35&lt;&gt;"",TRUE(),FALSE()),FALSE()))</f>
        <v>1</v>
      </c>
      <c r="D33" s="205" t="b">
        <f aca="false">IF(Configuration!$C$11="No","",IFERROR(IF(AND(N('Patent Portfolio'!H35)&gt;=Configuration!$C$44,'Patent Portfolio'!I35&lt;&gt;""),TRUE(),FALSE()),FALSE()))</f>
        <v>1</v>
      </c>
      <c r="E33" s="205" t="b">
        <f aca="false">IF(Configuration!$C$12="No","",IFERROR(IF('Patent Portfolio'!F35&lt;&gt;"",TRUE(),FALSE()),FALSE()))</f>
        <v>1</v>
      </c>
      <c r="F33" s="205" t="b">
        <f aca="false">IF(Configuration!$C$13="No","",IFERROR(IF('Patent Portfolio'!E35&lt;&gt;"",TRUE(),FALSE()),FALSE()))</f>
        <v>1</v>
      </c>
      <c r="G33" s="205" t="b">
        <f aca="false">IF(Configuration!$C$14="No","",IFERROR(IF('Patent Portfolio'!G35&lt;&gt;"",TRUE(),FALSE()),FALSE()))</f>
        <v>1</v>
      </c>
      <c r="H33" s="205" t="b">
        <f aca="false">IF(Configuration!$C$15="No","",IFERROR(IF(AND(OR(ISNUMBER(SEARCH("process",'Patent Portfolio'!C35)),ISNUMBER(SEARCH("fab",'Patent Portfolio'!C35)),ISNUMBER(SEARCH("manufac",'Patent Portfolio'!C35))),'Patent Portfolio'!K35="Method"),TRUE(),FALSE()),FALSE()))</f>
        <v>0</v>
      </c>
      <c r="I33" s="205" t="b">
        <f aca="false">IF(Configuration!$C$16="No","",IFERROR(IF(AND(OR(ISNUMBER(SEARCH("material",'Patent Portfolio'!C35)),ISNUMBER(SEARCH("chem",'Patent Portfolio'!C35)),ISNUMBER(SEARCH("battery",'Patent Portfolio'!C35)),ISNUMBER(SEARCH("electrolyte",'Patent Portfolio'!C35)),ISNUMBER(SEARCH("polymer",'Patent Portfolio'!C35))),OR('Patent Portfolio'!K35="Apparatus",'Patent Portfolio'!K35="Method")),TRUE(),FALSE()),FALSE()))</f>
        <v>0</v>
      </c>
      <c r="J33" s="205" t="b">
        <f aca="false">IF(Configuration!$C$17="No","",IFERROR(IF(AND(OR('Patent Portfolio'!E35="App",'Patent Portfolio'!E35="Middleware",'Patent Portfolio'!E35="Cloud"),OR('Patent Portfolio'!K35="Method",'Patent Portfolio'!K35="CRM")),TRUE(),FALSE()),FALSE()))</f>
        <v>0</v>
      </c>
      <c r="K33" s="205" t="b">
        <f aca="false">IF(Configuration!$C$18="No","",IFERROR(IF(N('Patent Portfolio'!J35)&gt;=Configuration!$C$45,TRUE(),FALSE()),FALSE()))</f>
        <v>1</v>
      </c>
      <c r="L33" s="205" t="b">
        <f aca="false">IF(Configuration!$C$19="No","",IFERROR(IF('Patent Portfolio'!AA35&lt;&gt;"",TRUE(),FALSE()),FALSE()))</f>
        <v>1</v>
      </c>
      <c r="M33" s="205" t="b">
        <f aca="false">IF(Configuration!$C$20="No","",IFERROR(IF('Patent Portfolio'!K35&lt;&gt;"",TRUE(),FALSE()),FALSE()))</f>
        <v>1</v>
      </c>
      <c r="N33" s="205" t="b">
        <f aca="false">IF(Configuration!$C$21="No","",IFERROR(IF(OR(N('Patent Portfolio'!O35)&gt;=Configuration!$C$46,N('Patent Portfolio'!P35)&gt;=Configuration!$C$47),TRUE(),FALSE()),FALSE()))</f>
        <v>1</v>
      </c>
      <c r="O33" s="205" t="b">
        <f aca="false">IF(Configuration!$C$22="No","",IFERROR(IF('Patent Portfolio'!X35="Yes",TRUE(),FALSE()),FALSE()))</f>
        <v>1</v>
      </c>
      <c r="P33" s="205" t="b">
        <f aca="false">IF(Configuration!$C$23="No","",IFERROR(IF(N('Patent Portfolio'!R35)&gt;=Configuration!$C$48,TRUE(),FALSE()),FALSE()))</f>
        <v>1</v>
      </c>
      <c r="Q33" s="205" t="b">
        <f aca="false">IF(Configuration!$C$24="No","",IFERROR(IF(N('Patent Portfolio'!U35)&gt;0,TRUE(),FALSE()),FALSE()))</f>
        <v>1</v>
      </c>
      <c r="R33" s="205" t="b">
        <f aca="false">IF(Configuration!$C$25="No","",IFERROR(IF(OR(N('Patent Portfolio'!L35)=3,N('Patent Portfolio'!L35)&lt;=1),TRUE(),FALSE()),FALSE()))</f>
        <v>0</v>
      </c>
      <c r="S33" s="205" t="b">
        <f aca="false">IF(Configuration!$C$26="No","",IFERROR(IF(N('Patent Portfolio'!AB35)&gt;=Configuration!$C$49,TRUE(),FALSE()),FALSE()))</f>
        <v>0</v>
      </c>
      <c r="T33" s="205" t="b">
        <f aca="false">IF(Configuration!$C$27="No","",IFERROR(IF('Patent Portfolio'!Z35&lt;&gt;"",TRUE(),FALSE()),FALSE()))</f>
        <v>0</v>
      </c>
      <c r="U33" s="205" t="b">
        <f aca="false">IF(Configuration!$C$28="No","",IFERROR(IF(N('Patent Portfolio'!Q35)&gt;=Configuration!$C$50,TRUE(),FALSE()),FALSE()))</f>
        <v>1</v>
      </c>
      <c r="V33" s="205" t="b">
        <f aca="false">IF(Configuration!$C$29="No","",IFERROR(IF(AND(N('Patent Portfolio'!N35)&gt;=Configuration!$C$51,'Patent Portfolio'!C35&lt;&gt;""),TRUE(),FALSE()),FALSE()))</f>
        <v>1</v>
      </c>
      <c r="W33" s="205" t="b">
        <f aca="false">IF(Configuration!$C$30="No","",IFERROR(IF(OR('Patent Portfolio'!S35="Pending",'Patent Portfolio'!T35="Yes"),TRUE(),FALSE()),FALSE()))</f>
        <v>0</v>
      </c>
      <c r="X33" s="205" t="b">
        <f aca="false">IF(Configuration!$C$31="No","",IFERROR(IF(AND(N('Patent Portfolio'!AC35)&gt;=Configuration!$C$52,N('Patent Portfolio'!L35)&gt;=1),TRUE(),FALSE()),FALSE()))</f>
        <v>1</v>
      </c>
      <c r="Y33" s="205" t="b">
        <f aca="false">IF(Configuration!$C$32="No","",IFERROR(IF(AND(N('Patent Portfolio'!N35)&gt;=1,OR('Patent Portfolio'!C35&lt;&gt;"",'Patent Portfolio'!I35&lt;&gt;"")),TRUE(),FALSE()),FALSE()))</f>
        <v>1</v>
      </c>
      <c r="Z33" s="205" t="b">
        <f aca="false">IF(Configuration!$C$33="No","",IFERROR(IF('Patent Portfolio'!C35&lt;&gt;"",TRUE(),FALSE()),FALSE()))</f>
        <v>1</v>
      </c>
      <c r="AA33" s="205" t="b">
        <f aca="false">IF(Configuration!$C$34="No","",IFERROR(IF('Patent Portfolio'!T35="Yes",TRUE(),FALSE()),FALSE()))</f>
        <v>0</v>
      </c>
      <c r="AB33" s="205" t="b">
        <f aca="false">IF(Configuration!$C$35="No","",IFERROR(IF(OR('Patent Portfolio'!AK35="Partial",'Patent Portfolio'!AK35="Full"),TRUE(),FALSE()),FALSE()))</f>
        <v>1</v>
      </c>
      <c r="AC33" s="205" t="b">
        <f aca="false">IF(Configuration!$C$36="No","",IFERROR(IF('Patent Portfolio'!AI35="Survived",TRUE(),FALSE()),FALSE()))</f>
        <v>0</v>
      </c>
      <c r="AD33" s="205" t="b">
        <f aca="false">IF(Configuration!$C$37="No","",IFERROR(IF(AND('Patent Portfolio'!AJ35="Clean",'Patent Portfolio'!AL35="None"),TRUE(),FALSE()),FALSE()))</f>
        <v>1</v>
      </c>
      <c r="AE33" s="205" t="b">
        <f aca="false">IF(Configuration!$C$38="No","",IFERROR(IF(N('Patent Portfolio'!AG35)&gt;=Configuration!$C$53,TRUE(),FALSE()),FALSE()))</f>
        <v>0</v>
      </c>
      <c r="AF33" s="205" t="b">
        <f aca="false">IF(Configuration!$C$39="No","",IFERROR(IF(AND(N('Patent Portfolio'!AO35)&gt;=2,N('Patent Portfolio'!AB35)&gt;=2),TRUE(),FALSE()),FALSE()))</f>
        <v>0</v>
      </c>
      <c r="AG33" s="205" t="b">
        <f aca="false">IF(Configuration!$C$40="No","",IFERROR(IF(OR(N('Patent Portfolio'!AC35)&lt;=Configuration!$C$56,N('Patent Portfolio'!U35)&lt;Configuration!$C$57,N('Patent Portfolio'!AD35)&lt;=Configuration!$C$58),TRUE(),FALSE()),FALSE()))</f>
        <v>1</v>
      </c>
      <c r="AH33" s="205" t="b">
        <f aca="false">IF(Configuration!$C$41="No","",IFERROR(IF(AND(N('Patent Portfolio'!U35)&gt;=Configuration!$C$54,N('Patent Portfolio'!U35)&lt;=Configuration!$C$55),TRUE(),FALSE()),FALSE()))</f>
        <v>1</v>
      </c>
      <c r="AI33" s="205" t="b">
        <f aca="false">IF(Configuration!$C$42="No","",IFERROR(IF(AND('Patent Portfolio'!C35&lt;&gt;"",'Patent Portfolio'!F35&lt;&gt;""),TRUE(),FALSE()),FALSE()))</f>
        <v>1</v>
      </c>
      <c r="AJ33" s="206" t="n">
        <f aca="false">COUNTIF(C33:AH33,TRUE())</f>
        <v>21</v>
      </c>
    </row>
    <row r="34" customFormat="false" ht="15" hidden="false" customHeight="true" outlineLevel="0" collapsed="false">
      <c r="A34" s="204" t="str">
        <f aca="false">'Patent Portfolio'!A36</f>
        <v>SL-012</v>
      </c>
      <c r="B34" s="204" t="str">
        <f aca="false">'Patent Portfolio'!B36</f>
        <v>OLED pixel compensation circuit for burn-in prevention</v>
      </c>
      <c r="C34" s="205" t="b">
        <f aca="false">IF(Configuration!$C$10="No","",IFERROR(IF('Patent Portfolio'!C36&lt;&gt;"",TRUE(),FALSE()),FALSE()))</f>
        <v>1</v>
      </c>
      <c r="D34" s="205" t="b">
        <f aca="false">IF(Configuration!$C$11="No","",IFERROR(IF(AND(N('Patent Portfolio'!H36)&gt;=Configuration!$C$44,'Patent Portfolio'!I36&lt;&gt;""),TRUE(),FALSE()),FALSE()))</f>
        <v>0</v>
      </c>
      <c r="E34" s="205" t="b">
        <f aca="false">IF(Configuration!$C$12="No","",IFERROR(IF('Patent Portfolio'!F36&lt;&gt;"",TRUE(),FALSE()),FALSE()))</f>
        <v>1</v>
      </c>
      <c r="F34" s="205" t="b">
        <f aca="false">IF(Configuration!$C$13="No","",IFERROR(IF('Patent Portfolio'!E36&lt;&gt;"",TRUE(),FALSE()),FALSE()))</f>
        <v>1</v>
      </c>
      <c r="G34" s="205" t="b">
        <f aca="false">IF(Configuration!$C$14="No","",IFERROR(IF('Patent Portfolio'!G36&lt;&gt;"",TRUE(),FALSE()),FALSE()))</f>
        <v>1</v>
      </c>
      <c r="H34" s="205" t="b">
        <f aca="false">IF(Configuration!$C$15="No","",IFERROR(IF(AND(OR(ISNUMBER(SEARCH("process",'Patent Portfolio'!C36)),ISNUMBER(SEARCH("fab",'Patent Portfolio'!C36)),ISNUMBER(SEARCH("manufac",'Patent Portfolio'!C36))),'Patent Portfolio'!K36="Method"),TRUE(),FALSE()),FALSE()))</f>
        <v>0</v>
      </c>
      <c r="I34" s="205" t="b">
        <f aca="false">IF(Configuration!$C$16="No","",IFERROR(IF(AND(OR(ISNUMBER(SEARCH("material",'Patent Portfolio'!C36)),ISNUMBER(SEARCH("chem",'Patent Portfolio'!C36)),ISNUMBER(SEARCH("battery",'Patent Portfolio'!C36)),ISNUMBER(SEARCH("electrolyte",'Patent Portfolio'!C36)),ISNUMBER(SEARCH("polymer",'Patent Portfolio'!C36))),OR('Patent Portfolio'!K36="Apparatus",'Patent Portfolio'!K36="Method")),TRUE(),FALSE()),FALSE()))</f>
        <v>0</v>
      </c>
      <c r="J34" s="205" t="b">
        <f aca="false">IF(Configuration!$C$17="No","",IFERROR(IF(AND(OR('Patent Portfolio'!E36="App",'Patent Portfolio'!E36="Middleware",'Patent Portfolio'!E36="Cloud"),OR('Patent Portfolio'!K36="Method",'Patent Portfolio'!K36="CRM")),TRUE(),FALSE()),FALSE()))</f>
        <v>0</v>
      </c>
      <c r="K34" s="205" t="b">
        <f aca="false">IF(Configuration!$C$18="No","",IFERROR(IF(N('Patent Portfolio'!J36)&gt;=Configuration!$C$45,TRUE(),FALSE()),FALSE()))</f>
        <v>0</v>
      </c>
      <c r="L34" s="205" t="b">
        <f aca="false">IF(Configuration!$C$19="No","",IFERROR(IF('Patent Portfolio'!AA36&lt;&gt;"",TRUE(),FALSE()),FALSE()))</f>
        <v>1</v>
      </c>
      <c r="M34" s="205" t="b">
        <f aca="false">IF(Configuration!$C$20="No","",IFERROR(IF('Patent Portfolio'!K36&lt;&gt;"",TRUE(),FALSE()),FALSE()))</f>
        <v>1</v>
      </c>
      <c r="N34" s="205" t="b">
        <f aca="false">IF(Configuration!$C$21="No","",IFERROR(IF(OR(N('Patent Portfolio'!O36)&gt;=Configuration!$C$46,N('Patent Portfolio'!P36)&gt;=Configuration!$C$47),TRUE(),FALSE()),FALSE()))</f>
        <v>1</v>
      </c>
      <c r="O34" s="205" t="b">
        <f aca="false">IF(Configuration!$C$22="No","",IFERROR(IF('Patent Portfolio'!X36="Yes",TRUE(),FALSE()),FALSE()))</f>
        <v>0</v>
      </c>
      <c r="P34" s="205" t="b">
        <f aca="false">IF(Configuration!$C$23="No","",IFERROR(IF(N('Patent Portfolio'!R36)&gt;=Configuration!$C$48,TRUE(),FALSE()),FALSE()))</f>
        <v>1</v>
      </c>
      <c r="Q34" s="205" t="b">
        <f aca="false">IF(Configuration!$C$24="No","",IFERROR(IF(N('Patent Portfolio'!U36)&gt;0,TRUE(),FALSE()),FALSE()))</f>
        <v>1</v>
      </c>
      <c r="R34" s="205" t="b">
        <f aca="false">IF(Configuration!$C$25="No","",IFERROR(IF(OR(N('Patent Portfolio'!L36)=3,N('Patent Portfolio'!L36)&lt;=1),TRUE(),FALSE()),FALSE()))</f>
        <v>0</v>
      </c>
      <c r="S34" s="205" t="b">
        <f aca="false">IF(Configuration!$C$26="No","",IFERROR(IF(N('Patent Portfolio'!AB36)&gt;=Configuration!$C$49,TRUE(),FALSE()),FALSE()))</f>
        <v>1</v>
      </c>
      <c r="T34" s="205" t="b">
        <f aca="false">IF(Configuration!$C$27="No","",IFERROR(IF('Patent Portfolio'!Z36&lt;&gt;"",TRUE(),FALSE()),FALSE()))</f>
        <v>0</v>
      </c>
      <c r="U34" s="205" t="b">
        <f aca="false">IF(Configuration!$C$28="No","",IFERROR(IF(N('Patent Portfolio'!Q36)&gt;=Configuration!$C$50,TRUE(),FALSE()),FALSE()))</f>
        <v>1</v>
      </c>
      <c r="V34" s="205" t="b">
        <f aca="false">IF(Configuration!$C$29="No","",IFERROR(IF(AND(N('Patent Portfolio'!N36)&gt;=Configuration!$C$51,'Patent Portfolio'!C36&lt;&gt;""),TRUE(),FALSE()),FALSE()))</f>
        <v>1</v>
      </c>
      <c r="W34" s="205" t="b">
        <f aca="false">IF(Configuration!$C$30="No","",IFERROR(IF(OR('Patent Portfolio'!S36="Pending",'Patent Portfolio'!T36="Yes"),TRUE(),FALSE()),FALSE()))</f>
        <v>0</v>
      </c>
      <c r="X34" s="205" t="b">
        <f aca="false">IF(Configuration!$C$31="No","",IFERROR(IF(AND(N('Patent Portfolio'!AC36)&gt;=Configuration!$C$52,N('Patent Portfolio'!L36)&gt;=1),TRUE(),FALSE()),FALSE()))</f>
        <v>1</v>
      </c>
      <c r="Y34" s="205" t="b">
        <f aca="false">IF(Configuration!$C$32="No","",IFERROR(IF(AND(N('Patent Portfolio'!N36)&gt;=1,OR('Patent Portfolio'!C36&lt;&gt;"",'Patent Portfolio'!I36&lt;&gt;"")),TRUE(),FALSE()),FALSE()))</f>
        <v>1</v>
      </c>
      <c r="Z34" s="205" t="b">
        <f aca="false">IF(Configuration!$C$33="No","",IFERROR(IF('Patent Portfolio'!C36&lt;&gt;"",TRUE(),FALSE()),FALSE()))</f>
        <v>1</v>
      </c>
      <c r="AA34" s="205" t="b">
        <f aca="false">IF(Configuration!$C$34="No","",IFERROR(IF('Patent Portfolio'!T36="Yes",TRUE(),FALSE()),FALSE()))</f>
        <v>0</v>
      </c>
      <c r="AB34" s="205" t="b">
        <f aca="false">IF(Configuration!$C$35="No","",IFERROR(IF(OR('Patent Portfolio'!AK36="Partial",'Patent Portfolio'!AK36="Full"),TRUE(),FALSE()),FALSE()))</f>
        <v>1</v>
      </c>
      <c r="AC34" s="205" t="b">
        <f aca="false">IF(Configuration!$C$36="No","",IFERROR(IF('Patent Portfolio'!AI36="Survived",TRUE(),FALSE()),FALSE()))</f>
        <v>1</v>
      </c>
      <c r="AD34" s="205" t="b">
        <f aca="false">IF(Configuration!$C$37="No","",IFERROR(IF(AND('Patent Portfolio'!AJ36="Clean",'Patent Portfolio'!AL36="None"),TRUE(),FALSE()),FALSE()))</f>
        <v>1</v>
      </c>
      <c r="AE34" s="205" t="b">
        <f aca="false">IF(Configuration!$C$38="No","",IFERROR(IF(N('Patent Portfolio'!AG36)&gt;=Configuration!$C$53,TRUE(),FALSE()),FALSE()))</f>
        <v>1</v>
      </c>
      <c r="AF34" s="205" t="b">
        <f aca="false">IF(Configuration!$C$39="No","",IFERROR(IF(AND(N('Patent Portfolio'!AO36)&gt;=2,N('Patent Portfolio'!AB36)&gt;=2),TRUE(),FALSE()),FALSE()))</f>
        <v>0</v>
      </c>
      <c r="AG34" s="205" t="b">
        <f aca="false">IF(Configuration!$C$40="No","",IFERROR(IF(OR(N('Patent Portfolio'!AC36)&lt;=Configuration!$C$56,N('Patent Portfolio'!U36)&lt;Configuration!$C$57,N('Patent Portfolio'!AD36)&lt;=Configuration!$C$58),TRUE(),FALSE()),FALSE()))</f>
        <v>1</v>
      </c>
      <c r="AH34" s="205" t="b">
        <f aca="false">IF(Configuration!$C$41="No","",IFERROR(IF(AND(N('Patent Portfolio'!U36)&gt;=Configuration!$C$54,N('Patent Portfolio'!U36)&lt;=Configuration!$C$55),TRUE(),FALSE()),FALSE()))</f>
        <v>1</v>
      </c>
      <c r="AI34" s="205" t="b">
        <f aca="false">IF(Configuration!$C$42="No","",IFERROR(IF(AND('Patent Portfolio'!C36&lt;&gt;"",'Patent Portfolio'!F36&lt;&gt;""),TRUE(),FALSE()),FALSE()))</f>
        <v>1</v>
      </c>
      <c r="AJ34" s="206" t="n">
        <f aca="false">COUNTIF(C34:AH34,TRUE())</f>
        <v>21</v>
      </c>
    </row>
    <row r="35" customFormat="false" ht="15" hidden="false" customHeight="true" outlineLevel="0" collapsed="false">
      <c r="A35" s="204" t="str">
        <f aca="false">'Patent Portfolio'!A37</f>
        <v>SL-013</v>
      </c>
      <c r="B35" s="204" t="str">
        <f aca="false">'Patent Portfolio'!B37</f>
        <v>Object detection acceleration with sparse convolution</v>
      </c>
      <c r="C35" s="205" t="b">
        <f aca="false">IF(Configuration!$C$10="No","",IFERROR(IF('Patent Portfolio'!C37&lt;&gt;"",TRUE(),FALSE()),FALSE()))</f>
        <v>1</v>
      </c>
      <c r="D35" s="205" t="b">
        <f aca="false">IF(Configuration!$C$11="No","",IFERROR(IF(AND(N('Patent Portfolio'!H37)&gt;=Configuration!$C$44,'Patent Portfolio'!I37&lt;&gt;""),TRUE(),FALSE()),FALSE()))</f>
        <v>0</v>
      </c>
      <c r="E35" s="205" t="b">
        <f aca="false">IF(Configuration!$C$12="No","",IFERROR(IF('Patent Portfolio'!F37&lt;&gt;"",TRUE(),FALSE()),FALSE()))</f>
        <v>1</v>
      </c>
      <c r="F35" s="205" t="b">
        <f aca="false">IF(Configuration!$C$13="No","",IFERROR(IF('Patent Portfolio'!E37&lt;&gt;"",TRUE(),FALSE()),FALSE()))</f>
        <v>1</v>
      </c>
      <c r="G35" s="205" t="b">
        <f aca="false">IF(Configuration!$C$14="No","",IFERROR(IF('Patent Portfolio'!G37&lt;&gt;"",TRUE(),FALSE()),FALSE()))</f>
        <v>1</v>
      </c>
      <c r="H35" s="205" t="b">
        <f aca="false">IF(Configuration!$C$15="No","",IFERROR(IF(AND(OR(ISNUMBER(SEARCH("process",'Patent Portfolio'!C37)),ISNUMBER(SEARCH("fab",'Patent Portfolio'!C37)),ISNUMBER(SEARCH("manufac",'Patent Portfolio'!C37))),'Patent Portfolio'!K37="Method"),TRUE(),FALSE()),FALSE()))</f>
        <v>0</v>
      </c>
      <c r="I35" s="205" t="b">
        <f aca="false">IF(Configuration!$C$16="No","",IFERROR(IF(AND(OR(ISNUMBER(SEARCH("material",'Patent Portfolio'!C37)),ISNUMBER(SEARCH("chem",'Patent Portfolio'!C37)),ISNUMBER(SEARCH("battery",'Patent Portfolio'!C37)),ISNUMBER(SEARCH("electrolyte",'Patent Portfolio'!C37)),ISNUMBER(SEARCH("polymer",'Patent Portfolio'!C37))),OR('Patent Portfolio'!K37="Apparatus",'Patent Portfolio'!K37="Method")),TRUE(),FALSE()),FALSE()))</f>
        <v>0</v>
      </c>
      <c r="J35" s="205" t="b">
        <f aca="false">IF(Configuration!$C$17="No","",IFERROR(IF(AND(OR('Patent Portfolio'!E37="App",'Patent Portfolio'!E37="Middleware",'Patent Portfolio'!E37="Cloud"),OR('Patent Portfolio'!K37="Method",'Patent Portfolio'!K37="CRM")),TRUE(),FALSE()),FALSE()))</f>
        <v>1</v>
      </c>
      <c r="K35" s="205" t="b">
        <f aca="false">IF(Configuration!$C$18="No","",IFERROR(IF(N('Patent Portfolio'!J37)&gt;=Configuration!$C$45,TRUE(),FALSE()),FALSE()))</f>
        <v>0</v>
      </c>
      <c r="L35" s="205" t="b">
        <f aca="false">IF(Configuration!$C$19="No","",IFERROR(IF('Patent Portfolio'!AA37&lt;&gt;"",TRUE(),FALSE()),FALSE()))</f>
        <v>1</v>
      </c>
      <c r="M35" s="205" t="b">
        <f aca="false">IF(Configuration!$C$20="No","",IFERROR(IF('Patent Portfolio'!K37&lt;&gt;"",TRUE(),FALSE()),FALSE()))</f>
        <v>1</v>
      </c>
      <c r="N35" s="205" t="b">
        <f aca="false">IF(Configuration!$C$21="No","",IFERROR(IF(OR(N('Patent Portfolio'!O37)&gt;=Configuration!$C$46,N('Patent Portfolio'!P37)&gt;=Configuration!$C$47),TRUE(),FALSE()),FALSE()))</f>
        <v>1</v>
      </c>
      <c r="O35" s="205" t="b">
        <f aca="false">IF(Configuration!$C$22="No","",IFERROR(IF('Patent Portfolio'!X37="Yes",TRUE(),FALSE()),FALSE()))</f>
        <v>1</v>
      </c>
      <c r="P35" s="205" t="b">
        <f aca="false">IF(Configuration!$C$23="No","",IFERROR(IF(N('Patent Portfolio'!R37)&gt;=Configuration!$C$48,TRUE(),FALSE()),FALSE()))</f>
        <v>1</v>
      </c>
      <c r="Q35" s="205" t="b">
        <f aca="false">IF(Configuration!$C$24="No","",IFERROR(IF(N('Patent Portfolio'!U37)&gt;0,TRUE(),FALSE()),FALSE()))</f>
        <v>1</v>
      </c>
      <c r="R35" s="205" t="b">
        <f aca="false">IF(Configuration!$C$25="No","",IFERROR(IF(OR(N('Patent Portfolio'!L37)=3,N('Patent Portfolio'!L37)&lt;=1),TRUE(),FALSE()),FALSE()))</f>
        <v>0</v>
      </c>
      <c r="S35" s="205" t="b">
        <f aca="false">IF(Configuration!$C$26="No","",IFERROR(IF(N('Patent Portfolio'!AB37)&gt;=Configuration!$C$49,TRUE(),FALSE()),FALSE()))</f>
        <v>1</v>
      </c>
      <c r="T35" s="205" t="b">
        <f aca="false">IF(Configuration!$C$27="No","",IFERROR(IF('Patent Portfolio'!Z37&lt;&gt;"",TRUE(),FALSE()),FALSE()))</f>
        <v>1</v>
      </c>
      <c r="U35" s="205" t="b">
        <f aca="false">IF(Configuration!$C$28="No","",IFERROR(IF(N('Patent Portfolio'!Q37)&gt;=Configuration!$C$50,TRUE(),FALSE()),FALSE()))</f>
        <v>1</v>
      </c>
      <c r="V35" s="205" t="b">
        <f aca="false">IF(Configuration!$C$29="No","",IFERROR(IF(AND(N('Patent Portfolio'!N37)&gt;=Configuration!$C$51,'Patent Portfolio'!C37&lt;&gt;""),TRUE(),FALSE()),FALSE()))</f>
        <v>1</v>
      </c>
      <c r="W35" s="205" t="b">
        <f aca="false">IF(Configuration!$C$30="No","",IFERROR(IF(OR('Patent Portfolio'!S37="Pending",'Patent Portfolio'!T37="Yes"),TRUE(),FALSE()),FALSE()))</f>
        <v>1</v>
      </c>
      <c r="X35" s="205" t="b">
        <f aca="false">IF(Configuration!$C$31="No","",IFERROR(IF(AND(N('Patent Portfolio'!AC37)&gt;=Configuration!$C$52,N('Patent Portfolio'!L37)&gt;=1),TRUE(),FALSE()),FALSE()))</f>
        <v>1</v>
      </c>
      <c r="Y35" s="205" t="b">
        <f aca="false">IF(Configuration!$C$32="No","",IFERROR(IF(AND(N('Patent Portfolio'!N37)&gt;=1,OR('Patent Portfolio'!C37&lt;&gt;"",'Patent Portfolio'!I37&lt;&gt;"")),TRUE(),FALSE()),FALSE()))</f>
        <v>1</v>
      </c>
      <c r="Z35" s="205" t="b">
        <f aca="false">IF(Configuration!$C$33="No","",IFERROR(IF('Patent Portfolio'!C37&lt;&gt;"",TRUE(),FALSE()),FALSE()))</f>
        <v>1</v>
      </c>
      <c r="AA35" s="205" t="b">
        <f aca="false">IF(Configuration!$C$34="No","",IFERROR(IF('Patent Portfolio'!T37="Yes",TRUE(),FALSE()),FALSE()))</f>
        <v>1</v>
      </c>
      <c r="AB35" s="205" t="b">
        <f aca="false">IF(Configuration!$C$35="No","",IFERROR(IF(OR('Patent Portfolio'!AK37="Partial",'Patent Portfolio'!AK37="Full"),TRUE(),FALSE()),FALSE()))</f>
        <v>1</v>
      </c>
      <c r="AC35" s="205" t="b">
        <f aca="false">IF(Configuration!$C$36="No","",IFERROR(IF('Patent Portfolio'!AI37="Survived",TRUE(),FALSE()),FALSE()))</f>
        <v>0</v>
      </c>
      <c r="AD35" s="205" t="b">
        <f aca="false">IF(Configuration!$C$37="No","",IFERROR(IF(AND('Patent Portfolio'!AJ37="Clean",'Patent Portfolio'!AL37="None"),TRUE(),FALSE()),FALSE()))</f>
        <v>1</v>
      </c>
      <c r="AE35" s="205" t="b">
        <f aca="false">IF(Configuration!$C$38="No","",IFERROR(IF(N('Patent Portfolio'!AG37)&gt;=Configuration!$C$53,TRUE(),FALSE()),FALSE()))</f>
        <v>1</v>
      </c>
      <c r="AF35" s="205" t="b">
        <f aca="false">IF(Configuration!$C$39="No","",IFERROR(IF(AND(N('Patent Portfolio'!AO37)&gt;=2,N('Patent Portfolio'!AB37)&gt;=2),TRUE(),FALSE()),FALSE()))</f>
        <v>1</v>
      </c>
      <c r="AG35" s="205" t="b">
        <f aca="false">IF(Configuration!$C$40="No","",IFERROR(IF(OR(N('Patent Portfolio'!AC37)&lt;=Configuration!$C$56,N('Patent Portfolio'!U37)&lt;Configuration!$C$57,N('Patent Portfolio'!AD37)&lt;=Configuration!$C$58),TRUE(),FALSE()),FALSE()))</f>
        <v>1</v>
      </c>
      <c r="AH35" s="205" t="b">
        <f aca="false">IF(Configuration!$C$41="No","",IFERROR(IF(AND(N('Patent Portfolio'!U37)&gt;=Configuration!$C$54,N('Patent Portfolio'!U37)&lt;=Configuration!$C$55),TRUE(),FALSE()),FALSE()))</f>
        <v>1</v>
      </c>
      <c r="AI35" s="205" t="b">
        <f aca="false">IF(Configuration!$C$42="No","",IFERROR(IF(AND('Patent Portfolio'!C37&lt;&gt;"",'Patent Portfolio'!F37&lt;&gt;""),TRUE(),FALSE()),FALSE()))</f>
        <v>1</v>
      </c>
      <c r="AJ35" s="206" t="n">
        <f aca="false">COUNTIF(C35:AH35,TRUE())</f>
        <v>26</v>
      </c>
    </row>
    <row r="36" customFormat="false" ht="15" hidden="false" customHeight="true" outlineLevel="0" collapsed="false">
      <c r="A36" s="204" t="str">
        <f aca="false">'Patent Portfolio'!A38</f>
        <v>SL-014</v>
      </c>
      <c r="B36" s="204" t="str">
        <f aca="false">'Patent Portfolio'!B38</f>
        <v>Lithium-sulfur battery electrolyte stabilization</v>
      </c>
      <c r="C36" s="205" t="b">
        <f aca="false">IF(Configuration!$C$10="No","",IFERROR(IF('Patent Portfolio'!C38&lt;&gt;"",TRUE(),FALSE()),FALSE()))</f>
        <v>1</v>
      </c>
      <c r="D36" s="205" t="b">
        <f aca="false">IF(Configuration!$C$11="No","",IFERROR(IF(AND(N('Patent Portfolio'!H38)&gt;=Configuration!$C$44,'Patent Portfolio'!I38&lt;&gt;""),TRUE(),FALSE()),FALSE()))</f>
        <v>0</v>
      </c>
      <c r="E36" s="205" t="b">
        <f aca="false">IF(Configuration!$C$12="No","",IFERROR(IF('Patent Portfolio'!F38&lt;&gt;"",TRUE(),FALSE()),FALSE()))</f>
        <v>1</v>
      </c>
      <c r="F36" s="205" t="b">
        <f aca="false">IF(Configuration!$C$13="No","",IFERROR(IF('Patent Portfolio'!E38&lt;&gt;"",TRUE(),FALSE()),FALSE()))</f>
        <v>1</v>
      </c>
      <c r="G36" s="205" t="b">
        <f aca="false">IF(Configuration!$C$14="No","",IFERROR(IF('Patent Portfolio'!G38&lt;&gt;"",TRUE(),FALSE()),FALSE()))</f>
        <v>1</v>
      </c>
      <c r="H36" s="205" t="b">
        <f aca="false">IF(Configuration!$C$15="No","",IFERROR(IF(AND(OR(ISNUMBER(SEARCH("process",'Patent Portfolio'!C38)),ISNUMBER(SEARCH("fab",'Patent Portfolio'!C38)),ISNUMBER(SEARCH("manufac",'Patent Portfolio'!C38))),'Patent Portfolio'!K38="Method"),TRUE(),FALSE()),FALSE()))</f>
        <v>0</v>
      </c>
      <c r="I36" s="205" t="b">
        <f aca="false">IF(Configuration!$C$16="No","",IFERROR(IF(AND(OR(ISNUMBER(SEARCH("material",'Patent Portfolio'!C38)),ISNUMBER(SEARCH("chem",'Patent Portfolio'!C38)),ISNUMBER(SEARCH("battery",'Patent Portfolio'!C38)),ISNUMBER(SEARCH("electrolyte",'Patent Portfolio'!C38)),ISNUMBER(SEARCH("polymer",'Patent Portfolio'!C38))),OR('Patent Portfolio'!K38="Apparatus",'Patent Portfolio'!K38="Method")),TRUE(),FALSE()),FALSE()))</f>
        <v>1</v>
      </c>
      <c r="J36" s="205" t="b">
        <f aca="false">IF(Configuration!$C$17="No","",IFERROR(IF(AND(OR('Patent Portfolio'!E38="App",'Patent Portfolio'!E38="Middleware",'Patent Portfolio'!E38="Cloud"),OR('Patent Portfolio'!K38="Method",'Patent Portfolio'!K38="CRM")),TRUE(),FALSE()),FALSE()))</f>
        <v>0</v>
      </c>
      <c r="K36" s="205" t="b">
        <f aca="false">IF(Configuration!$C$18="No","",IFERROR(IF(N('Patent Portfolio'!J38)&gt;=Configuration!$C$45,TRUE(),FALSE()),FALSE()))</f>
        <v>0</v>
      </c>
      <c r="L36" s="205" t="b">
        <f aca="false">IF(Configuration!$C$19="No","",IFERROR(IF('Patent Portfolio'!AA38&lt;&gt;"",TRUE(),FALSE()),FALSE()))</f>
        <v>1</v>
      </c>
      <c r="M36" s="205" t="b">
        <f aca="false">IF(Configuration!$C$20="No","",IFERROR(IF('Patent Portfolio'!K38&lt;&gt;"",TRUE(),FALSE()),FALSE()))</f>
        <v>1</v>
      </c>
      <c r="N36" s="205" t="b">
        <f aca="false">IF(Configuration!$C$21="No","",IFERROR(IF(OR(N('Patent Portfolio'!O38)&gt;=Configuration!$C$46,N('Patent Portfolio'!P38)&gt;=Configuration!$C$47),TRUE(),FALSE()),FALSE()))</f>
        <v>1</v>
      </c>
      <c r="O36" s="205" t="b">
        <f aca="false">IF(Configuration!$C$22="No","",IFERROR(IF('Patent Portfolio'!X38="Yes",TRUE(),FALSE()),FALSE()))</f>
        <v>1</v>
      </c>
      <c r="P36" s="205" t="b">
        <f aca="false">IF(Configuration!$C$23="No","",IFERROR(IF(N('Patent Portfolio'!R38)&gt;=Configuration!$C$48,TRUE(),FALSE()),FALSE()))</f>
        <v>1</v>
      </c>
      <c r="Q36" s="205" t="b">
        <f aca="false">IF(Configuration!$C$24="No","",IFERROR(IF(N('Patent Portfolio'!U38)&gt;0,TRUE(),FALSE()),FALSE()))</f>
        <v>1</v>
      </c>
      <c r="R36" s="205" t="b">
        <f aca="false">IF(Configuration!$C$25="No","",IFERROR(IF(OR(N('Patent Portfolio'!L38)=3,N('Patent Portfolio'!L38)&lt;=1),TRUE(),FALSE()),FALSE()))</f>
        <v>1</v>
      </c>
      <c r="S36" s="205" t="b">
        <f aca="false">IF(Configuration!$C$26="No","",IFERROR(IF(N('Patent Portfolio'!AB38)&gt;=Configuration!$C$49,TRUE(),FALSE()),FALSE()))</f>
        <v>1</v>
      </c>
      <c r="T36" s="205" t="b">
        <f aca="false">IF(Configuration!$C$27="No","",IFERROR(IF('Patent Portfolio'!Z38&lt;&gt;"",TRUE(),FALSE()),FALSE()))</f>
        <v>1</v>
      </c>
      <c r="U36" s="205" t="b">
        <f aca="false">IF(Configuration!$C$28="No","",IFERROR(IF(N('Patent Portfolio'!Q38)&gt;=Configuration!$C$50,TRUE(),FALSE()),FALSE()))</f>
        <v>1</v>
      </c>
      <c r="V36" s="205" t="b">
        <f aca="false">IF(Configuration!$C$29="No","",IFERROR(IF(AND(N('Patent Portfolio'!N38)&gt;=Configuration!$C$51,'Patent Portfolio'!C38&lt;&gt;""),TRUE(),FALSE()),FALSE()))</f>
        <v>1</v>
      </c>
      <c r="W36" s="205" t="b">
        <f aca="false">IF(Configuration!$C$30="No","",IFERROR(IF(OR('Patent Portfolio'!S38="Pending",'Patent Portfolio'!T38="Yes"),TRUE(),FALSE()),FALSE()))</f>
        <v>1</v>
      </c>
      <c r="X36" s="205" t="b">
        <f aca="false">IF(Configuration!$C$31="No","",IFERROR(IF(AND(N('Patent Portfolio'!AC38)&gt;=Configuration!$C$52,N('Patent Portfolio'!L38)&gt;=1),TRUE(),FALSE()),FALSE()))</f>
        <v>1</v>
      </c>
      <c r="Y36" s="205" t="b">
        <f aca="false">IF(Configuration!$C$32="No","",IFERROR(IF(AND(N('Patent Portfolio'!N38)&gt;=1,OR('Patent Portfolio'!C38&lt;&gt;"",'Patent Portfolio'!I38&lt;&gt;"")),TRUE(),FALSE()),FALSE()))</f>
        <v>1</v>
      </c>
      <c r="Z36" s="205" t="b">
        <f aca="false">IF(Configuration!$C$33="No","",IFERROR(IF('Patent Portfolio'!C38&lt;&gt;"",TRUE(),FALSE()),FALSE()))</f>
        <v>1</v>
      </c>
      <c r="AA36" s="205" t="b">
        <f aca="false">IF(Configuration!$C$34="No","",IFERROR(IF('Patent Portfolio'!T38="Yes",TRUE(),FALSE()),FALSE()))</f>
        <v>1</v>
      </c>
      <c r="AB36" s="205" t="b">
        <f aca="false">IF(Configuration!$C$35="No","",IFERROR(IF(OR('Patent Portfolio'!AK38="Partial",'Patent Portfolio'!AK38="Full"),TRUE(),FALSE()),FALSE()))</f>
        <v>1</v>
      </c>
      <c r="AC36" s="205" t="b">
        <f aca="false">IF(Configuration!$C$36="No","",IFERROR(IF('Patent Portfolio'!AI38="Survived",TRUE(),FALSE()),FALSE()))</f>
        <v>0</v>
      </c>
      <c r="AD36" s="205" t="b">
        <f aca="false">IF(Configuration!$C$37="No","",IFERROR(IF(AND('Patent Portfolio'!AJ38="Clean",'Patent Portfolio'!AL38="None"),TRUE(),FALSE()),FALSE()))</f>
        <v>1</v>
      </c>
      <c r="AE36" s="205" t="b">
        <f aca="false">IF(Configuration!$C$38="No","",IFERROR(IF(N('Patent Portfolio'!AG38)&gt;=Configuration!$C$53,TRUE(),FALSE()),FALSE()))</f>
        <v>1</v>
      </c>
      <c r="AF36" s="205" t="b">
        <f aca="false">IF(Configuration!$C$39="No","",IFERROR(IF(AND(N('Patent Portfolio'!AO38)&gt;=2,N('Patent Portfolio'!AB38)&gt;=2),TRUE(),FALSE()),FALSE()))</f>
        <v>1</v>
      </c>
      <c r="AG36" s="205" t="b">
        <f aca="false">IF(Configuration!$C$40="No","",IFERROR(IF(OR(N('Patent Portfolio'!AC38)&lt;=Configuration!$C$56,N('Patent Portfolio'!U38)&lt;Configuration!$C$57,N('Patent Portfolio'!AD38)&lt;=Configuration!$C$58),TRUE(),FALSE()),FALSE()))</f>
        <v>1</v>
      </c>
      <c r="AH36" s="205" t="b">
        <f aca="false">IF(Configuration!$C$41="No","",IFERROR(IF(AND(N('Patent Portfolio'!U38)&gt;=Configuration!$C$54,N('Patent Portfolio'!U38)&lt;=Configuration!$C$55),TRUE(),FALSE()),FALSE()))</f>
        <v>1</v>
      </c>
      <c r="AI36" s="205" t="b">
        <f aca="false">IF(Configuration!$C$42="No","",IFERROR(IF(AND('Patent Portfolio'!C38&lt;&gt;"",'Patent Portfolio'!F38&lt;&gt;""),TRUE(),FALSE()),FALSE()))</f>
        <v>1</v>
      </c>
      <c r="AJ36" s="206" t="n">
        <f aca="false">COUNTIF(C36:AH36,TRUE())</f>
        <v>27</v>
      </c>
    </row>
    <row r="37" customFormat="false" ht="15" hidden="false" customHeight="true" outlineLevel="0" collapsed="false">
      <c r="A37" s="204" t="str">
        <f aca="false">'Patent Portfolio'!A39</f>
        <v>SL-015</v>
      </c>
      <c r="B37" s="204" t="str">
        <f aca="false">'Patent Portfolio'!B39</f>
        <v>Private 5G network slice orchestration method</v>
      </c>
      <c r="C37" s="205" t="b">
        <f aca="false">IF(Configuration!$C$10="No","",IFERROR(IF('Patent Portfolio'!C39&lt;&gt;"",TRUE(),FALSE()),FALSE()))</f>
        <v>1</v>
      </c>
      <c r="D37" s="205" t="b">
        <f aca="false">IF(Configuration!$C$11="No","",IFERROR(IF(AND(N('Patent Portfolio'!H39)&gt;=Configuration!$C$44,'Patent Portfolio'!I39&lt;&gt;""),TRUE(),FALSE()),FALSE()))</f>
        <v>1</v>
      </c>
      <c r="E37" s="205" t="b">
        <f aca="false">IF(Configuration!$C$12="No","",IFERROR(IF('Patent Portfolio'!F39&lt;&gt;"",TRUE(),FALSE()),FALSE()))</f>
        <v>1</v>
      </c>
      <c r="F37" s="205" t="b">
        <f aca="false">IF(Configuration!$C$13="No","",IFERROR(IF('Patent Portfolio'!E39&lt;&gt;"",TRUE(),FALSE()),FALSE()))</f>
        <v>1</v>
      </c>
      <c r="G37" s="205" t="b">
        <f aca="false">IF(Configuration!$C$14="No","",IFERROR(IF('Patent Portfolio'!G39&lt;&gt;"",TRUE(),FALSE()),FALSE()))</f>
        <v>1</v>
      </c>
      <c r="H37" s="205" t="b">
        <f aca="false">IF(Configuration!$C$15="No","",IFERROR(IF(AND(OR(ISNUMBER(SEARCH("process",'Patent Portfolio'!C39)),ISNUMBER(SEARCH("fab",'Patent Portfolio'!C39)),ISNUMBER(SEARCH("manufac",'Patent Portfolio'!C39))),'Patent Portfolio'!K39="Method"),TRUE(),FALSE()),FALSE()))</f>
        <v>0</v>
      </c>
      <c r="I37" s="205" t="b">
        <f aca="false">IF(Configuration!$C$16="No","",IFERROR(IF(AND(OR(ISNUMBER(SEARCH("material",'Patent Portfolio'!C39)),ISNUMBER(SEARCH("chem",'Patent Portfolio'!C39)),ISNUMBER(SEARCH("battery",'Patent Portfolio'!C39)),ISNUMBER(SEARCH("electrolyte",'Patent Portfolio'!C39)),ISNUMBER(SEARCH("polymer",'Patent Portfolio'!C39))),OR('Patent Portfolio'!K39="Apparatus",'Patent Portfolio'!K39="Method")),TRUE(),FALSE()),FALSE()))</f>
        <v>0</v>
      </c>
      <c r="J37" s="205" t="b">
        <f aca="false">IF(Configuration!$C$17="No","",IFERROR(IF(AND(OR('Patent Portfolio'!E39="App",'Patent Portfolio'!E39="Middleware",'Patent Portfolio'!E39="Cloud"),OR('Patent Portfolio'!K39="Method",'Patent Portfolio'!K39="CRM")),TRUE(),FALSE()),FALSE()))</f>
        <v>1</v>
      </c>
      <c r="K37" s="205" t="b">
        <f aca="false">IF(Configuration!$C$18="No","",IFERROR(IF(N('Patent Portfolio'!J39)&gt;=Configuration!$C$45,TRUE(),FALSE()),FALSE()))</f>
        <v>1</v>
      </c>
      <c r="L37" s="205" t="b">
        <f aca="false">IF(Configuration!$C$19="No","",IFERROR(IF('Patent Portfolio'!AA39&lt;&gt;"",TRUE(),FALSE()),FALSE()))</f>
        <v>1</v>
      </c>
      <c r="M37" s="205" t="b">
        <f aca="false">IF(Configuration!$C$20="No","",IFERROR(IF('Patent Portfolio'!K39&lt;&gt;"",TRUE(),FALSE()),FALSE()))</f>
        <v>1</v>
      </c>
      <c r="N37" s="205" t="b">
        <f aca="false">IF(Configuration!$C$21="No","",IFERROR(IF(OR(N('Patent Portfolio'!O39)&gt;=Configuration!$C$46,N('Patent Portfolio'!P39)&gt;=Configuration!$C$47),TRUE(),FALSE()),FALSE()))</f>
        <v>1</v>
      </c>
      <c r="O37" s="205" t="b">
        <f aca="false">IF(Configuration!$C$22="No","",IFERROR(IF('Patent Portfolio'!X39="Yes",TRUE(),FALSE()),FALSE()))</f>
        <v>1</v>
      </c>
      <c r="P37" s="205" t="b">
        <f aca="false">IF(Configuration!$C$23="No","",IFERROR(IF(N('Patent Portfolio'!R39)&gt;=Configuration!$C$48,TRUE(),FALSE()),FALSE()))</f>
        <v>1</v>
      </c>
      <c r="Q37" s="205" t="b">
        <f aca="false">IF(Configuration!$C$24="No","",IFERROR(IF(N('Patent Portfolio'!U39)&gt;0,TRUE(),FALSE()),FALSE()))</f>
        <v>1</v>
      </c>
      <c r="R37" s="205" t="b">
        <f aca="false">IF(Configuration!$C$25="No","",IFERROR(IF(OR(N('Patent Portfolio'!L39)=3,N('Patent Portfolio'!L39)&lt;=1),TRUE(),FALSE()),FALSE()))</f>
        <v>0</v>
      </c>
      <c r="S37" s="205" t="b">
        <f aca="false">IF(Configuration!$C$26="No","",IFERROR(IF(N('Patent Portfolio'!AB39)&gt;=Configuration!$C$49,TRUE(),FALSE()),FALSE()))</f>
        <v>1</v>
      </c>
      <c r="T37" s="205" t="b">
        <f aca="false">IF(Configuration!$C$27="No","",IFERROR(IF('Patent Portfolio'!Z39&lt;&gt;"",TRUE(),FALSE()),FALSE()))</f>
        <v>0</v>
      </c>
      <c r="U37" s="205" t="b">
        <f aca="false">IF(Configuration!$C$28="No","",IFERROR(IF(N('Patent Portfolio'!Q39)&gt;=Configuration!$C$50,TRUE(),FALSE()),FALSE()))</f>
        <v>1</v>
      </c>
      <c r="V37" s="205" t="b">
        <f aca="false">IF(Configuration!$C$29="No","",IFERROR(IF(AND(N('Patent Portfolio'!N39)&gt;=Configuration!$C$51,'Patent Portfolio'!C39&lt;&gt;""),TRUE(),FALSE()),FALSE()))</f>
        <v>1</v>
      </c>
      <c r="W37" s="205" t="b">
        <f aca="false">IF(Configuration!$C$30="No","",IFERROR(IF(OR('Patent Portfolio'!S39="Pending",'Patent Portfolio'!T39="Yes"),TRUE(),FALSE()),FALSE()))</f>
        <v>0</v>
      </c>
      <c r="X37" s="205" t="b">
        <f aca="false">IF(Configuration!$C$31="No","",IFERROR(IF(AND(N('Patent Portfolio'!AC39)&gt;=Configuration!$C$52,N('Patent Portfolio'!L39)&gt;=1),TRUE(),FALSE()),FALSE()))</f>
        <v>1</v>
      </c>
      <c r="Y37" s="205" t="b">
        <f aca="false">IF(Configuration!$C$32="No","",IFERROR(IF(AND(N('Patent Portfolio'!N39)&gt;=1,OR('Patent Portfolio'!C39&lt;&gt;"",'Patent Portfolio'!I39&lt;&gt;"")),TRUE(),FALSE()),FALSE()))</f>
        <v>1</v>
      </c>
      <c r="Z37" s="205" t="b">
        <f aca="false">IF(Configuration!$C$33="No","",IFERROR(IF('Patent Portfolio'!C39&lt;&gt;"",TRUE(),FALSE()),FALSE()))</f>
        <v>1</v>
      </c>
      <c r="AA37" s="205" t="b">
        <f aca="false">IF(Configuration!$C$34="No","",IFERROR(IF('Patent Portfolio'!T39="Yes",TRUE(),FALSE()),FALSE()))</f>
        <v>0</v>
      </c>
      <c r="AB37" s="205" t="b">
        <f aca="false">IF(Configuration!$C$35="No","",IFERROR(IF(OR('Patent Portfolio'!AK39="Partial",'Patent Portfolio'!AK39="Full"),TRUE(),FALSE()),FALSE()))</f>
        <v>1</v>
      </c>
      <c r="AC37" s="205" t="b">
        <f aca="false">IF(Configuration!$C$36="No","",IFERROR(IF('Patent Portfolio'!AI39="Survived",TRUE(),FALSE()),FALSE()))</f>
        <v>0</v>
      </c>
      <c r="AD37" s="205" t="b">
        <f aca="false">IF(Configuration!$C$37="No","",IFERROR(IF(AND('Patent Portfolio'!AJ39="Clean",'Patent Portfolio'!AL39="None"),TRUE(),FALSE()),FALSE()))</f>
        <v>1</v>
      </c>
      <c r="AE37" s="205" t="b">
        <f aca="false">IF(Configuration!$C$38="No","",IFERROR(IF(N('Patent Portfolio'!AG39)&gt;=Configuration!$C$53,TRUE(),FALSE()),FALSE()))</f>
        <v>0</v>
      </c>
      <c r="AF37" s="205" t="b">
        <f aca="false">IF(Configuration!$C$39="No","",IFERROR(IF(AND(N('Patent Portfolio'!AO39)&gt;=2,N('Patent Portfolio'!AB39)&gt;=2),TRUE(),FALSE()),FALSE()))</f>
        <v>1</v>
      </c>
      <c r="AG37" s="205" t="b">
        <f aca="false">IF(Configuration!$C$40="No","",IFERROR(IF(OR(N('Patent Portfolio'!AC39)&lt;=Configuration!$C$56,N('Patent Portfolio'!U39)&lt;Configuration!$C$57,N('Patent Portfolio'!AD39)&lt;=Configuration!$C$58),TRUE(),FALSE()),FALSE()))</f>
        <v>1</v>
      </c>
      <c r="AH37" s="205" t="b">
        <f aca="false">IF(Configuration!$C$41="No","",IFERROR(IF(AND(N('Patent Portfolio'!U39)&gt;=Configuration!$C$54,N('Patent Portfolio'!U39)&lt;=Configuration!$C$55),TRUE(),FALSE()),FALSE()))</f>
        <v>1</v>
      </c>
      <c r="AI37" s="205" t="b">
        <f aca="false">IF(Configuration!$C$42="No","",IFERROR(IF(AND('Patent Portfolio'!C39&lt;&gt;"",'Patent Portfolio'!F39&lt;&gt;""),TRUE(),FALSE()),FALSE()))</f>
        <v>1</v>
      </c>
      <c r="AJ37" s="206" t="n">
        <f aca="false">COUNTIF(C37:AH37,TRUE())</f>
        <v>24</v>
      </c>
    </row>
    <row r="38" customFormat="false" ht="15" hidden="false" customHeight="true" outlineLevel="0" collapsed="false">
      <c r="A38" s="204" t="str">
        <f aca="false">'Patent Portfolio'!A40</f>
        <v>SL-016</v>
      </c>
      <c r="B38" s="204" t="str">
        <f aca="false">'Patent Portfolio'!B40</f>
        <v>Secure enclave key derivation for IoT devices</v>
      </c>
      <c r="C38" s="205" t="b">
        <f aca="false">IF(Configuration!$C$10="No","",IFERROR(IF('Patent Portfolio'!C40&lt;&gt;"",TRUE(),FALSE()),FALSE()))</f>
        <v>1</v>
      </c>
      <c r="D38" s="205" t="b">
        <f aca="false">IF(Configuration!$C$11="No","",IFERROR(IF(AND(N('Patent Portfolio'!H40)&gt;=Configuration!$C$44,'Patent Portfolio'!I40&lt;&gt;""),TRUE(),FALSE()),FALSE()))</f>
        <v>0</v>
      </c>
      <c r="E38" s="205" t="b">
        <f aca="false">IF(Configuration!$C$12="No","",IFERROR(IF('Patent Portfolio'!F40&lt;&gt;"",TRUE(),FALSE()),FALSE()))</f>
        <v>1</v>
      </c>
      <c r="F38" s="205" t="b">
        <f aca="false">IF(Configuration!$C$13="No","",IFERROR(IF('Patent Portfolio'!E40&lt;&gt;"",TRUE(),FALSE()),FALSE()))</f>
        <v>1</v>
      </c>
      <c r="G38" s="205" t="b">
        <f aca="false">IF(Configuration!$C$14="No","",IFERROR(IF('Patent Portfolio'!G40&lt;&gt;"",TRUE(),FALSE()),FALSE()))</f>
        <v>1</v>
      </c>
      <c r="H38" s="205" t="b">
        <f aca="false">IF(Configuration!$C$15="No","",IFERROR(IF(AND(OR(ISNUMBER(SEARCH("process",'Patent Portfolio'!C40)),ISNUMBER(SEARCH("fab",'Patent Portfolio'!C40)),ISNUMBER(SEARCH("manufac",'Patent Portfolio'!C40))),'Patent Portfolio'!K40="Method"),TRUE(),FALSE()),FALSE()))</f>
        <v>0</v>
      </c>
      <c r="I38" s="205" t="b">
        <f aca="false">IF(Configuration!$C$16="No","",IFERROR(IF(AND(OR(ISNUMBER(SEARCH("material",'Patent Portfolio'!C40)),ISNUMBER(SEARCH("chem",'Patent Portfolio'!C40)),ISNUMBER(SEARCH("battery",'Patent Portfolio'!C40)),ISNUMBER(SEARCH("electrolyte",'Patent Portfolio'!C40)),ISNUMBER(SEARCH("polymer",'Patent Portfolio'!C40))),OR('Patent Portfolio'!K40="Apparatus",'Patent Portfolio'!K40="Method")),TRUE(),FALSE()),FALSE()))</f>
        <v>0</v>
      </c>
      <c r="J38" s="205" t="b">
        <f aca="false">IF(Configuration!$C$17="No","",IFERROR(IF(AND(OR('Patent Portfolio'!E40="App",'Patent Portfolio'!E40="Middleware",'Patent Portfolio'!E40="Cloud"),OR('Patent Portfolio'!K40="Method",'Patent Portfolio'!K40="CRM")),TRUE(),FALSE()),FALSE()))</f>
        <v>0</v>
      </c>
      <c r="K38" s="205" t="b">
        <f aca="false">IF(Configuration!$C$18="No","",IFERROR(IF(N('Patent Portfolio'!J40)&gt;=Configuration!$C$45,TRUE(),FALSE()),FALSE()))</f>
        <v>0</v>
      </c>
      <c r="L38" s="205" t="b">
        <f aca="false">IF(Configuration!$C$19="No","",IFERROR(IF('Patent Portfolio'!AA40&lt;&gt;"",TRUE(),FALSE()),FALSE()))</f>
        <v>1</v>
      </c>
      <c r="M38" s="205" t="b">
        <f aca="false">IF(Configuration!$C$20="No","",IFERROR(IF('Patent Portfolio'!K40&lt;&gt;"",TRUE(),FALSE()),FALSE()))</f>
        <v>1</v>
      </c>
      <c r="N38" s="205" t="b">
        <f aca="false">IF(Configuration!$C$21="No","",IFERROR(IF(OR(N('Patent Portfolio'!O40)&gt;=Configuration!$C$46,N('Patent Portfolio'!P40)&gt;=Configuration!$C$47),TRUE(),FALSE()),FALSE()))</f>
        <v>1</v>
      </c>
      <c r="O38" s="205" t="b">
        <f aca="false">IF(Configuration!$C$22="No","",IFERROR(IF('Patent Portfolio'!X40="Yes",TRUE(),FALSE()),FALSE()))</f>
        <v>0</v>
      </c>
      <c r="P38" s="205" t="b">
        <f aca="false">IF(Configuration!$C$23="No","",IFERROR(IF(N('Patent Portfolio'!R40)&gt;=Configuration!$C$48,TRUE(),FALSE()),FALSE()))</f>
        <v>1</v>
      </c>
      <c r="Q38" s="205" t="b">
        <f aca="false">IF(Configuration!$C$24="No","",IFERROR(IF(N('Patent Portfolio'!U40)&gt;0,TRUE(),FALSE()),FALSE()))</f>
        <v>1</v>
      </c>
      <c r="R38" s="205" t="b">
        <f aca="false">IF(Configuration!$C$25="No","",IFERROR(IF(OR(N('Patent Portfolio'!L40)=3,N('Patent Portfolio'!L40)&lt;=1),TRUE(),FALSE()),FALSE()))</f>
        <v>0</v>
      </c>
      <c r="S38" s="205" t="b">
        <f aca="false">IF(Configuration!$C$26="No","",IFERROR(IF(N('Patent Portfolio'!AB40)&gt;=Configuration!$C$49,TRUE(),FALSE()),FALSE()))</f>
        <v>1</v>
      </c>
      <c r="T38" s="205" t="b">
        <f aca="false">IF(Configuration!$C$27="No","",IFERROR(IF('Patent Portfolio'!Z40&lt;&gt;"",TRUE(),FALSE()),FALSE()))</f>
        <v>0</v>
      </c>
      <c r="U38" s="205" t="b">
        <f aca="false">IF(Configuration!$C$28="No","",IFERROR(IF(N('Patent Portfolio'!Q40)&gt;=Configuration!$C$50,TRUE(),FALSE()),FALSE()))</f>
        <v>1</v>
      </c>
      <c r="V38" s="205" t="b">
        <f aca="false">IF(Configuration!$C$29="No","",IFERROR(IF(AND(N('Patent Portfolio'!N40)&gt;=Configuration!$C$51,'Patent Portfolio'!C40&lt;&gt;""),TRUE(),FALSE()),FALSE()))</f>
        <v>1</v>
      </c>
      <c r="W38" s="205" t="b">
        <f aca="false">IF(Configuration!$C$30="No","",IFERROR(IF(OR('Patent Portfolio'!S40="Pending",'Patent Portfolio'!T40="Yes"),TRUE(),FALSE()),FALSE()))</f>
        <v>0</v>
      </c>
      <c r="X38" s="205" t="b">
        <f aca="false">IF(Configuration!$C$31="No","",IFERROR(IF(AND(N('Patent Portfolio'!AC40)&gt;=Configuration!$C$52,N('Patent Portfolio'!L40)&gt;=1),TRUE(),FALSE()),FALSE()))</f>
        <v>1</v>
      </c>
      <c r="Y38" s="205" t="b">
        <f aca="false">IF(Configuration!$C$32="No","",IFERROR(IF(AND(N('Patent Portfolio'!N40)&gt;=1,OR('Patent Portfolio'!C40&lt;&gt;"",'Patent Portfolio'!I40&lt;&gt;"")),TRUE(),FALSE()),FALSE()))</f>
        <v>1</v>
      </c>
      <c r="Z38" s="205" t="b">
        <f aca="false">IF(Configuration!$C$33="No","",IFERROR(IF('Patent Portfolio'!C40&lt;&gt;"",TRUE(),FALSE()),FALSE()))</f>
        <v>1</v>
      </c>
      <c r="AA38" s="205" t="b">
        <f aca="false">IF(Configuration!$C$34="No","",IFERROR(IF('Patent Portfolio'!T40="Yes",TRUE(),FALSE()),FALSE()))</f>
        <v>0</v>
      </c>
      <c r="AB38" s="205" t="b">
        <f aca="false">IF(Configuration!$C$35="No","",IFERROR(IF(OR('Patent Portfolio'!AK40="Partial",'Patent Portfolio'!AK40="Full"),TRUE(),FALSE()),FALSE()))</f>
        <v>1</v>
      </c>
      <c r="AC38" s="205" t="b">
        <f aca="false">IF(Configuration!$C$36="No","",IFERROR(IF('Patent Portfolio'!AI40="Survived",TRUE(),FALSE()),FALSE()))</f>
        <v>1</v>
      </c>
      <c r="AD38" s="205" t="b">
        <f aca="false">IF(Configuration!$C$37="No","",IFERROR(IF(AND('Patent Portfolio'!AJ40="Clean",'Patent Portfolio'!AL40="None"),TRUE(),FALSE()),FALSE()))</f>
        <v>1</v>
      </c>
      <c r="AE38" s="205" t="b">
        <f aca="false">IF(Configuration!$C$38="No","",IFERROR(IF(N('Patent Portfolio'!AG40)&gt;=Configuration!$C$53,TRUE(),FALSE()),FALSE()))</f>
        <v>0</v>
      </c>
      <c r="AF38" s="205" t="b">
        <f aca="false">IF(Configuration!$C$39="No","",IFERROR(IF(AND(N('Patent Portfolio'!AO40)&gt;=2,N('Patent Portfolio'!AB40)&gt;=2),TRUE(),FALSE()),FALSE()))</f>
        <v>1</v>
      </c>
      <c r="AG38" s="205" t="b">
        <f aca="false">IF(Configuration!$C$40="No","",IFERROR(IF(OR(N('Patent Portfolio'!AC40)&lt;=Configuration!$C$56,N('Patent Portfolio'!U40)&lt;Configuration!$C$57,N('Patent Portfolio'!AD40)&lt;=Configuration!$C$58),TRUE(),FALSE()),FALSE()))</f>
        <v>1</v>
      </c>
      <c r="AH38" s="205" t="b">
        <f aca="false">IF(Configuration!$C$41="No","",IFERROR(IF(AND(N('Patent Portfolio'!U40)&gt;=Configuration!$C$54,N('Patent Portfolio'!U40)&lt;=Configuration!$C$55),TRUE(),FALSE()),FALSE()))</f>
        <v>1</v>
      </c>
      <c r="AI38" s="205" t="b">
        <f aca="false">IF(Configuration!$C$42="No","",IFERROR(IF(AND('Patent Portfolio'!C40&lt;&gt;"",'Patent Portfolio'!F40&lt;&gt;""),TRUE(),FALSE()),FALSE()))</f>
        <v>1</v>
      </c>
      <c r="AJ38" s="206" t="n">
        <f aca="false">COUNTIF(C38:AH38,TRUE())</f>
        <v>21</v>
      </c>
    </row>
    <row r="39" customFormat="false" ht="15" hidden="false" customHeight="true" outlineLevel="0" collapsed="false">
      <c r="A39" s="204" t="str">
        <f aca="false">'Patent Portfolio'!A41</f>
        <v>SL-017</v>
      </c>
      <c r="B39" s="204" t="str">
        <f aca="false">'Patent Portfolio'!B41</f>
        <v>Multilayer ceramic capacitor dielectric formulation</v>
      </c>
      <c r="C39" s="205" t="b">
        <f aca="false">IF(Configuration!$C$10="No","",IFERROR(IF('Patent Portfolio'!C41&lt;&gt;"",TRUE(),FALSE()),FALSE()))</f>
        <v>1</v>
      </c>
      <c r="D39" s="205" t="b">
        <f aca="false">IF(Configuration!$C$11="No","",IFERROR(IF(AND(N('Patent Portfolio'!H41)&gt;=Configuration!$C$44,'Patent Portfolio'!I41&lt;&gt;""),TRUE(),FALSE()),FALSE()))</f>
        <v>0</v>
      </c>
      <c r="E39" s="205" t="b">
        <f aca="false">IF(Configuration!$C$12="No","",IFERROR(IF('Patent Portfolio'!F41&lt;&gt;"",TRUE(),FALSE()),FALSE()))</f>
        <v>1</v>
      </c>
      <c r="F39" s="205" t="b">
        <f aca="false">IF(Configuration!$C$13="No","",IFERROR(IF('Patent Portfolio'!E41&lt;&gt;"",TRUE(),FALSE()),FALSE()))</f>
        <v>1</v>
      </c>
      <c r="G39" s="205" t="b">
        <f aca="false">IF(Configuration!$C$14="No","",IFERROR(IF('Patent Portfolio'!G41&lt;&gt;"",TRUE(),FALSE()),FALSE()))</f>
        <v>1</v>
      </c>
      <c r="H39" s="205" t="b">
        <f aca="false">IF(Configuration!$C$15="No","",IFERROR(IF(AND(OR(ISNUMBER(SEARCH("process",'Patent Portfolio'!C41)),ISNUMBER(SEARCH("fab",'Patent Portfolio'!C41)),ISNUMBER(SEARCH("manufac",'Patent Portfolio'!C41))),'Patent Portfolio'!K41="Method"),TRUE(),FALSE()),FALSE()))</f>
        <v>0</v>
      </c>
      <c r="I39" s="205" t="b">
        <f aca="false">IF(Configuration!$C$16="No","",IFERROR(IF(AND(OR(ISNUMBER(SEARCH("material",'Patent Portfolio'!C41)),ISNUMBER(SEARCH("chem",'Patent Portfolio'!C41)),ISNUMBER(SEARCH("battery",'Patent Portfolio'!C41)),ISNUMBER(SEARCH("electrolyte",'Patent Portfolio'!C41)),ISNUMBER(SEARCH("polymer",'Patent Portfolio'!C41))),OR('Patent Portfolio'!K41="Apparatus",'Patent Portfolio'!K41="Method")),TRUE(),FALSE()),FALSE()))</f>
        <v>1</v>
      </c>
      <c r="J39" s="205" t="b">
        <f aca="false">IF(Configuration!$C$17="No","",IFERROR(IF(AND(OR('Patent Portfolio'!E41="App",'Patent Portfolio'!E41="Middleware",'Patent Portfolio'!E41="Cloud"),OR('Patent Portfolio'!K41="Method",'Patent Portfolio'!K41="CRM")),TRUE(),FALSE()),FALSE()))</f>
        <v>0</v>
      </c>
      <c r="K39" s="205" t="b">
        <f aca="false">IF(Configuration!$C$18="No","",IFERROR(IF(N('Patent Portfolio'!J41)&gt;=Configuration!$C$45,TRUE(),FALSE()),FALSE()))</f>
        <v>0</v>
      </c>
      <c r="L39" s="205" t="b">
        <f aca="false">IF(Configuration!$C$19="No","",IFERROR(IF('Patent Portfolio'!AA41&lt;&gt;"",TRUE(),FALSE()),FALSE()))</f>
        <v>1</v>
      </c>
      <c r="M39" s="205" t="b">
        <f aca="false">IF(Configuration!$C$20="No","",IFERROR(IF('Patent Portfolio'!K41&lt;&gt;"",TRUE(),FALSE()),FALSE()))</f>
        <v>1</v>
      </c>
      <c r="N39" s="205" t="b">
        <f aca="false">IF(Configuration!$C$21="No","",IFERROR(IF(OR(N('Patent Portfolio'!O41)&gt;=Configuration!$C$46,N('Patent Portfolio'!P41)&gt;=Configuration!$C$47),TRUE(),FALSE()),FALSE()))</f>
        <v>1</v>
      </c>
      <c r="O39" s="205" t="b">
        <f aca="false">IF(Configuration!$C$22="No","",IFERROR(IF('Patent Portfolio'!X41="Yes",TRUE(),FALSE()),FALSE()))</f>
        <v>1</v>
      </c>
      <c r="P39" s="205" t="b">
        <f aca="false">IF(Configuration!$C$23="No","",IFERROR(IF(N('Patent Portfolio'!R41)&gt;=Configuration!$C$48,TRUE(),FALSE()),FALSE()))</f>
        <v>1</v>
      </c>
      <c r="Q39" s="205" t="b">
        <f aca="false">IF(Configuration!$C$24="No","",IFERROR(IF(N('Patent Portfolio'!U41)&gt;0,TRUE(),FALSE()),FALSE()))</f>
        <v>1</v>
      </c>
      <c r="R39" s="205" t="b">
        <f aca="false">IF(Configuration!$C$25="No","",IFERROR(IF(OR(N('Patent Portfolio'!L41)=3,N('Patent Portfolio'!L41)&lt;=1),TRUE(),FALSE()),FALSE()))</f>
        <v>1</v>
      </c>
      <c r="S39" s="205" t="b">
        <f aca="false">IF(Configuration!$C$26="No","",IFERROR(IF(N('Patent Portfolio'!AB41)&gt;=Configuration!$C$49,TRUE(),FALSE()),FALSE()))</f>
        <v>1</v>
      </c>
      <c r="T39" s="205" t="b">
        <f aca="false">IF(Configuration!$C$27="No","",IFERROR(IF('Patent Portfolio'!Z41&lt;&gt;"",TRUE(),FALSE()),FALSE()))</f>
        <v>0</v>
      </c>
      <c r="U39" s="205" t="b">
        <f aca="false">IF(Configuration!$C$28="No","",IFERROR(IF(N('Patent Portfolio'!Q41)&gt;=Configuration!$C$50,TRUE(),FALSE()),FALSE()))</f>
        <v>1</v>
      </c>
      <c r="V39" s="205" t="b">
        <f aca="false">IF(Configuration!$C$29="No","",IFERROR(IF(AND(N('Patent Portfolio'!N41)&gt;=Configuration!$C$51,'Patent Portfolio'!C41&lt;&gt;""),TRUE(),FALSE()),FALSE()))</f>
        <v>1</v>
      </c>
      <c r="W39" s="205" t="b">
        <f aca="false">IF(Configuration!$C$30="No","",IFERROR(IF(OR('Patent Portfolio'!S41="Pending",'Patent Portfolio'!T41="Yes"),TRUE(),FALSE()),FALSE()))</f>
        <v>1</v>
      </c>
      <c r="X39" s="205" t="b">
        <f aca="false">IF(Configuration!$C$31="No","",IFERROR(IF(AND(N('Patent Portfolio'!AC41)&gt;=Configuration!$C$52,N('Patent Portfolio'!L41)&gt;=1),TRUE(),FALSE()),FALSE()))</f>
        <v>1</v>
      </c>
      <c r="Y39" s="205" t="b">
        <f aca="false">IF(Configuration!$C$32="No","",IFERROR(IF(AND(N('Patent Portfolio'!N41)&gt;=1,OR('Patent Portfolio'!C41&lt;&gt;"",'Patent Portfolio'!I41&lt;&gt;"")),TRUE(),FALSE()),FALSE()))</f>
        <v>1</v>
      </c>
      <c r="Z39" s="205" t="b">
        <f aca="false">IF(Configuration!$C$33="No","",IFERROR(IF('Patent Portfolio'!C41&lt;&gt;"",TRUE(),FALSE()),FALSE()))</f>
        <v>1</v>
      </c>
      <c r="AA39" s="205" t="b">
        <f aca="false">IF(Configuration!$C$34="No","",IFERROR(IF('Patent Portfolio'!T41="Yes",TRUE(),FALSE()),FALSE()))</f>
        <v>1</v>
      </c>
      <c r="AB39" s="205" t="b">
        <f aca="false">IF(Configuration!$C$35="No","",IFERROR(IF(OR('Patent Portfolio'!AK41="Partial",'Patent Portfolio'!AK41="Full"),TRUE(),FALSE()),FALSE()))</f>
        <v>0</v>
      </c>
      <c r="AC39" s="205" t="b">
        <f aca="false">IF(Configuration!$C$36="No","",IFERROR(IF('Patent Portfolio'!AI41="Survived",TRUE(),FALSE()),FALSE()))</f>
        <v>0</v>
      </c>
      <c r="AD39" s="205" t="b">
        <f aca="false">IF(Configuration!$C$37="No","",IFERROR(IF(AND('Patent Portfolio'!AJ41="Clean",'Patent Portfolio'!AL41="None"),TRUE(),FALSE()),FALSE()))</f>
        <v>1</v>
      </c>
      <c r="AE39" s="205" t="b">
        <f aca="false">IF(Configuration!$C$38="No","",IFERROR(IF(N('Patent Portfolio'!AG41)&gt;=Configuration!$C$53,TRUE(),FALSE()),FALSE()))</f>
        <v>1</v>
      </c>
      <c r="AF39" s="205" t="b">
        <f aca="false">IF(Configuration!$C$39="No","",IFERROR(IF(AND(N('Patent Portfolio'!AO41)&gt;=2,N('Patent Portfolio'!AB41)&gt;=2),TRUE(),FALSE()),FALSE()))</f>
        <v>1</v>
      </c>
      <c r="AG39" s="205" t="b">
        <f aca="false">IF(Configuration!$C$40="No","",IFERROR(IF(OR(N('Patent Portfolio'!AC41)&lt;=Configuration!$C$56,N('Patent Portfolio'!U41)&lt;Configuration!$C$57,N('Patent Portfolio'!AD41)&lt;=Configuration!$C$58),TRUE(),FALSE()),FALSE()))</f>
        <v>0</v>
      </c>
      <c r="AH39" s="205" t="b">
        <f aca="false">IF(Configuration!$C$41="No","",IFERROR(IF(AND(N('Patent Portfolio'!U41)&gt;=Configuration!$C$54,N('Patent Portfolio'!U41)&lt;=Configuration!$C$55),TRUE(),FALSE()),FALSE()))</f>
        <v>0</v>
      </c>
      <c r="AI39" s="205" t="b">
        <f aca="false">IF(Configuration!$C$42="No","",IFERROR(IF(AND('Patent Portfolio'!C41&lt;&gt;"",'Patent Portfolio'!F41&lt;&gt;""),TRUE(),FALSE()),FALSE()))</f>
        <v>1</v>
      </c>
      <c r="AJ39" s="206" t="n">
        <f aca="false">COUNTIF(C39:AH39,TRUE())</f>
        <v>23</v>
      </c>
    </row>
    <row r="40" customFormat="false" ht="15" hidden="false" customHeight="true" outlineLevel="0" collapsed="false">
      <c r="A40" s="204" t="str">
        <f aca="false">'Patent Portfolio'!A42</f>
        <v>SL-018</v>
      </c>
      <c r="B40" s="204" t="str">
        <f aca="false">'Patent Portfolio'!B42</f>
        <v>Cooperative MIMO precoding in distributed antenna systems</v>
      </c>
      <c r="C40" s="205" t="b">
        <f aca="false">IF(Configuration!$C$10="No","",IFERROR(IF('Patent Portfolio'!C42&lt;&gt;"",TRUE(),FALSE()),FALSE()))</f>
        <v>1</v>
      </c>
      <c r="D40" s="205" t="b">
        <f aca="false">IF(Configuration!$C$11="No","",IFERROR(IF(AND(N('Patent Portfolio'!H42)&gt;=Configuration!$C$44,'Patent Portfolio'!I42&lt;&gt;""),TRUE(),FALSE()),FALSE()))</f>
        <v>1</v>
      </c>
      <c r="E40" s="205" t="b">
        <f aca="false">IF(Configuration!$C$12="No","",IFERROR(IF('Patent Portfolio'!F42&lt;&gt;"",TRUE(),FALSE()),FALSE()))</f>
        <v>1</v>
      </c>
      <c r="F40" s="205" t="b">
        <f aca="false">IF(Configuration!$C$13="No","",IFERROR(IF('Patent Portfolio'!E42&lt;&gt;"",TRUE(),FALSE()),FALSE()))</f>
        <v>1</v>
      </c>
      <c r="G40" s="205" t="b">
        <f aca="false">IF(Configuration!$C$14="No","",IFERROR(IF('Patent Portfolio'!G42&lt;&gt;"",TRUE(),FALSE()),FALSE()))</f>
        <v>1</v>
      </c>
      <c r="H40" s="205" t="b">
        <f aca="false">IF(Configuration!$C$15="No","",IFERROR(IF(AND(OR(ISNUMBER(SEARCH("process",'Patent Portfolio'!C42)),ISNUMBER(SEARCH("fab",'Patent Portfolio'!C42)),ISNUMBER(SEARCH("manufac",'Patent Portfolio'!C42))),'Patent Portfolio'!K42="Method"),TRUE(),FALSE()),FALSE()))</f>
        <v>0</v>
      </c>
      <c r="I40" s="205" t="b">
        <f aca="false">IF(Configuration!$C$16="No","",IFERROR(IF(AND(OR(ISNUMBER(SEARCH("material",'Patent Portfolio'!C42)),ISNUMBER(SEARCH("chem",'Patent Portfolio'!C42)),ISNUMBER(SEARCH("battery",'Patent Portfolio'!C42)),ISNUMBER(SEARCH("electrolyte",'Patent Portfolio'!C42)),ISNUMBER(SEARCH("polymer",'Patent Portfolio'!C42))),OR('Patent Portfolio'!K42="Apparatus",'Patent Portfolio'!K42="Method")),TRUE(),FALSE()),FALSE()))</f>
        <v>0</v>
      </c>
      <c r="J40" s="205" t="b">
        <f aca="false">IF(Configuration!$C$17="No","",IFERROR(IF(AND(OR('Patent Portfolio'!E42="App",'Patent Portfolio'!E42="Middleware",'Patent Portfolio'!E42="Cloud"),OR('Patent Portfolio'!K42="Method",'Patent Portfolio'!K42="CRM")),TRUE(),FALSE()),FALSE()))</f>
        <v>0</v>
      </c>
      <c r="K40" s="205" t="b">
        <f aca="false">IF(Configuration!$C$18="No","",IFERROR(IF(N('Patent Portfolio'!J42)&gt;=Configuration!$C$45,TRUE(),FALSE()),FALSE()))</f>
        <v>1</v>
      </c>
      <c r="L40" s="205" t="b">
        <f aca="false">IF(Configuration!$C$19="No","",IFERROR(IF('Patent Portfolio'!AA42&lt;&gt;"",TRUE(),FALSE()),FALSE()))</f>
        <v>1</v>
      </c>
      <c r="M40" s="205" t="b">
        <f aca="false">IF(Configuration!$C$20="No","",IFERROR(IF('Patent Portfolio'!K42&lt;&gt;"",TRUE(),FALSE()),FALSE()))</f>
        <v>1</v>
      </c>
      <c r="N40" s="205" t="b">
        <f aca="false">IF(Configuration!$C$21="No","",IFERROR(IF(OR(N('Patent Portfolio'!O42)&gt;=Configuration!$C$46,N('Patent Portfolio'!P42)&gt;=Configuration!$C$47),TRUE(),FALSE()),FALSE()))</f>
        <v>1</v>
      </c>
      <c r="O40" s="205" t="b">
        <f aca="false">IF(Configuration!$C$22="No","",IFERROR(IF('Patent Portfolio'!X42="Yes",TRUE(),FALSE()),FALSE()))</f>
        <v>1</v>
      </c>
      <c r="P40" s="205" t="b">
        <f aca="false">IF(Configuration!$C$23="No","",IFERROR(IF(N('Patent Portfolio'!R42)&gt;=Configuration!$C$48,TRUE(),FALSE()),FALSE()))</f>
        <v>1</v>
      </c>
      <c r="Q40" s="205" t="b">
        <f aca="false">IF(Configuration!$C$24="No","",IFERROR(IF(N('Patent Portfolio'!U42)&gt;0,TRUE(),FALSE()),FALSE()))</f>
        <v>1</v>
      </c>
      <c r="R40" s="205" t="b">
        <f aca="false">IF(Configuration!$C$25="No","",IFERROR(IF(OR(N('Patent Portfolio'!L42)=3,N('Patent Portfolio'!L42)&lt;=1),TRUE(),FALSE()),FALSE()))</f>
        <v>0</v>
      </c>
      <c r="S40" s="205" t="b">
        <f aca="false">IF(Configuration!$C$26="No","",IFERROR(IF(N('Patent Portfolio'!AB42)&gt;=Configuration!$C$49,TRUE(),FALSE()),FALSE()))</f>
        <v>0</v>
      </c>
      <c r="T40" s="205" t="b">
        <f aca="false">IF(Configuration!$C$27="No","",IFERROR(IF('Patent Portfolio'!Z42&lt;&gt;"",TRUE(),FALSE()),FALSE()))</f>
        <v>0</v>
      </c>
      <c r="U40" s="205" t="b">
        <f aca="false">IF(Configuration!$C$28="No","",IFERROR(IF(N('Patent Portfolio'!Q42)&gt;=Configuration!$C$50,TRUE(),FALSE()),FALSE()))</f>
        <v>1</v>
      </c>
      <c r="V40" s="205" t="b">
        <f aca="false">IF(Configuration!$C$29="No","",IFERROR(IF(AND(N('Patent Portfolio'!N42)&gt;=Configuration!$C$51,'Patent Portfolio'!C42&lt;&gt;""),TRUE(),FALSE()),FALSE()))</f>
        <v>1</v>
      </c>
      <c r="W40" s="205" t="b">
        <f aca="false">IF(Configuration!$C$30="No","",IFERROR(IF(OR('Patent Portfolio'!S42="Pending",'Patent Portfolio'!T42="Yes"),TRUE(),FALSE()),FALSE()))</f>
        <v>0</v>
      </c>
      <c r="X40" s="205" t="b">
        <f aca="false">IF(Configuration!$C$31="No","",IFERROR(IF(AND(N('Patent Portfolio'!AC42)&gt;=Configuration!$C$52,N('Patent Portfolio'!L42)&gt;=1),TRUE(),FALSE()),FALSE()))</f>
        <v>1</v>
      </c>
      <c r="Y40" s="205" t="b">
        <f aca="false">IF(Configuration!$C$32="No","",IFERROR(IF(AND(N('Patent Portfolio'!N42)&gt;=1,OR('Patent Portfolio'!C42&lt;&gt;"",'Patent Portfolio'!I42&lt;&gt;"")),TRUE(),FALSE()),FALSE()))</f>
        <v>1</v>
      </c>
      <c r="Z40" s="205" t="b">
        <f aca="false">IF(Configuration!$C$33="No","",IFERROR(IF('Patent Portfolio'!C42&lt;&gt;"",TRUE(),FALSE()),FALSE()))</f>
        <v>1</v>
      </c>
      <c r="AA40" s="205" t="b">
        <f aca="false">IF(Configuration!$C$34="No","",IFERROR(IF('Patent Portfolio'!T42="Yes",TRUE(),FALSE()),FALSE()))</f>
        <v>0</v>
      </c>
      <c r="AB40" s="205" t="b">
        <f aca="false">IF(Configuration!$C$35="No","",IFERROR(IF(OR('Patent Portfolio'!AK42="Partial",'Patent Portfolio'!AK42="Full"),TRUE(),FALSE()),FALSE()))</f>
        <v>1</v>
      </c>
      <c r="AC40" s="205" t="b">
        <f aca="false">IF(Configuration!$C$36="No","",IFERROR(IF('Patent Portfolio'!AI42="Survived",TRUE(),FALSE()),FALSE()))</f>
        <v>0</v>
      </c>
      <c r="AD40" s="205" t="b">
        <f aca="false">IF(Configuration!$C$37="No","",IFERROR(IF(AND('Patent Portfolio'!AJ42="Clean",'Patent Portfolio'!AL42="None"),TRUE(),FALSE()),FALSE()))</f>
        <v>1</v>
      </c>
      <c r="AE40" s="205" t="b">
        <f aca="false">IF(Configuration!$C$38="No","",IFERROR(IF(N('Patent Portfolio'!AG42)&gt;=Configuration!$C$53,TRUE(),FALSE()),FALSE()))</f>
        <v>0</v>
      </c>
      <c r="AF40" s="205" t="b">
        <f aca="false">IF(Configuration!$C$39="No","",IFERROR(IF(AND(N('Patent Portfolio'!AO42)&gt;=2,N('Patent Portfolio'!AB42)&gt;=2),TRUE(),FALSE()),FALSE()))</f>
        <v>0</v>
      </c>
      <c r="AG40" s="205" t="b">
        <f aca="false">IF(Configuration!$C$40="No","",IFERROR(IF(OR(N('Patent Portfolio'!AC42)&lt;=Configuration!$C$56,N('Patent Portfolio'!U42)&lt;Configuration!$C$57,N('Patent Portfolio'!AD42)&lt;=Configuration!$C$58),TRUE(),FALSE()),FALSE()))</f>
        <v>0</v>
      </c>
      <c r="AH40" s="205" t="b">
        <f aca="false">IF(Configuration!$C$41="No","",IFERROR(IF(AND(N('Patent Portfolio'!U42)&gt;=Configuration!$C$54,N('Patent Portfolio'!U42)&lt;=Configuration!$C$55),TRUE(),FALSE()),FALSE()))</f>
        <v>0</v>
      </c>
      <c r="AI40" s="205" t="b">
        <f aca="false">IF(Configuration!$C$42="No","",IFERROR(IF(AND('Patent Portfolio'!C42&lt;&gt;"",'Patent Portfolio'!F42&lt;&gt;""),TRUE(),FALSE()),FALSE()))</f>
        <v>1</v>
      </c>
      <c r="AJ40" s="206" t="n">
        <f aca="false">COUNTIF(C40:AH40,TRUE())</f>
        <v>19</v>
      </c>
    </row>
    <row r="41" customFormat="false" ht="15" hidden="false" customHeight="true" outlineLevel="0" collapsed="false">
      <c r="A41" s="204" t="str">
        <f aca="false">'Patent Portfolio'!A43</f>
        <v>SL-019</v>
      </c>
      <c r="B41" s="204" t="str">
        <f aca="false">'Patent Portfolio'!B43</f>
        <v>Real-time LiDAR point cloud compression for autonomous driving</v>
      </c>
      <c r="C41" s="205" t="b">
        <f aca="false">IF(Configuration!$C$10="No","",IFERROR(IF('Patent Portfolio'!C43&lt;&gt;"",TRUE(),FALSE()),FALSE()))</f>
        <v>1</v>
      </c>
      <c r="D41" s="205" t="b">
        <f aca="false">IF(Configuration!$C$11="No","",IFERROR(IF(AND(N('Patent Portfolio'!H43)&gt;=Configuration!$C$44,'Patent Portfolio'!I43&lt;&gt;""),TRUE(),FALSE()),FALSE()))</f>
        <v>0</v>
      </c>
      <c r="E41" s="205" t="b">
        <f aca="false">IF(Configuration!$C$12="No","",IFERROR(IF('Patent Portfolio'!F43&lt;&gt;"",TRUE(),FALSE()),FALSE()))</f>
        <v>1</v>
      </c>
      <c r="F41" s="205" t="b">
        <f aca="false">IF(Configuration!$C$13="No","",IFERROR(IF('Patent Portfolio'!E43&lt;&gt;"",TRUE(),FALSE()),FALSE()))</f>
        <v>1</v>
      </c>
      <c r="G41" s="205" t="b">
        <f aca="false">IF(Configuration!$C$14="No","",IFERROR(IF('Patent Portfolio'!G43&lt;&gt;"",TRUE(),FALSE()),FALSE()))</f>
        <v>1</v>
      </c>
      <c r="H41" s="205" t="b">
        <f aca="false">IF(Configuration!$C$15="No","",IFERROR(IF(AND(OR(ISNUMBER(SEARCH("process",'Patent Portfolio'!C43)),ISNUMBER(SEARCH("fab",'Patent Portfolio'!C43)),ISNUMBER(SEARCH("manufac",'Patent Portfolio'!C43))),'Patent Portfolio'!K43="Method"),TRUE(),FALSE()),FALSE()))</f>
        <v>0</v>
      </c>
      <c r="I41" s="205" t="b">
        <f aca="false">IF(Configuration!$C$16="No","",IFERROR(IF(AND(OR(ISNUMBER(SEARCH("material",'Patent Portfolio'!C43)),ISNUMBER(SEARCH("chem",'Patent Portfolio'!C43)),ISNUMBER(SEARCH("battery",'Patent Portfolio'!C43)),ISNUMBER(SEARCH("electrolyte",'Patent Portfolio'!C43)),ISNUMBER(SEARCH("polymer",'Patent Portfolio'!C43))),OR('Patent Portfolio'!K43="Apparatus",'Patent Portfolio'!K43="Method")),TRUE(),FALSE()),FALSE()))</f>
        <v>0</v>
      </c>
      <c r="J41" s="205" t="b">
        <f aca="false">IF(Configuration!$C$17="No","",IFERROR(IF(AND(OR('Patent Portfolio'!E43="App",'Patent Portfolio'!E43="Middleware",'Patent Portfolio'!E43="Cloud"),OR('Patent Portfolio'!K43="Method",'Patent Portfolio'!K43="CRM")),TRUE(),FALSE()),FALSE()))</f>
        <v>1</v>
      </c>
      <c r="K41" s="205" t="b">
        <f aca="false">IF(Configuration!$C$18="No","",IFERROR(IF(N('Patent Portfolio'!J43)&gt;=Configuration!$C$45,TRUE(),FALSE()),FALSE()))</f>
        <v>0</v>
      </c>
      <c r="L41" s="205" t="b">
        <f aca="false">IF(Configuration!$C$19="No","",IFERROR(IF('Patent Portfolio'!AA43&lt;&gt;"",TRUE(),FALSE()),FALSE()))</f>
        <v>1</v>
      </c>
      <c r="M41" s="205" t="b">
        <f aca="false">IF(Configuration!$C$20="No","",IFERROR(IF('Patent Portfolio'!K43&lt;&gt;"",TRUE(),FALSE()),FALSE()))</f>
        <v>1</v>
      </c>
      <c r="N41" s="205" t="b">
        <f aca="false">IF(Configuration!$C$21="No","",IFERROR(IF(OR(N('Patent Portfolio'!O43)&gt;=Configuration!$C$46,N('Patent Portfolio'!P43)&gt;=Configuration!$C$47),TRUE(),FALSE()),FALSE()))</f>
        <v>1</v>
      </c>
      <c r="O41" s="205" t="b">
        <f aca="false">IF(Configuration!$C$22="No","",IFERROR(IF('Patent Portfolio'!X43="Yes",TRUE(),FALSE()),FALSE()))</f>
        <v>1</v>
      </c>
      <c r="P41" s="205" t="b">
        <f aca="false">IF(Configuration!$C$23="No","",IFERROR(IF(N('Patent Portfolio'!R43)&gt;=Configuration!$C$48,TRUE(),FALSE()),FALSE()))</f>
        <v>1</v>
      </c>
      <c r="Q41" s="205" t="b">
        <f aca="false">IF(Configuration!$C$24="No","",IFERROR(IF(N('Patent Portfolio'!U43)&gt;0,TRUE(),FALSE()),FALSE()))</f>
        <v>1</v>
      </c>
      <c r="R41" s="205" t="b">
        <f aca="false">IF(Configuration!$C$25="No","",IFERROR(IF(OR(N('Patent Portfolio'!L43)=3,N('Patent Portfolio'!L43)&lt;=1),TRUE(),FALSE()),FALSE()))</f>
        <v>0</v>
      </c>
      <c r="S41" s="205" t="b">
        <f aca="false">IF(Configuration!$C$26="No","",IFERROR(IF(N('Patent Portfolio'!AB43)&gt;=Configuration!$C$49,TRUE(),FALSE()),FALSE()))</f>
        <v>1</v>
      </c>
      <c r="T41" s="205" t="b">
        <f aca="false">IF(Configuration!$C$27="No","",IFERROR(IF('Patent Portfolio'!Z43&lt;&gt;"",TRUE(),FALSE()),FALSE()))</f>
        <v>0</v>
      </c>
      <c r="U41" s="205" t="b">
        <f aca="false">IF(Configuration!$C$28="No","",IFERROR(IF(N('Patent Portfolio'!Q43)&gt;=Configuration!$C$50,TRUE(),FALSE()),FALSE()))</f>
        <v>1</v>
      </c>
      <c r="V41" s="205" t="b">
        <f aca="false">IF(Configuration!$C$29="No","",IFERROR(IF(AND(N('Patent Portfolio'!N43)&gt;=Configuration!$C$51,'Patent Portfolio'!C43&lt;&gt;""),TRUE(),FALSE()),FALSE()))</f>
        <v>1</v>
      </c>
      <c r="W41" s="205" t="b">
        <f aca="false">IF(Configuration!$C$30="No","",IFERROR(IF(OR('Patent Portfolio'!S43="Pending",'Patent Portfolio'!T43="Yes"),TRUE(),FALSE()),FALSE()))</f>
        <v>1</v>
      </c>
      <c r="X41" s="205" t="b">
        <f aca="false">IF(Configuration!$C$31="No","",IFERROR(IF(AND(N('Patent Portfolio'!AC43)&gt;=Configuration!$C$52,N('Patent Portfolio'!L43)&gt;=1),TRUE(),FALSE()),FALSE()))</f>
        <v>1</v>
      </c>
      <c r="Y41" s="205" t="b">
        <f aca="false">IF(Configuration!$C$32="No","",IFERROR(IF(AND(N('Patent Portfolio'!N43)&gt;=1,OR('Patent Portfolio'!C43&lt;&gt;"",'Patent Portfolio'!I43&lt;&gt;"")),TRUE(),FALSE()),FALSE()))</f>
        <v>1</v>
      </c>
      <c r="Z41" s="205" t="b">
        <f aca="false">IF(Configuration!$C$33="No","",IFERROR(IF('Patent Portfolio'!C43&lt;&gt;"",TRUE(),FALSE()),FALSE()))</f>
        <v>1</v>
      </c>
      <c r="AA41" s="205" t="b">
        <f aca="false">IF(Configuration!$C$34="No","",IFERROR(IF('Patent Portfolio'!T43="Yes",TRUE(),FALSE()),FALSE()))</f>
        <v>1</v>
      </c>
      <c r="AB41" s="205" t="b">
        <f aca="false">IF(Configuration!$C$35="No","",IFERROR(IF(OR('Patent Portfolio'!AK43="Partial",'Patent Portfolio'!AK43="Full"),TRUE(),FALSE()),FALSE()))</f>
        <v>1</v>
      </c>
      <c r="AC41" s="205" t="b">
        <f aca="false">IF(Configuration!$C$36="No","",IFERROR(IF('Patent Portfolio'!AI43="Survived",TRUE(),FALSE()),FALSE()))</f>
        <v>0</v>
      </c>
      <c r="AD41" s="205" t="b">
        <f aca="false">IF(Configuration!$C$37="No","",IFERROR(IF(AND('Patent Portfolio'!AJ43="Clean",'Patent Portfolio'!AL43="None"),TRUE(),FALSE()),FALSE()))</f>
        <v>1</v>
      </c>
      <c r="AE41" s="205" t="b">
        <f aca="false">IF(Configuration!$C$38="No","",IFERROR(IF(N('Patent Portfolio'!AG43)&gt;=Configuration!$C$53,TRUE(),FALSE()),FALSE()))</f>
        <v>1</v>
      </c>
      <c r="AF41" s="205" t="b">
        <f aca="false">IF(Configuration!$C$39="No","",IFERROR(IF(AND(N('Patent Portfolio'!AO43)&gt;=2,N('Patent Portfolio'!AB43)&gt;=2),TRUE(),FALSE()),FALSE()))</f>
        <v>1</v>
      </c>
      <c r="AG41" s="205" t="b">
        <f aca="false">IF(Configuration!$C$40="No","",IFERROR(IF(OR(N('Patent Portfolio'!AC43)&lt;=Configuration!$C$56,N('Patent Portfolio'!U43)&lt;Configuration!$C$57,N('Patent Portfolio'!AD43)&lt;=Configuration!$C$58),TRUE(),FALSE()),FALSE()))</f>
        <v>1</v>
      </c>
      <c r="AH41" s="205" t="b">
        <f aca="false">IF(Configuration!$C$41="No","",IFERROR(IF(AND(N('Patent Portfolio'!U43)&gt;=Configuration!$C$54,N('Patent Portfolio'!U43)&lt;=Configuration!$C$55),TRUE(),FALSE()),FALSE()))</f>
        <v>1</v>
      </c>
      <c r="AI41" s="205" t="b">
        <f aca="false">IF(Configuration!$C$42="No","",IFERROR(IF(AND('Patent Portfolio'!C43&lt;&gt;"",'Patent Portfolio'!F43&lt;&gt;""),TRUE(),FALSE()),FALSE()))</f>
        <v>1</v>
      </c>
      <c r="AJ41" s="206" t="n">
        <f aca="false">COUNTIF(C41:AH41,TRUE())</f>
        <v>25</v>
      </c>
    </row>
    <row r="42" customFormat="false" ht="15" hidden="false" customHeight="true" outlineLevel="0" collapsed="false">
      <c r="A42" s="204" t="str">
        <f aca="false">'Patent Portfolio'!A44</f>
        <v>SL-020</v>
      </c>
      <c r="B42" s="204" t="str">
        <f aca="false">'Patent Portfolio'!B44</f>
        <v>Thermal interface material with anisotropic conductivity</v>
      </c>
      <c r="C42" s="205" t="b">
        <f aca="false">IF(Configuration!$C$10="No","",IFERROR(IF('Patent Portfolio'!C44&lt;&gt;"",TRUE(),FALSE()),FALSE()))</f>
        <v>1</v>
      </c>
      <c r="D42" s="205" t="b">
        <f aca="false">IF(Configuration!$C$11="No","",IFERROR(IF(AND(N('Patent Portfolio'!H44)&gt;=Configuration!$C$44,'Patent Portfolio'!I44&lt;&gt;""),TRUE(),FALSE()),FALSE()))</f>
        <v>0</v>
      </c>
      <c r="E42" s="205" t="b">
        <f aca="false">IF(Configuration!$C$12="No","",IFERROR(IF('Patent Portfolio'!F44&lt;&gt;"",TRUE(),FALSE()),FALSE()))</f>
        <v>1</v>
      </c>
      <c r="F42" s="205" t="b">
        <f aca="false">IF(Configuration!$C$13="No","",IFERROR(IF('Patent Portfolio'!E44&lt;&gt;"",TRUE(),FALSE()),FALSE()))</f>
        <v>1</v>
      </c>
      <c r="G42" s="205" t="b">
        <f aca="false">IF(Configuration!$C$14="No","",IFERROR(IF('Patent Portfolio'!G44&lt;&gt;"",TRUE(),FALSE()),FALSE()))</f>
        <v>1</v>
      </c>
      <c r="H42" s="205" t="b">
        <f aca="false">IF(Configuration!$C$15="No","",IFERROR(IF(AND(OR(ISNUMBER(SEARCH("process",'Patent Portfolio'!C44)),ISNUMBER(SEARCH("fab",'Patent Portfolio'!C44)),ISNUMBER(SEARCH("manufac",'Patent Portfolio'!C44))),'Patent Portfolio'!K44="Method"),TRUE(),FALSE()),FALSE()))</f>
        <v>0</v>
      </c>
      <c r="I42" s="205" t="b">
        <f aca="false">IF(Configuration!$C$16="No","",IFERROR(IF(AND(OR(ISNUMBER(SEARCH("material",'Patent Portfolio'!C44)),ISNUMBER(SEARCH("chem",'Patent Portfolio'!C44)),ISNUMBER(SEARCH("battery",'Patent Portfolio'!C44)),ISNUMBER(SEARCH("electrolyte",'Patent Portfolio'!C44)),ISNUMBER(SEARCH("polymer",'Patent Portfolio'!C44))),OR('Patent Portfolio'!K44="Apparatus",'Patent Portfolio'!K44="Method")),TRUE(),FALSE()),FALSE()))</f>
        <v>0</v>
      </c>
      <c r="J42" s="205" t="b">
        <f aca="false">IF(Configuration!$C$17="No","",IFERROR(IF(AND(OR('Patent Portfolio'!E44="App",'Patent Portfolio'!E44="Middleware",'Patent Portfolio'!E44="Cloud"),OR('Patent Portfolio'!K44="Method",'Patent Portfolio'!K44="CRM")),TRUE(),FALSE()),FALSE()))</f>
        <v>0</v>
      </c>
      <c r="K42" s="205" t="b">
        <f aca="false">IF(Configuration!$C$18="No","",IFERROR(IF(N('Patent Portfolio'!J44)&gt;=Configuration!$C$45,TRUE(),FALSE()),FALSE()))</f>
        <v>0</v>
      </c>
      <c r="L42" s="205" t="b">
        <f aca="false">IF(Configuration!$C$19="No","",IFERROR(IF('Patent Portfolio'!AA44&lt;&gt;"",TRUE(),FALSE()),FALSE()))</f>
        <v>1</v>
      </c>
      <c r="M42" s="205" t="b">
        <f aca="false">IF(Configuration!$C$20="No","",IFERROR(IF('Patent Portfolio'!K44&lt;&gt;"",TRUE(),FALSE()),FALSE()))</f>
        <v>1</v>
      </c>
      <c r="N42" s="205" t="b">
        <f aca="false">IF(Configuration!$C$21="No","",IFERROR(IF(OR(N('Patent Portfolio'!O44)&gt;=Configuration!$C$46,N('Patent Portfolio'!P44)&gt;=Configuration!$C$47),TRUE(),FALSE()),FALSE()))</f>
        <v>1</v>
      </c>
      <c r="O42" s="205" t="b">
        <f aca="false">IF(Configuration!$C$22="No","",IFERROR(IF('Patent Portfolio'!X44="Yes",TRUE(),FALSE()),FALSE()))</f>
        <v>1</v>
      </c>
      <c r="P42" s="205" t="b">
        <f aca="false">IF(Configuration!$C$23="No","",IFERROR(IF(N('Patent Portfolio'!R44)&gt;=Configuration!$C$48,TRUE(),FALSE()),FALSE()))</f>
        <v>1</v>
      </c>
      <c r="Q42" s="205" t="b">
        <f aca="false">IF(Configuration!$C$24="No","",IFERROR(IF(N('Patent Portfolio'!U44)&gt;0,TRUE(),FALSE()),FALSE()))</f>
        <v>1</v>
      </c>
      <c r="R42" s="205" t="b">
        <f aca="false">IF(Configuration!$C$25="No","",IFERROR(IF(OR(N('Patent Portfolio'!L44)=3,N('Patent Portfolio'!L44)&lt;=1),TRUE(),FALSE()),FALSE()))</f>
        <v>0</v>
      </c>
      <c r="S42" s="205" t="b">
        <f aca="false">IF(Configuration!$C$26="No","",IFERROR(IF(N('Patent Portfolio'!AB44)&gt;=Configuration!$C$49,TRUE(),FALSE()),FALSE()))</f>
        <v>1</v>
      </c>
      <c r="T42" s="205" t="b">
        <f aca="false">IF(Configuration!$C$27="No","",IFERROR(IF('Patent Portfolio'!Z44&lt;&gt;"",TRUE(),FALSE()),FALSE()))</f>
        <v>1</v>
      </c>
      <c r="U42" s="205" t="b">
        <f aca="false">IF(Configuration!$C$28="No","",IFERROR(IF(N('Patent Portfolio'!Q44)&gt;=Configuration!$C$50,TRUE(),FALSE()),FALSE()))</f>
        <v>1</v>
      </c>
      <c r="V42" s="205" t="b">
        <f aca="false">IF(Configuration!$C$29="No","",IFERROR(IF(AND(N('Patent Portfolio'!N44)&gt;=Configuration!$C$51,'Patent Portfolio'!C44&lt;&gt;""),TRUE(),FALSE()),FALSE()))</f>
        <v>1</v>
      </c>
      <c r="W42" s="205" t="b">
        <f aca="false">IF(Configuration!$C$30="No","",IFERROR(IF(OR('Patent Portfolio'!S44="Pending",'Patent Portfolio'!T44="Yes"),TRUE(),FALSE()),FALSE()))</f>
        <v>0</v>
      </c>
      <c r="X42" s="205" t="b">
        <f aca="false">IF(Configuration!$C$31="No","",IFERROR(IF(AND(N('Patent Portfolio'!AC44)&gt;=Configuration!$C$52,N('Patent Portfolio'!L44)&gt;=1),TRUE(),FALSE()),FALSE()))</f>
        <v>1</v>
      </c>
      <c r="Y42" s="205" t="b">
        <f aca="false">IF(Configuration!$C$32="No","",IFERROR(IF(AND(N('Patent Portfolio'!N44)&gt;=1,OR('Patent Portfolio'!C44&lt;&gt;"",'Patent Portfolio'!I44&lt;&gt;"")),TRUE(),FALSE()),FALSE()))</f>
        <v>1</v>
      </c>
      <c r="Z42" s="205" t="b">
        <f aca="false">IF(Configuration!$C$33="No","",IFERROR(IF('Patent Portfolio'!C44&lt;&gt;"",TRUE(),FALSE()),FALSE()))</f>
        <v>1</v>
      </c>
      <c r="AA42" s="205" t="b">
        <f aca="false">IF(Configuration!$C$34="No","",IFERROR(IF('Patent Portfolio'!T44="Yes",TRUE(),FALSE()),FALSE()))</f>
        <v>0</v>
      </c>
      <c r="AB42" s="205" t="b">
        <f aca="false">IF(Configuration!$C$35="No","",IFERROR(IF(OR('Patent Portfolio'!AK44="Partial",'Patent Portfolio'!AK44="Full"),TRUE(),FALSE()),FALSE()))</f>
        <v>0</v>
      </c>
      <c r="AC42" s="205" t="b">
        <f aca="false">IF(Configuration!$C$36="No","",IFERROR(IF('Patent Portfolio'!AI44="Survived",TRUE(),FALSE()),FALSE()))</f>
        <v>0</v>
      </c>
      <c r="AD42" s="205" t="b">
        <f aca="false">IF(Configuration!$C$37="No","",IFERROR(IF(AND('Patent Portfolio'!AJ44="Clean",'Patent Portfolio'!AL44="None"),TRUE(),FALSE()),FALSE()))</f>
        <v>1</v>
      </c>
      <c r="AE42" s="205" t="b">
        <f aca="false">IF(Configuration!$C$38="No","",IFERROR(IF(N('Patent Portfolio'!AG44)&gt;=Configuration!$C$53,TRUE(),FALSE()),FALSE()))</f>
        <v>0</v>
      </c>
      <c r="AF42" s="205" t="b">
        <f aca="false">IF(Configuration!$C$39="No","",IFERROR(IF(AND(N('Patent Portfolio'!AO44)&gt;=2,N('Patent Portfolio'!AB44)&gt;=2),TRUE(),FALSE()),FALSE()))</f>
        <v>1</v>
      </c>
      <c r="AG42" s="205" t="b">
        <f aca="false">IF(Configuration!$C$40="No","",IFERROR(IF(OR(N('Patent Portfolio'!AC44)&lt;=Configuration!$C$56,N('Patent Portfolio'!U44)&lt;Configuration!$C$57,N('Patent Portfolio'!AD44)&lt;=Configuration!$C$58),TRUE(),FALSE()),FALSE()))</f>
        <v>1</v>
      </c>
      <c r="AH42" s="205" t="b">
        <f aca="false">IF(Configuration!$C$41="No","",IFERROR(IF(AND(N('Patent Portfolio'!U44)&gt;=Configuration!$C$54,N('Patent Portfolio'!U44)&lt;=Configuration!$C$55),TRUE(),FALSE()),FALSE()))</f>
        <v>1</v>
      </c>
      <c r="AI42" s="205" t="b">
        <f aca="false">IF(Configuration!$C$42="No","",IFERROR(IF(AND('Patent Portfolio'!C44&lt;&gt;"",'Patent Portfolio'!F44&lt;&gt;""),TRUE(),FALSE()),FALSE()))</f>
        <v>1</v>
      </c>
      <c r="AJ42" s="206" t="n">
        <f aca="false">COUNTIF(C42:AH42,TRUE())</f>
        <v>21</v>
      </c>
    </row>
    <row r="43" customFormat="false" ht="15" hidden="false" customHeight="true" outlineLevel="0" collapsed="false">
      <c r="A43" s="207" t="str">
        <f aca="false">'Patent Portfolio'!A46</f>
        <v>SL-021</v>
      </c>
      <c r="B43" s="207" t="str">
        <f aca="false">'Patent Portfolio'!B46</f>
        <v>Wi-Fi 6E multi-BSS OFDMA resource scheduling</v>
      </c>
      <c r="C43" s="208" t="b">
        <f aca="false">IF(Configuration!$C$10="No","",IFERROR(IF('Patent Portfolio'!C46&lt;&gt;"",TRUE(),FALSE()),FALSE()))</f>
        <v>1</v>
      </c>
      <c r="D43" s="208" t="b">
        <f aca="false">IF(Configuration!$C$11="No","",IFERROR(IF(AND(N('Patent Portfolio'!H46)&gt;=Configuration!$C$44,'Patent Portfolio'!I46&lt;&gt;""),TRUE(),FALSE()),FALSE()))</f>
        <v>1</v>
      </c>
      <c r="E43" s="208" t="b">
        <f aca="false">IF(Configuration!$C$12="No","",IFERROR(IF('Patent Portfolio'!F46&lt;&gt;"",TRUE(),FALSE()),FALSE()))</f>
        <v>1</v>
      </c>
      <c r="F43" s="208" t="b">
        <f aca="false">IF(Configuration!$C$13="No","",IFERROR(IF('Patent Portfolio'!E46&lt;&gt;"",TRUE(),FALSE()),FALSE()))</f>
        <v>1</v>
      </c>
      <c r="G43" s="208" t="b">
        <f aca="false">IF(Configuration!$C$14="No","",IFERROR(IF('Patent Portfolio'!G46&lt;&gt;"",TRUE(),FALSE()),FALSE()))</f>
        <v>1</v>
      </c>
      <c r="H43" s="208" t="b">
        <f aca="false">IF(Configuration!$C$15="No","",IFERROR(IF(AND(OR(ISNUMBER(SEARCH("process",'Patent Portfolio'!C46)),ISNUMBER(SEARCH("fab",'Patent Portfolio'!C46)),ISNUMBER(SEARCH("manufac",'Patent Portfolio'!C46))),'Patent Portfolio'!K46="Method"),TRUE(),FALSE()),FALSE()))</f>
        <v>0</v>
      </c>
      <c r="I43" s="208" t="b">
        <f aca="false">IF(Configuration!$C$16="No","",IFERROR(IF(AND(OR(ISNUMBER(SEARCH("material",'Patent Portfolio'!C46)),ISNUMBER(SEARCH("chem",'Patent Portfolio'!C46)),ISNUMBER(SEARCH("battery",'Patent Portfolio'!C46)),ISNUMBER(SEARCH("electrolyte",'Patent Portfolio'!C46)),ISNUMBER(SEARCH("polymer",'Patent Portfolio'!C46))),OR('Patent Portfolio'!K46="Apparatus",'Patent Portfolio'!K46="Method")),TRUE(),FALSE()),FALSE()))</f>
        <v>0</v>
      </c>
      <c r="J43" s="208" t="b">
        <f aca="false">IF(Configuration!$C$17="No","",IFERROR(IF(AND(OR('Patent Portfolio'!E46="App",'Patent Portfolio'!E46="Middleware",'Patent Portfolio'!E46="Cloud"),OR('Patent Portfolio'!K46="Method",'Patent Portfolio'!K46="CRM")),TRUE(),FALSE()),FALSE()))</f>
        <v>0</v>
      </c>
      <c r="K43" s="208" t="b">
        <f aca="false">IF(Configuration!$C$18="No","",IFERROR(IF(N('Patent Portfolio'!J46)&gt;=Configuration!$C$45,TRUE(),FALSE()),FALSE()))</f>
        <v>1</v>
      </c>
      <c r="L43" s="208" t="b">
        <f aca="false">IF(Configuration!$C$19="No","",IFERROR(IF('Patent Portfolio'!AA46&lt;&gt;"",TRUE(),FALSE()),FALSE()))</f>
        <v>1</v>
      </c>
      <c r="M43" s="208" t="b">
        <f aca="false">IF(Configuration!$C$20="No","",IFERROR(IF('Patent Portfolio'!K46&lt;&gt;"",TRUE(),FALSE()),FALSE()))</f>
        <v>1</v>
      </c>
      <c r="N43" s="208" t="b">
        <f aca="false">IF(Configuration!$C$21="No","",IFERROR(IF(OR(N('Patent Portfolio'!O46)&gt;=Configuration!$C$46,N('Patent Portfolio'!P46)&gt;=Configuration!$C$47),TRUE(),FALSE()),FALSE()))</f>
        <v>1</v>
      </c>
      <c r="O43" s="208" t="b">
        <f aca="false">IF(Configuration!$C$22="No","",IFERROR(IF('Patent Portfolio'!X46="Yes",TRUE(),FALSE()),FALSE()))</f>
        <v>1</v>
      </c>
      <c r="P43" s="208" t="b">
        <f aca="false">IF(Configuration!$C$23="No","",IFERROR(IF(N('Patent Portfolio'!R46)&gt;=Configuration!$C$48,TRUE(),FALSE()),FALSE()))</f>
        <v>1</v>
      </c>
      <c r="Q43" s="208" t="b">
        <f aca="false">IF(Configuration!$C$24="No","",IFERROR(IF(N('Patent Portfolio'!U46)&gt;0,TRUE(),FALSE()),FALSE()))</f>
        <v>1</v>
      </c>
      <c r="R43" s="208" t="b">
        <f aca="false">IF(Configuration!$C$25="No","",IFERROR(IF(OR(N('Patent Portfolio'!L46)=3,N('Patent Portfolio'!L46)&lt;=1),TRUE(),FALSE()),FALSE()))</f>
        <v>0</v>
      </c>
      <c r="S43" s="208" t="b">
        <f aca="false">IF(Configuration!$C$26="No","",IFERROR(IF(N('Patent Portfolio'!AB46)&gt;=Configuration!$C$49,TRUE(),FALSE()),FALSE()))</f>
        <v>1</v>
      </c>
      <c r="T43" s="208" t="b">
        <f aca="false">IF(Configuration!$C$27="No","",IFERROR(IF('Patent Portfolio'!Z46&lt;&gt;"",TRUE(),FALSE()),FALSE()))</f>
        <v>0</v>
      </c>
      <c r="U43" s="208" t="b">
        <f aca="false">IF(Configuration!$C$28="No","",IFERROR(IF(N('Patent Portfolio'!Q46)&gt;=Configuration!$C$50,TRUE(),FALSE()),FALSE()))</f>
        <v>1</v>
      </c>
      <c r="V43" s="208" t="b">
        <f aca="false">IF(Configuration!$C$29="No","",IFERROR(IF(AND(N('Patent Portfolio'!N46)&gt;=Configuration!$C$51,'Patent Portfolio'!C46&lt;&gt;""),TRUE(),FALSE()),FALSE()))</f>
        <v>1</v>
      </c>
      <c r="W43" s="208" t="b">
        <f aca="false">IF(Configuration!$C$30="No","",IFERROR(IF(OR('Patent Portfolio'!S46="Pending",'Patent Portfolio'!T46="Yes"),TRUE(),FALSE()),FALSE()))</f>
        <v>1</v>
      </c>
      <c r="X43" s="208" t="b">
        <f aca="false">IF(Configuration!$C$31="No","",IFERROR(IF(AND(N('Patent Portfolio'!AC46)&gt;=Configuration!$C$52,N('Patent Portfolio'!L46)&gt;=1),TRUE(),FALSE()),FALSE()))</f>
        <v>1</v>
      </c>
      <c r="Y43" s="208" t="b">
        <f aca="false">IF(Configuration!$C$32="No","",IFERROR(IF(AND(N('Patent Portfolio'!N46)&gt;=1,OR('Patent Portfolio'!C46&lt;&gt;"",'Patent Portfolio'!I46&lt;&gt;"")),TRUE(),FALSE()),FALSE()))</f>
        <v>1</v>
      </c>
      <c r="Z43" s="208" t="b">
        <f aca="false">IF(Configuration!$C$33="No","",IFERROR(IF('Patent Portfolio'!C46&lt;&gt;"",TRUE(),FALSE()),FALSE()))</f>
        <v>1</v>
      </c>
      <c r="AA43" s="208" t="b">
        <f aca="false">IF(Configuration!$C$34="No","",IFERROR(IF('Patent Portfolio'!T46="Yes",TRUE(),FALSE()),FALSE()))</f>
        <v>1</v>
      </c>
      <c r="AB43" s="208" t="b">
        <f aca="false">IF(Configuration!$C$35="No","",IFERROR(IF(OR('Patent Portfolio'!AK46="Partial",'Patent Portfolio'!AK46="Full"),TRUE(),FALSE()),FALSE()))</f>
        <v>1</v>
      </c>
      <c r="AC43" s="208" t="b">
        <f aca="false">IF(Configuration!$C$36="No","",IFERROR(IF('Patent Portfolio'!AI46="Survived",TRUE(),FALSE()),FALSE()))</f>
        <v>1</v>
      </c>
      <c r="AD43" s="208" t="b">
        <f aca="false">IF(Configuration!$C$37="No","",IFERROR(IF(AND('Patent Portfolio'!AJ46="Clean",'Patent Portfolio'!AL46="None"),TRUE(),FALSE()),FALSE()))</f>
        <v>1</v>
      </c>
      <c r="AE43" s="208" t="b">
        <f aca="false">IF(Configuration!$C$38="No","",IFERROR(IF(N('Patent Portfolio'!AG46)&gt;=Configuration!$C$53,TRUE(),FALSE()),FALSE()))</f>
        <v>0</v>
      </c>
      <c r="AF43" s="208" t="b">
        <f aca="false">IF(Configuration!$C$39="No","",IFERROR(IF(AND(N('Patent Portfolio'!AO46)&gt;=2,N('Patent Portfolio'!AB46)&gt;=2),TRUE(),FALSE()),FALSE()))</f>
        <v>1</v>
      </c>
      <c r="AG43" s="208" t="b">
        <f aca="false">IF(Configuration!$C$40="No","",IFERROR(IF(OR(N('Patent Portfolio'!AC46)&lt;=Configuration!$C$56,N('Patent Portfolio'!U46)&lt;Configuration!$C$57,N('Patent Portfolio'!AD46)&lt;=Configuration!$C$58),TRUE(),FALSE()),FALSE()))</f>
        <v>0</v>
      </c>
      <c r="AH43" s="208" t="b">
        <f aca="false">IF(Configuration!$C$41="No","",IFERROR(IF(AND(N('Patent Portfolio'!U46)&gt;=Configuration!$C$54,N('Patent Portfolio'!U46)&lt;=Configuration!$C$55),TRUE(),FALSE()),FALSE()))</f>
        <v>0</v>
      </c>
      <c r="AI43" s="208" t="b">
        <f aca="false">IF(Configuration!$C$42="No","",IFERROR(IF(AND('Patent Portfolio'!C46&lt;&gt;"",'Patent Portfolio'!F46&lt;&gt;""),TRUE(),FALSE()),FALSE()))</f>
        <v>1</v>
      </c>
      <c r="AJ43" s="209" t="n">
        <f aca="false">COUNTIF(C43:AH43,TRUE())</f>
        <v>24</v>
      </c>
    </row>
    <row r="44" customFormat="false" ht="15" hidden="false" customHeight="true" outlineLevel="0" collapsed="false">
      <c r="A44" s="207" t="str">
        <f aca="false">'Patent Portfolio'!A47</f>
        <v>SL-022</v>
      </c>
      <c r="B44" s="207" t="str">
        <f aca="false">'Patent Portfolio'!B47</f>
        <v>Solid-state LiDAR MEMS mirror resonance control</v>
      </c>
      <c r="C44" s="208" t="b">
        <f aca="false">IF(Configuration!$C$10="No","",IFERROR(IF('Patent Portfolio'!C47&lt;&gt;"",TRUE(),FALSE()),FALSE()))</f>
        <v>1</v>
      </c>
      <c r="D44" s="208" t="b">
        <f aca="false">IF(Configuration!$C$11="No","",IFERROR(IF(AND(N('Patent Portfolio'!H47)&gt;=Configuration!$C$44,'Patent Portfolio'!I47&lt;&gt;""),TRUE(),FALSE()),FALSE()))</f>
        <v>0</v>
      </c>
      <c r="E44" s="208" t="b">
        <f aca="false">IF(Configuration!$C$12="No","",IFERROR(IF('Patent Portfolio'!F47&lt;&gt;"",TRUE(),FALSE()),FALSE()))</f>
        <v>1</v>
      </c>
      <c r="F44" s="208" t="b">
        <f aca="false">IF(Configuration!$C$13="No","",IFERROR(IF('Patent Portfolio'!E47&lt;&gt;"",TRUE(),FALSE()),FALSE()))</f>
        <v>1</v>
      </c>
      <c r="G44" s="208" t="b">
        <f aca="false">IF(Configuration!$C$14="No","",IFERROR(IF('Patent Portfolio'!G47&lt;&gt;"",TRUE(),FALSE()),FALSE()))</f>
        <v>1</v>
      </c>
      <c r="H44" s="208" t="b">
        <f aca="false">IF(Configuration!$C$15="No","",IFERROR(IF(AND(OR(ISNUMBER(SEARCH("process",'Patent Portfolio'!C47)),ISNUMBER(SEARCH("fab",'Patent Portfolio'!C47)),ISNUMBER(SEARCH("manufac",'Patent Portfolio'!C47))),'Patent Portfolio'!K47="Method"),TRUE(),FALSE()),FALSE()))</f>
        <v>0</v>
      </c>
      <c r="I44" s="208" t="b">
        <f aca="false">IF(Configuration!$C$16="No","",IFERROR(IF(AND(OR(ISNUMBER(SEARCH("material",'Patent Portfolio'!C47)),ISNUMBER(SEARCH("chem",'Patent Portfolio'!C47)),ISNUMBER(SEARCH("battery",'Patent Portfolio'!C47)),ISNUMBER(SEARCH("electrolyte",'Patent Portfolio'!C47)),ISNUMBER(SEARCH("polymer",'Patent Portfolio'!C47))),OR('Patent Portfolio'!K47="Apparatus",'Patent Portfolio'!K47="Method")),TRUE(),FALSE()),FALSE()))</f>
        <v>0</v>
      </c>
      <c r="J44" s="208" t="b">
        <f aca="false">IF(Configuration!$C$17="No","",IFERROR(IF(AND(OR('Patent Portfolio'!E47="App",'Patent Portfolio'!E47="Middleware",'Patent Portfolio'!E47="Cloud"),OR('Patent Portfolio'!K47="Method",'Patent Portfolio'!K47="CRM")),TRUE(),FALSE()),FALSE()))</f>
        <v>0</v>
      </c>
      <c r="K44" s="208" t="b">
        <f aca="false">IF(Configuration!$C$18="No","",IFERROR(IF(N('Patent Portfolio'!J47)&gt;=Configuration!$C$45,TRUE(),FALSE()),FALSE()))</f>
        <v>0</v>
      </c>
      <c r="L44" s="208" t="b">
        <f aca="false">IF(Configuration!$C$19="No","",IFERROR(IF('Patent Portfolio'!AA47&lt;&gt;"",TRUE(),FALSE()),FALSE()))</f>
        <v>1</v>
      </c>
      <c r="M44" s="208" t="b">
        <f aca="false">IF(Configuration!$C$20="No","",IFERROR(IF('Patent Portfolio'!K47&lt;&gt;"",TRUE(),FALSE()),FALSE()))</f>
        <v>1</v>
      </c>
      <c r="N44" s="208" t="b">
        <f aca="false">IF(Configuration!$C$21="No","",IFERROR(IF(OR(N('Patent Portfolio'!O47)&gt;=Configuration!$C$46,N('Patent Portfolio'!P47)&gt;=Configuration!$C$47),TRUE(),FALSE()),FALSE()))</f>
        <v>1</v>
      </c>
      <c r="O44" s="208" t="b">
        <f aca="false">IF(Configuration!$C$22="No","",IFERROR(IF('Patent Portfolio'!X47="Yes",TRUE(),FALSE()),FALSE()))</f>
        <v>1</v>
      </c>
      <c r="P44" s="208" t="b">
        <f aca="false">IF(Configuration!$C$23="No","",IFERROR(IF(N('Patent Portfolio'!R47)&gt;=Configuration!$C$48,TRUE(),FALSE()),FALSE()))</f>
        <v>1</v>
      </c>
      <c r="Q44" s="208" t="b">
        <f aca="false">IF(Configuration!$C$24="No","",IFERROR(IF(N('Patent Portfolio'!U47)&gt;0,TRUE(),FALSE()),FALSE()))</f>
        <v>1</v>
      </c>
      <c r="R44" s="208" t="b">
        <f aca="false">IF(Configuration!$C$25="No","",IFERROR(IF(OR(N('Patent Portfolio'!L47)=3,N('Patent Portfolio'!L47)&lt;=1),TRUE(),FALSE()),FALSE()))</f>
        <v>1</v>
      </c>
      <c r="S44" s="208" t="b">
        <f aca="false">IF(Configuration!$C$26="No","",IFERROR(IF(N('Patent Portfolio'!AB47)&gt;=Configuration!$C$49,TRUE(),FALSE()),FALSE()))</f>
        <v>1</v>
      </c>
      <c r="T44" s="208" t="b">
        <f aca="false">IF(Configuration!$C$27="No","",IFERROR(IF('Patent Portfolio'!Z47&lt;&gt;"",TRUE(),FALSE()),FALSE()))</f>
        <v>0</v>
      </c>
      <c r="U44" s="208" t="b">
        <f aca="false">IF(Configuration!$C$28="No","",IFERROR(IF(N('Patent Portfolio'!Q47)&gt;=Configuration!$C$50,TRUE(),FALSE()),FALSE()))</f>
        <v>1</v>
      </c>
      <c r="V44" s="208" t="b">
        <f aca="false">IF(Configuration!$C$29="No","",IFERROR(IF(AND(N('Patent Portfolio'!N47)&gt;=Configuration!$C$51,'Patent Portfolio'!C47&lt;&gt;""),TRUE(),FALSE()),FALSE()))</f>
        <v>1</v>
      </c>
      <c r="W44" s="208" t="b">
        <f aca="false">IF(Configuration!$C$30="No","",IFERROR(IF(OR('Patent Portfolio'!S47="Pending",'Patent Portfolio'!T47="Yes"),TRUE(),FALSE()),FALSE()))</f>
        <v>1</v>
      </c>
      <c r="X44" s="208" t="b">
        <f aca="false">IF(Configuration!$C$31="No","",IFERROR(IF(AND(N('Patent Portfolio'!AC47)&gt;=Configuration!$C$52,N('Patent Portfolio'!L47)&gt;=1),TRUE(),FALSE()),FALSE()))</f>
        <v>1</v>
      </c>
      <c r="Y44" s="208" t="b">
        <f aca="false">IF(Configuration!$C$32="No","",IFERROR(IF(AND(N('Patent Portfolio'!N47)&gt;=1,OR('Patent Portfolio'!C47&lt;&gt;"",'Patent Portfolio'!I47&lt;&gt;"")),TRUE(),FALSE()),FALSE()))</f>
        <v>1</v>
      </c>
      <c r="Z44" s="208" t="b">
        <f aca="false">IF(Configuration!$C$33="No","",IFERROR(IF('Patent Portfolio'!C47&lt;&gt;"",TRUE(),FALSE()),FALSE()))</f>
        <v>1</v>
      </c>
      <c r="AA44" s="208" t="b">
        <f aca="false">IF(Configuration!$C$34="No","",IFERROR(IF('Patent Portfolio'!T47="Yes",TRUE(),FALSE()),FALSE()))</f>
        <v>1</v>
      </c>
      <c r="AB44" s="208" t="b">
        <f aca="false">IF(Configuration!$C$35="No","",IFERROR(IF(OR('Patent Portfolio'!AK47="Partial",'Patent Portfolio'!AK47="Full"),TRUE(),FALSE()),FALSE()))</f>
        <v>1</v>
      </c>
      <c r="AC44" s="208" t="b">
        <f aca="false">IF(Configuration!$C$36="No","",IFERROR(IF('Patent Portfolio'!AI47="Survived",TRUE(),FALSE()),FALSE()))</f>
        <v>0</v>
      </c>
      <c r="AD44" s="208" t="b">
        <f aca="false">IF(Configuration!$C$37="No","",IFERROR(IF(AND('Patent Portfolio'!AJ47="Clean",'Patent Portfolio'!AL47="None"),TRUE(),FALSE()),FALSE()))</f>
        <v>1</v>
      </c>
      <c r="AE44" s="208" t="b">
        <f aca="false">IF(Configuration!$C$38="No","",IFERROR(IF(N('Patent Portfolio'!AG47)&gt;=Configuration!$C$53,TRUE(),FALSE()),FALSE()))</f>
        <v>1</v>
      </c>
      <c r="AF44" s="208" t="b">
        <f aca="false">IF(Configuration!$C$39="No","",IFERROR(IF(AND(N('Patent Portfolio'!AO47)&gt;=2,N('Patent Portfolio'!AB47)&gt;=2),TRUE(),FALSE()),FALSE()))</f>
        <v>1</v>
      </c>
      <c r="AG44" s="208" t="b">
        <f aca="false">IF(Configuration!$C$40="No","",IFERROR(IF(OR(N('Patent Portfolio'!AC47)&lt;=Configuration!$C$56,N('Patent Portfolio'!U47)&lt;Configuration!$C$57,N('Patent Portfolio'!AD47)&lt;=Configuration!$C$58),TRUE(),FALSE()),FALSE()))</f>
        <v>0</v>
      </c>
      <c r="AH44" s="208" t="b">
        <f aca="false">IF(Configuration!$C$41="No","",IFERROR(IF(AND(N('Patent Portfolio'!U47)&gt;=Configuration!$C$54,N('Patent Portfolio'!U47)&lt;=Configuration!$C$55),TRUE(),FALSE()),FALSE()))</f>
        <v>0</v>
      </c>
      <c r="AI44" s="208" t="b">
        <f aca="false">IF(Configuration!$C$42="No","",IFERROR(IF(AND('Patent Portfolio'!C47&lt;&gt;"",'Patent Portfolio'!F47&lt;&gt;""),TRUE(),FALSE()),FALSE()))</f>
        <v>1</v>
      </c>
      <c r="AJ44" s="209" t="n">
        <f aca="false">COUNTIF(C44:AH44,TRUE())</f>
        <v>23</v>
      </c>
    </row>
    <row r="45" customFormat="false" ht="15" hidden="false" customHeight="true" outlineLevel="0" collapsed="false">
      <c r="A45" s="207" t="str">
        <f aca="false">'Patent Portfolio'!A48</f>
        <v>SL-023</v>
      </c>
      <c r="B45" s="207" t="str">
        <f aca="false">'Patent Portfolio'!B48</f>
        <v>In-memory computing architecture for DNN inference</v>
      </c>
      <c r="C45" s="208" t="b">
        <f aca="false">IF(Configuration!$C$10="No","",IFERROR(IF('Patent Portfolio'!C48&lt;&gt;"",TRUE(),FALSE()),FALSE()))</f>
        <v>1</v>
      </c>
      <c r="D45" s="208" t="b">
        <f aca="false">IF(Configuration!$C$11="No","",IFERROR(IF(AND(N('Patent Portfolio'!H48)&gt;=Configuration!$C$44,'Patent Portfolio'!I48&lt;&gt;""),TRUE(),FALSE()),FALSE()))</f>
        <v>0</v>
      </c>
      <c r="E45" s="208" t="b">
        <f aca="false">IF(Configuration!$C$12="No","",IFERROR(IF('Patent Portfolio'!F48&lt;&gt;"",TRUE(),FALSE()),FALSE()))</f>
        <v>1</v>
      </c>
      <c r="F45" s="208" t="b">
        <f aca="false">IF(Configuration!$C$13="No","",IFERROR(IF('Patent Portfolio'!E48&lt;&gt;"",TRUE(),FALSE()),FALSE()))</f>
        <v>1</v>
      </c>
      <c r="G45" s="208" t="b">
        <f aca="false">IF(Configuration!$C$14="No","",IFERROR(IF('Patent Portfolio'!G48&lt;&gt;"",TRUE(),FALSE()),FALSE()))</f>
        <v>1</v>
      </c>
      <c r="H45" s="208" t="b">
        <f aca="false">IF(Configuration!$C$15="No","",IFERROR(IF(AND(OR(ISNUMBER(SEARCH("process",'Patent Portfolio'!C48)),ISNUMBER(SEARCH("fab",'Patent Portfolio'!C48)),ISNUMBER(SEARCH("manufac",'Patent Portfolio'!C48))),'Patent Portfolio'!K48="Method"),TRUE(),FALSE()),FALSE()))</f>
        <v>0</v>
      </c>
      <c r="I45" s="208" t="b">
        <f aca="false">IF(Configuration!$C$16="No","",IFERROR(IF(AND(OR(ISNUMBER(SEARCH("material",'Patent Portfolio'!C48)),ISNUMBER(SEARCH("chem",'Patent Portfolio'!C48)),ISNUMBER(SEARCH("battery",'Patent Portfolio'!C48)),ISNUMBER(SEARCH("electrolyte",'Patent Portfolio'!C48)),ISNUMBER(SEARCH("polymer",'Patent Portfolio'!C48))),OR('Patent Portfolio'!K48="Apparatus",'Patent Portfolio'!K48="Method")),TRUE(),FALSE()),FALSE()))</f>
        <v>0</v>
      </c>
      <c r="J45" s="208" t="b">
        <f aca="false">IF(Configuration!$C$17="No","",IFERROR(IF(AND(OR('Patent Portfolio'!E48="App",'Patent Portfolio'!E48="Middleware",'Patent Portfolio'!E48="Cloud"),OR('Patent Portfolio'!K48="Method",'Patent Portfolio'!K48="CRM")),TRUE(),FALSE()),FALSE()))</f>
        <v>0</v>
      </c>
      <c r="K45" s="208" t="b">
        <f aca="false">IF(Configuration!$C$18="No","",IFERROR(IF(N('Patent Portfolio'!J48)&gt;=Configuration!$C$45,TRUE(),FALSE()),FALSE()))</f>
        <v>0</v>
      </c>
      <c r="L45" s="208" t="b">
        <f aca="false">IF(Configuration!$C$19="No","",IFERROR(IF('Patent Portfolio'!AA48&lt;&gt;"",TRUE(),FALSE()),FALSE()))</f>
        <v>1</v>
      </c>
      <c r="M45" s="208" t="b">
        <f aca="false">IF(Configuration!$C$20="No","",IFERROR(IF('Patent Portfolio'!K48&lt;&gt;"",TRUE(),FALSE()),FALSE()))</f>
        <v>1</v>
      </c>
      <c r="N45" s="208" t="b">
        <f aca="false">IF(Configuration!$C$21="No","",IFERROR(IF(OR(N('Patent Portfolio'!O48)&gt;=Configuration!$C$46,N('Patent Portfolio'!P48)&gt;=Configuration!$C$47),TRUE(),FALSE()),FALSE()))</f>
        <v>1</v>
      </c>
      <c r="O45" s="208" t="b">
        <f aca="false">IF(Configuration!$C$22="No","",IFERROR(IF('Patent Portfolio'!X48="Yes",TRUE(),FALSE()),FALSE()))</f>
        <v>1</v>
      </c>
      <c r="P45" s="208" t="b">
        <f aca="false">IF(Configuration!$C$23="No","",IFERROR(IF(N('Patent Portfolio'!R48)&gt;=Configuration!$C$48,TRUE(),FALSE()),FALSE()))</f>
        <v>1</v>
      </c>
      <c r="Q45" s="208" t="b">
        <f aca="false">IF(Configuration!$C$24="No","",IFERROR(IF(N('Patent Portfolio'!U48)&gt;0,TRUE(),FALSE()),FALSE()))</f>
        <v>1</v>
      </c>
      <c r="R45" s="208" t="b">
        <f aca="false">IF(Configuration!$C$25="No","",IFERROR(IF(OR(N('Patent Portfolio'!L48)=3,N('Patent Portfolio'!L48)&lt;=1),TRUE(),FALSE()),FALSE()))</f>
        <v>1</v>
      </c>
      <c r="S45" s="208" t="b">
        <f aca="false">IF(Configuration!$C$26="No","",IFERROR(IF(N('Patent Portfolio'!AB48)&gt;=Configuration!$C$49,TRUE(),FALSE()),FALSE()))</f>
        <v>1</v>
      </c>
      <c r="T45" s="208" t="b">
        <f aca="false">IF(Configuration!$C$27="No","",IFERROR(IF('Patent Portfolio'!Z48&lt;&gt;"",TRUE(),FALSE()),FALSE()))</f>
        <v>1</v>
      </c>
      <c r="U45" s="208" t="b">
        <f aca="false">IF(Configuration!$C$28="No","",IFERROR(IF(N('Patent Portfolio'!Q48)&gt;=Configuration!$C$50,TRUE(),FALSE()),FALSE()))</f>
        <v>1</v>
      </c>
      <c r="V45" s="208" t="b">
        <f aca="false">IF(Configuration!$C$29="No","",IFERROR(IF(AND(N('Patent Portfolio'!N48)&gt;=Configuration!$C$51,'Patent Portfolio'!C48&lt;&gt;""),TRUE(),FALSE()),FALSE()))</f>
        <v>1</v>
      </c>
      <c r="W45" s="208" t="b">
        <f aca="false">IF(Configuration!$C$30="No","",IFERROR(IF(OR('Patent Portfolio'!S48="Pending",'Patent Portfolio'!T48="Yes"),TRUE(),FALSE()),FALSE()))</f>
        <v>1</v>
      </c>
      <c r="X45" s="208" t="b">
        <f aca="false">IF(Configuration!$C$31="No","",IFERROR(IF(AND(N('Patent Portfolio'!AC48)&gt;=Configuration!$C$52,N('Patent Portfolio'!L48)&gt;=1),TRUE(),FALSE()),FALSE()))</f>
        <v>1</v>
      </c>
      <c r="Y45" s="208" t="b">
        <f aca="false">IF(Configuration!$C$32="No","",IFERROR(IF(AND(N('Patent Portfolio'!N48)&gt;=1,OR('Patent Portfolio'!C48&lt;&gt;"",'Patent Portfolio'!I48&lt;&gt;"")),TRUE(),FALSE()),FALSE()))</f>
        <v>1</v>
      </c>
      <c r="Z45" s="208" t="b">
        <f aca="false">IF(Configuration!$C$33="No","",IFERROR(IF('Patent Portfolio'!C48&lt;&gt;"",TRUE(),FALSE()),FALSE()))</f>
        <v>1</v>
      </c>
      <c r="AA45" s="208" t="b">
        <f aca="false">IF(Configuration!$C$34="No","",IFERROR(IF('Patent Portfolio'!T48="Yes",TRUE(),FALSE()),FALSE()))</f>
        <v>1</v>
      </c>
      <c r="AB45" s="208" t="b">
        <f aca="false">IF(Configuration!$C$35="No","",IFERROR(IF(OR('Patent Portfolio'!AK48="Partial",'Patent Portfolio'!AK48="Full"),TRUE(),FALSE()),FALSE()))</f>
        <v>0</v>
      </c>
      <c r="AC45" s="208" t="b">
        <f aca="false">IF(Configuration!$C$36="No","",IFERROR(IF('Patent Portfolio'!AI48="Survived",TRUE(),FALSE()),FALSE()))</f>
        <v>0</v>
      </c>
      <c r="AD45" s="208" t="b">
        <f aca="false">IF(Configuration!$C$37="No","",IFERROR(IF(AND('Patent Portfolio'!AJ48="Clean",'Patent Portfolio'!AL48="None"),TRUE(),FALSE()),FALSE()))</f>
        <v>1</v>
      </c>
      <c r="AE45" s="208" t="b">
        <f aca="false">IF(Configuration!$C$38="No","",IFERROR(IF(N('Patent Portfolio'!AG48)&gt;=Configuration!$C$53,TRUE(),FALSE()),FALSE()))</f>
        <v>1</v>
      </c>
      <c r="AF45" s="208" t="b">
        <f aca="false">IF(Configuration!$C$39="No","",IFERROR(IF(AND(N('Patent Portfolio'!AO48)&gt;=2,N('Patent Portfolio'!AB48)&gt;=2),TRUE(),FALSE()),FALSE()))</f>
        <v>1</v>
      </c>
      <c r="AG45" s="208" t="b">
        <f aca="false">IF(Configuration!$C$40="No","",IFERROR(IF(OR(N('Patent Portfolio'!AC48)&lt;=Configuration!$C$56,N('Patent Portfolio'!U48)&lt;Configuration!$C$57,N('Patent Portfolio'!AD48)&lt;=Configuration!$C$58),TRUE(),FALSE()),FALSE()))</f>
        <v>0</v>
      </c>
      <c r="AH45" s="208" t="b">
        <f aca="false">IF(Configuration!$C$41="No","",IFERROR(IF(AND(N('Patent Portfolio'!U48)&gt;=Configuration!$C$54,N('Patent Portfolio'!U48)&lt;=Configuration!$C$55),TRUE(),FALSE()),FALSE()))</f>
        <v>0</v>
      </c>
      <c r="AI45" s="208" t="b">
        <f aca="false">IF(Configuration!$C$42="No","",IFERROR(IF(AND('Patent Portfolio'!C48&lt;&gt;"",'Patent Portfolio'!F48&lt;&gt;""),TRUE(),FALSE()),FALSE()))</f>
        <v>1</v>
      </c>
      <c r="AJ45" s="209" t="n">
        <f aca="false">COUNTIF(C45:AH45,TRUE())</f>
        <v>23</v>
      </c>
    </row>
    <row r="46" customFormat="false" ht="15" hidden="false" customHeight="true" outlineLevel="0" collapsed="false">
      <c r="A46" s="207" t="str">
        <f aca="false">'Patent Portfolio'!A49</f>
        <v>SL-024</v>
      </c>
      <c r="B46" s="207" t="str">
        <f aca="false">'Patent Portfolio'!B49</f>
        <v>Perovskite solar cell stability enhancement method</v>
      </c>
      <c r="C46" s="208" t="b">
        <f aca="false">IF(Configuration!$C$10="No","",IFERROR(IF('Patent Portfolio'!C49&lt;&gt;"",TRUE(),FALSE()),FALSE()))</f>
        <v>1</v>
      </c>
      <c r="D46" s="208" t="b">
        <f aca="false">IF(Configuration!$C$11="No","",IFERROR(IF(AND(N('Patent Portfolio'!H49)&gt;=Configuration!$C$44,'Patent Portfolio'!I49&lt;&gt;""),TRUE(),FALSE()),FALSE()))</f>
        <v>0</v>
      </c>
      <c r="E46" s="208" t="b">
        <f aca="false">IF(Configuration!$C$12="No","",IFERROR(IF('Patent Portfolio'!F49&lt;&gt;"",TRUE(),FALSE()),FALSE()))</f>
        <v>1</v>
      </c>
      <c r="F46" s="208" t="b">
        <f aca="false">IF(Configuration!$C$13="No","",IFERROR(IF('Patent Portfolio'!E49&lt;&gt;"",TRUE(),FALSE()),FALSE()))</f>
        <v>1</v>
      </c>
      <c r="G46" s="208" t="b">
        <f aca="false">IF(Configuration!$C$14="No","",IFERROR(IF('Patent Portfolio'!G49&lt;&gt;"",TRUE(),FALSE()),FALSE()))</f>
        <v>1</v>
      </c>
      <c r="H46" s="208" t="b">
        <f aca="false">IF(Configuration!$C$15="No","",IFERROR(IF(AND(OR(ISNUMBER(SEARCH("process",'Patent Portfolio'!C49)),ISNUMBER(SEARCH("fab",'Patent Portfolio'!C49)),ISNUMBER(SEARCH("manufac",'Patent Portfolio'!C49))),'Patent Portfolio'!K49="Method"),TRUE(),FALSE()),FALSE()))</f>
        <v>0</v>
      </c>
      <c r="I46" s="208" t="b">
        <f aca="false">IF(Configuration!$C$16="No","",IFERROR(IF(AND(OR(ISNUMBER(SEARCH("material",'Patent Portfolio'!C49)),ISNUMBER(SEARCH("chem",'Patent Portfolio'!C49)),ISNUMBER(SEARCH("battery",'Patent Portfolio'!C49)),ISNUMBER(SEARCH("electrolyte",'Patent Portfolio'!C49)),ISNUMBER(SEARCH("polymer",'Patent Portfolio'!C49))),OR('Patent Portfolio'!K49="Apparatus",'Patent Portfolio'!K49="Method")),TRUE(),FALSE()),FALSE()))</f>
        <v>0</v>
      </c>
      <c r="J46" s="208" t="b">
        <f aca="false">IF(Configuration!$C$17="No","",IFERROR(IF(AND(OR('Patent Portfolio'!E49="App",'Patent Portfolio'!E49="Middleware",'Patent Portfolio'!E49="Cloud"),OR('Patent Portfolio'!K49="Method",'Patent Portfolio'!K49="CRM")),TRUE(),FALSE()),FALSE()))</f>
        <v>0</v>
      </c>
      <c r="K46" s="208" t="b">
        <f aca="false">IF(Configuration!$C$18="No","",IFERROR(IF(N('Patent Portfolio'!J49)&gt;=Configuration!$C$45,TRUE(),FALSE()),FALSE()))</f>
        <v>0</v>
      </c>
      <c r="L46" s="208" t="b">
        <f aca="false">IF(Configuration!$C$19="No","",IFERROR(IF('Patent Portfolio'!AA49&lt;&gt;"",TRUE(),FALSE()),FALSE()))</f>
        <v>1</v>
      </c>
      <c r="M46" s="208" t="b">
        <f aca="false">IF(Configuration!$C$20="No","",IFERROR(IF('Patent Portfolio'!K49&lt;&gt;"",TRUE(),FALSE()),FALSE()))</f>
        <v>1</v>
      </c>
      <c r="N46" s="208" t="b">
        <f aca="false">IF(Configuration!$C$21="No","",IFERROR(IF(OR(N('Patent Portfolio'!O49)&gt;=Configuration!$C$46,N('Patent Portfolio'!P49)&gt;=Configuration!$C$47),TRUE(),FALSE()),FALSE()))</f>
        <v>1</v>
      </c>
      <c r="O46" s="208" t="b">
        <f aca="false">IF(Configuration!$C$22="No","",IFERROR(IF('Patent Portfolio'!X49="Yes",TRUE(),FALSE()),FALSE()))</f>
        <v>0</v>
      </c>
      <c r="P46" s="208" t="b">
        <f aca="false">IF(Configuration!$C$23="No","",IFERROR(IF(N('Patent Portfolio'!R49)&gt;=Configuration!$C$48,TRUE(),FALSE()),FALSE()))</f>
        <v>1</v>
      </c>
      <c r="Q46" s="208" t="b">
        <f aca="false">IF(Configuration!$C$24="No","",IFERROR(IF(N('Patent Portfolio'!U49)&gt;0,TRUE(),FALSE()),FALSE()))</f>
        <v>1</v>
      </c>
      <c r="R46" s="208" t="b">
        <f aca="false">IF(Configuration!$C$25="No","",IFERROR(IF(OR(N('Patent Portfolio'!L49)=3,N('Patent Portfolio'!L49)&lt;=1),TRUE(),FALSE()),FALSE()))</f>
        <v>0</v>
      </c>
      <c r="S46" s="208" t="b">
        <f aca="false">IF(Configuration!$C$26="No","",IFERROR(IF(N('Patent Portfolio'!AB49)&gt;=Configuration!$C$49,TRUE(),FALSE()),FALSE()))</f>
        <v>1</v>
      </c>
      <c r="T46" s="208" t="b">
        <f aca="false">IF(Configuration!$C$27="No","",IFERROR(IF('Patent Portfolio'!Z49&lt;&gt;"",TRUE(),FALSE()),FALSE()))</f>
        <v>1</v>
      </c>
      <c r="U46" s="208" t="b">
        <f aca="false">IF(Configuration!$C$28="No","",IFERROR(IF(N('Patent Portfolio'!Q49)&gt;=Configuration!$C$50,TRUE(),FALSE()),FALSE()))</f>
        <v>1</v>
      </c>
      <c r="V46" s="208" t="b">
        <f aca="false">IF(Configuration!$C$29="No","",IFERROR(IF(AND(N('Patent Portfolio'!N49)&gt;=Configuration!$C$51,'Patent Portfolio'!C49&lt;&gt;""),TRUE(),FALSE()),FALSE()))</f>
        <v>1</v>
      </c>
      <c r="W46" s="208" t="b">
        <f aca="false">IF(Configuration!$C$30="No","",IFERROR(IF(OR('Patent Portfolio'!S49="Pending",'Patent Portfolio'!T49="Yes"),TRUE(),FALSE()),FALSE()))</f>
        <v>1</v>
      </c>
      <c r="X46" s="208" t="b">
        <f aca="false">IF(Configuration!$C$31="No","",IFERROR(IF(AND(N('Patent Portfolio'!AC49)&gt;=Configuration!$C$52,N('Patent Portfolio'!L49)&gt;=1),TRUE(),FALSE()),FALSE()))</f>
        <v>1</v>
      </c>
      <c r="Y46" s="208" t="b">
        <f aca="false">IF(Configuration!$C$32="No","",IFERROR(IF(AND(N('Patent Portfolio'!N49)&gt;=1,OR('Patent Portfolio'!C49&lt;&gt;"",'Patent Portfolio'!I49&lt;&gt;"")),TRUE(),FALSE()),FALSE()))</f>
        <v>1</v>
      </c>
      <c r="Z46" s="208" t="b">
        <f aca="false">IF(Configuration!$C$33="No","",IFERROR(IF('Patent Portfolio'!C49&lt;&gt;"",TRUE(),FALSE()),FALSE()))</f>
        <v>1</v>
      </c>
      <c r="AA46" s="208" t="b">
        <f aca="false">IF(Configuration!$C$34="No","",IFERROR(IF('Patent Portfolio'!T49="Yes",TRUE(),FALSE()),FALSE()))</f>
        <v>1</v>
      </c>
      <c r="AB46" s="208" t="b">
        <f aca="false">IF(Configuration!$C$35="No","",IFERROR(IF(OR('Patent Portfolio'!AK49="Partial",'Patent Portfolio'!AK49="Full"),TRUE(),FALSE()),FALSE()))</f>
        <v>0</v>
      </c>
      <c r="AC46" s="208" t="b">
        <f aca="false">IF(Configuration!$C$36="No","",IFERROR(IF('Patent Portfolio'!AI49="Survived",TRUE(),FALSE()),FALSE()))</f>
        <v>0</v>
      </c>
      <c r="AD46" s="208" t="b">
        <f aca="false">IF(Configuration!$C$37="No","",IFERROR(IF(AND('Patent Portfolio'!AJ49="Clean",'Patent Portfolio'!AL49="None"),TRUE(),FALSE()),FALSE()))</f>
        <v>1</v>
      </c>
      <c r="AE46" s="208" t="b">
        <f aca="false">IF(Configuration!$C$38="No","",IFERROR(IF(N('Patent Portfolio'!AG49)&gt;=Configuration!$C$53,TRUE(),FALSE()),FALSE()))</f>
        <v>1</v>
      </c>
      <c r="AF46" s="208" t="b">
        <f aca="false">IF(Configuration!$C$39="No","",IFERROR(IF(AND(N('Patent Portfolio'!AO49)&gt;=2,N('Patent Portfolio'!AB49)&gt;=2),TRUE(),FALSE()),FALSE()))</f>
        <v>1</v>
      </c>
      <c r="AG46" s="208" t="b">
        <f aca="false">IF(Configuration!$C$40="No","",IFERROR(IF(OR(N('Patent Portfolio'!AC49)&lt;=Configuration!$C$56,N('Patent Portfolio'!U49)&lt;Configuration!$C$57,N('Patent Portfolio'!AD49)&lt;=Configuration!$C$58),TRUE(),FALSE()),FALSE()))</f>
        <v>0</v>
      </c>
      <c r="AH46" s="208" t="b">
        <f aca="false">IF(Configuration!$C$41="No","",IFERROR(IF(AND(N('Patent Portfolio'!U49)&gt;=Configuration!$C$54,N('Patent Portfolio'!U49)&lt;=Configuration!$C$55),TRUE(),FALSE()),FALSE()))</f>
        <v>0</v>
      </c>
      <c r="AI46" s="208" t="b">
        <f aca="false">IF(Configuration!$C$42="No","",IFERROR(IF(AND('Patent Portfolio'!C49&lt;&gt;"",'Patent Portfolio'!F49&lt;&gt;""),TRUE(),FALSE()),FALSE()))</f>
        <v>1</v>
      </c>
      <c r="AJ46" s="209" t="n">
        <f aca="false">COUNTIF(C46:AH46,TRUE())</f>
        <v>21</v>
      </c>
    </row>
    <row r="47" customFormat="false" ht="15" hidden="false" customHeight="true" outlineLevel="0" collapsed="false">
      <c r="A47" s="207" t="str">
        <f aca="false">'Patent Portfolio'!A50</f>
        <v>SL-025</v>
      </c>
      <c r="B47" s="207" t="str">
        <f aca="false">'Patent Portfolio'!B50</f>
        <v>Network traffic anomaly detection via federated learning</v>
      </c>
      <c r="C47" s="208" t="b">
        <f aca="false">IF(Configuration!$C$10="No","",IFERROR(IF('Patent Portfolio'!C50&lt;&gt;"",TRUE(),FALSE()),FALSE()))</f>
        <v>1</v>
      </c>
      <c r="D47" s="208" t="b">
        <f aca="false">IF(Configuration!$C$11="No","",IFERROR(IF(AND(N('Patent Portfolio'!H50)&gt;=Configuration!$C$44,'Patent Portfolio'!I50&lt;&gt;""),TRUE(),FALSE()),FALSE()))</f>
        <v>0</v>
      </c>
      <c r="E47" s="208" t="b">
        <f aca="false">IF(Configuration!$C$12="No","",IFERROR(IF('Patent Portfolio'!F50&lt;&gt;"",TRUE(),FALSE()),FALSE()))</f>
        <v>1</v>
      </c>
      <c r="F47" s="208" t="b">
        <f aca="false">IF(Configuration!$C$13="No","",IFERROR(IF('Patent Portfolio'!E50&lt;&gt;"",TRUE(),FALSE()),FALSE()))</f>
        <v>1</v>
      </c>
      <c r="G47" s="208" t="b">
        <f aca="false">IF(Configuration!$C$14="No","",IFERROR(IF('Patent Portfolio'!G50&lt;&gt;"",TRUE(),FALSE()),FALSE()))</f>
        <v>1</v>
      </c>
      <c r="H47" s="208" t="b">
        <f aca="false">IF(Configuration!$C$15="No","",IFERROR(IF(AND(OR(ISNUMBER(SEARCH("process",'Patent Portfolio'!C50)),ISNUMBER(SEARCH("fab",'Patent Portfolio'!C50)),ISNUMBER(SEARCH("manufac",'Patent Portfolio'!C50))),'Patent Portfolio'!K50="Method"),TRUE(),FALSE()),FALSE()))</f>
        <v>0</v>
      </c>
      <c r="I47" s="208" t="b">
        <f aca="false">IF(Configuration!$C$16="No","",IFERROR(IF(AND(OR(ISNUMBER(SEARCH("material",'Patent Portfolio'!C50)),ISNUMBER(SEARCH("chem",'Patent Portfolio'!C50)),ISNUMBER(SEARCH("battery",'Patent Portfolio'!C50)),ISNUMBER(SEARCH("electrolyte",'Patent Portfolio'!C50)),ISNUMBER(SEARCH("polymer",'Patent Portfolio'!C50))),OR('Patent Portfolio'!K50="Apparatus",'Patent Portfolio'!K50="Method")),TRUE(),FALSE()),FALSE()))</f>
        <v>0</v>
      </c>
      <c r="J47" s="208" t="b">
        <f aca="false">IF(Configuration!$C$17="No","",IFERROR(IF(AND(OR('Patent Portfolio'!E50="App",'Patent Portfolio'!E50="Middleware",'Patent Portfolio'!E50="Cloud"),OR('Patent Portfolio'!K50="Method",'Patent Portfolio'!K50="CRM")),TRUE(),FALSE()),FALSE()))</f>
        <v>1</v>
      </c>
      <c r="K47" s="208" t="b">
        <f aca="false">IF(Configuration!$C$18="No","",IFERROR(IF(N('Patent Portfolio'!J50)&gt;=Configuration!$C$45,TRUE(),FALSE()),FALSE()))</f>
        <v>0</v>
      </c>
      <c r="L47" s="208" t="b">
        <f aca="false">IF(Configuration!$C$19="No","",IFERROR(IF('Patent Portfolio'!AA50&lt;&gt;"",TRUE(),FALSE()),FALSE()))</f>
        <v>1</v>
      </c>
      <c r="M47" s="208" t="b">
        <f aca="false">IF(Configuration!$C$20="No","",IFERROR(IF('Patent Portfolio'!K50&lt;&gt;"",TRUE(),FALSE()),FALSE()))</f>
        <v>1</v>
      </c>
      <c r="N47" s="208" t="b">
        <f aca="false">IF(Configuration!$C$21="No","",IFERROR(IF(OR(N('Patent Portfolio'!O50)&gt;=Configuration!$C$46,N('Patent Portfolio'!P50)&gt;=Configuration!$C$47),TRUE(),FALSE()),FALSE()))</f>
        <v>1</v>
      </c>
      <c r="O47" s="208" t="b">
        <f aca="false">IF(Configuration!$C$22="No","",IFERROR(IF('Patent Portfolio'!X50="Yes",TRUE(),FALSE()),FALSE()))</f>
        <v>0</v>
      </c>
      <c r="P47" s="208" t="b">
        <f aca="false">IF(Configuration!$C$23="No","",IFERROR(IF(N('Patent Portfolio'!R50)&gt;=Configuration!$C$48,TRUE(),FALSE()),FALSE()))</f>
        <v>1</v>
      </c>
      <c r="Q47" s="208" t="b">
        <f aca="false">IF(Configuration!$C$24="No","",IFERROR(IF(N('Patent Portfolio'!U50)&gt;0,TRUE(),FALSE()),FALSE()))</f>
        <v>1</v>
      </c>
      <c r="R47" s="208" t="b">
        <f aca="false">IF(Configuration!$C$25="No","",IFERROR(IF(OR(N('Patent Portfolio'!L50)=3,N('Patent Portfolio'!L50)&lt;=1),TRUE(),FALSE()),FALSE()))</f>
        <v>0</v>
      </c>
      <c r="S47" s="208" t="b">
        <f aca="false">IF(Configuration!$C$26="No","",IFERROR(IF(N('Patent Portfolio'!AB50)&gt;=Configuration!$C$49,TRUE(),FALSE()),FALSE()))</f>
        <v>1</v>
      </c>
      <c r="T47" s="208" t="b">
        <f aca="false">IF(Configuration!$C$27="No","",IFERROR(IF('Patent Portfolio'!Z50&lt;&gt;"",TRUE(),FALSE()),FALSE()))</f>
        <v>1</v>
      </c>
      <c r="U47" s="208" t="b">
        <f aca="false">IF(Configuration!$C$28="No","",IFERROR(IF(N('Patent Portfolio'!Q50)&gt;=Configuration!$C$50,TRUE(),FALSE()),FALSE()))</f>
        <v>1</v>
      </c>
      <c r="V47" s="208" t="b">
        <f aca="false">IF(Configuration!$C$29="No","",IFERROR(IF(AND(N('Patent Portfolio'!N50)&gt;=Configuration!$C$51,'Patent Portfolio'!C50&lt;&gt;""),TRUE(),FALSE()),FALSE()))</f>
        <v>1</v>
      </c>
      <c r="W47" s="208" t="b">
        <f aca="false">IF(Configuration!$C$30="No","",IFERROR(IF(OR('Patent Portfolio'!S50="Pending",'Patent Portfolio'!T50="Yes"),TRUE(),FALSE()),FALSE()))</f>
        <v>0</v>
      </c>
      <c r="X47" s="208" t="b">
        <f aca="false">IF(Configuration!$C$31="No","",IFERROR(IF(AND(N('Patent Portfolio'!AC50)&gt;=Configuration!$C$52,N('Patent Portfolio'!L50)&gt;=1),TRUE(),FALSE()),FALSE()))</f>
        <v>1</v>
      </c>
      <c r="Y47" s="208" t="b">
        <f aca="false">IF(Configuration!$C$32="No","",IFERROR(IF(AND(N('Patent Portfolio'!N50)&gt;=1,OR('Patent Portfolio'!C50&lt;&gt;"",'Patent Portfolio'!I50&lt;&gt;"")),TRUE(),FALSE()),FALSE()))</f>
        <v>1</v>
      </c>
      <c r="Z47" s="208" t="b">
        <f aca="false">IF(Configuration!$C$33="No","",IFERROR(IF('Patent Portfolio'!C50&lt;&gt;"",TRUE(),FALSE()),FALSE()))</f>
        <v>1</v>
      </c>
      <c r="AA47" s="208" t="b">
        <f aca="false">IF(Configuration!$C$34="No","",IFERROR(IF('Patent Portfolio'!T50="Yes",TRUE(),FALSE()),FALSE()))</f>
        <v>0</v>
      </c>
      <c r="AB47" s="208" t="b">
        <f aca="false">IF(Configuration!$C$35="No","",IFERROR(IF(OR('Patent Portfolio'!AK50="Partial",'Patent Portfolio'!AK50="Full"),TRUE(),FALSE()),FALSE()))</f>
        <v>0</v>
      </c>
      <c r="AC47" s="208" t="b">
        <f aca="false">IF(Configuration!$C$36="No","",IFERROR(IF('Patent Portfolio'!AI50="Survived",TRUE(),FALSE()),FALSE()))</f>
        <v>0</v>
      </c>
      <c r="AD47" s="208" t="b">
        <f aca="false">IF(Configuration!$C$37="No","",IFERROR(IF(AND('Patent Portfolio'!AJ50="Clean",'Patent Portfolio'!AL50="None"),TRUE(),FALSE()),FALSE()))</f>
        <v>1</v>
      </c>
      <c r="AE47" s="208" t="b">
        <f aca="false">IF(Configuration!$C$38="No","",IFERROR(IF(N('Patent Portfolio'!AG50)&gt;=Configuration!$C$53,TRUE(),FALSE()),FALSE()))</f>
        <v>0</v>
      </c>
      <c r="AF47" s="208" t="b">
        <f aca="false">IF(Configuration!$C$39="No","",IFERROR(IF(AND(N('Patent Portfolio'!AO50)&gt;=2,N('Patent Portfolio'!AB50)&gt;=2),TRUE(),FALSE()),FALSE()))</f>
        <v>1</v>
      </c>
      <c r="AG47" s="208" t="b">
        <f aca="false">IF(Configuration!$C$40="No","",IFERROR(IF(OR(N('Patent Portfolio'!AC50)&lt;=Configuration!$C$56,N('Patent Portfolio'!U50)&lt;Configuration!$C$57,N('Patent Portfolio'!AD50)&lt;=Configuration!$C$58),TRUE(),FALSE()),FALSE()))</f>
        <v>0</v>
      </c>
      <c r="AH47" s="208" t="b">
        <f aca="false">IF(Configuration!$C$41="No","",IFERROR(IF(AND(N('Patent Portfolio'!U50)&gt;=Configuration!$C$54,N('Patent Portfolio'!U50)&lt;=Configuration!$C$55),TRUE(),FALSE()),FALSE()))</f>
        <v>0</v>
      </c>
      <c r="AI47" s="208" t="b">
        <f aca="false">IF(Configuration!$C$42="No","",IFERROR(IF(AND('Patent Portfolio'!C50&lt;&gt;"",'Patent Portfolio'!F50&lt;&gt;""),TRUE(),FALSE()),FALSE()))</f>
        <v>1</v>
      </c>
      <c r="AJ47" s="209" t="n">
        <f aca="false">COUNTIF(C47:AH47,TRUE())</f>
        <v>19</v>
      </c>
    </row>
    <row r="48" customFormat="false" ht="15" hidden="false" customHeight="true" outlineLevel="0" collapsed="false">
      <c r="A48" s="207" t="str">
        <f aca="false">'Patent Portfolio'!A51</f>
        <v>SL-026</v>
      </c>
      <c r="B48" s="207" t="str">
        <f aca="false">'Patent Portfolio'!B51</f>
        <v>Carbon nanotube field-effect transistor fabrication process</v>
      </c>
      <c r="C48" s="208" t="b">
        <f aca="false">IF(Configuration!$C$10="No","",IFERROR(IF('Patent Portfolio'!C51&lt;&gt;"",TRUE(),FALSE()),FALSE()))</f>
        <v>1</v>
      </c>
      <c r="D48" s="208" t="b">
        <f aca="false">IF(Configuration!$C$11="No","",IFERROR(IF(AND(N('Patent Portfolio'!H51)&gt;=Configuration!$C$44,'Patent Portfolio'!I51&lt;&gt;""),TRUE(),FALSE()),FALSE()))</f>
        <v>0</v>
      </c>
      <c r="E48" s="208" t="b">
        <f aca="false">IF(Configuration!$C$12="No","",IFERROR(IF('Patent Portfolio'!F51&lt;&gt;"",TRUE(),FALSE()),FALSE()))</f>
        <v>1</v>
      </c>
      <c r="F48" s="208" t="b">
        <f aca="false">IF(Configuration!$C$13="No","",IFERROR(IF('Patent Portfolio'!E51&lt;&gt;"",TRUE(),FALSE()),FALSE()))</f>
        <v>1</v>
      </c>
      <c r="G48" s="208" t="b">
        <f aca="false">IF(Configuration!$C$14="No","",IFERROR(IF('Patent Portfolio'!G51&lt;&gt;"",TRUE(),FALSE()),FALSE()))</f>
        <v>1</v>
      </c>
      <c r="H48" s="208" t="b">
        <f aca="false">IF(Configuration!$C$15="No","",IFERROR(IF(AND(OR(ISNUMBER(SEARCH("process",'Patent Portfolio'!C51)),ISNUMBER(SEARCH("fab",'Patent Portfolio'!C51)),ISNUMBER(SEARCH("manufac",'Patent Portfolio'!C51))),'Patent Portfolio'!K51="Method"),TRUE(),FALSE()),FALSE()))</f>
        <v>0</v>
      </c>
      <c r="I48" s="208" t="b">
        <f aca="false">IF(Configuration!$C$16="No","",IFERROR(IF(AND(OR(ISNUMBER(SEARCH("material",'Patent Portfolio'!C51)),ISNUMBER(SEARCH("chem",'Patent Portfolio'!C51)),ISNUMBER(SEARCH("battery",'Patent Portfolio'!C51)),ISNUMBER(SEARCH("electrolyte",'Patent Portfolio'!C51)),ISNUMBER(SEARCH("polymer",'Patent Portfolio'!C51))),OR('Patent Portfolio'!K51="Apparatus",'Patent Portfolio'!K51="Method")),TRUE(),FALSE()),FALSE()))</f>
        <v>0</v>
      </c>
      <c r="J48" s="208" t="b">
        <f aca="false">IF(Configuration!$C$17="No","",IFERROR(IF(AND(OR('Patent Portfolio'!E51="App",'Patent Portfolio'!E51="Middleware",'Patent Portfolio'!E51="Cloud"),OR('Patent Portfolio'!K51="Method",'Patent Portfolio'!K51="CRM")),TRUE(),FALSE()),FALSE()))</f>
        <v>0</v>
      </c>
      <c r="K48" s="208" t="b">
        <f aca="false">IF(Configuration!$C$18="No","",IFERROR(IF(N('Patent Portfolio'!J51)&gt;=Configuration!$C$45,TRUE(),FALSE()),FALSE()))</f>
        <v>0</v>
      </c>
      <c r="L48" s="208" t="b">
        <f aca="false">IF(Configuration!$C$19="No","",IFERROR(IF('Patent Portfolio'!AA51&lt;&gt;"",TRUE(),FALSE()),FALSE()))</f>
        <v>1</v>
      </c>
      <c r="M48" s="208" t="b">
        <f aca="false">IF(Configuration!$C$20="No","",IFERROR(IF('Patent Portfolio'!K51&lt;&gt;"",TRUE(),FALSE()),FALSE()))</f>
        <v>1</v>
      </c>
      <c r="N48" s="208" t="b">
        <f aca="false">IF(Configuration!$C$21="No","",IFERROR(IF(OR(N('Patent Portfolio'!O51)&gt;=Configuration!$C$46,N('Patent Portfolio'!P51)&gt;=Configuration!$C$47),TRUE(),FALSE()),FALSE()))</f>
        <v>1</v>
      </c>
      <c r="O48" s="208" t="b">
        <f aca="false">IF(Configuration!$C$22="No","",IFERROR(IF('Patent Portfolio'!X51="Yes",TRUE(),FALSE()),FALSE()))</f>
        <v>0</v>
      </c>
      <c r="P48" s="208" t="b">
        <f aca="false">IF(Configuration!$C$23="No","",IFERROR(IF(N('Patent Portfolio'!R51)&gt;=Configuration!$C$48,TRUE(),FALSE()),FALSE()))</f>
        <v>1</v>
      </c>
      <c r="Q48" s="208" t="b">
        <f aca="false">IF(Configuration!$C$24="No","",IFERROR(IF(N('Patent Portfolio'!U51)&gt;0,TRUE(),FALSE()),FALSE()))</f>
        <v>1</v>
      </c>
      <c r="R48" s="208" t="b">
        <f aca="false">IF(Configuration!$C$25="No","",IFERROR(IF(OR(N('Patent Portfolio'!L51)=3,N('Patent Portfolio'!L51)&lt;=1),TRUE(),FALSE()),FALSE()))</f>
        <v>1</v>
      </c>
      <c r="S48" s="208" t="b">
        <f aca="false">IF(Configuration!$C$26="No","",IFERROR(IF(N('Patent Portfolio'!AB51)&gt;=Configuration!$C$49,TRUE(),FALSE()),FALSE()))</f>
        <v>1</v>
      </c>
      <c r="T48" s="208" t="b">
        <f aca="false">IF(Configuration!$C$27="No","",IFERROR(IF('Patent Portfolio'!Z51&lt;&gt;"",TRUE(),FALSE()),FALSE()))</f>
        <v>0</v>
      </c>
      <c r="U48" s="208" t="b">
        <f aca="false">IF(Configuration!$C$28="No","",IFERROR(IF(N('Patent Portfolio'!Q51)&gt;=Configuration!$C$50,TRUE(),FALSE()),FALSE()))</f>
        <v>0</v>
      </c>
      <c r="V48" s="208" t="b">
        <f aca="false">IF(Configuration!$C$29="No","",IFERROR(IF(AND(N('Patent Portfolio'!N51)&gt;=Configuration!$C$51,'Patent Portfolio'!C51&lt;&gt;""),TRUE(),FALSE()),FALSE()))</f>
        <v>1</v>
      </c>
      <c r="W48" s="208" t="b">
        <f aca="false">IF(Configuration!$C$30="No","",IFERROR(IF(OR('Patent Portfolio'!S51="Pending",'Patent Portfolio'!T51="Yes"),TRUE(),FALSE()),FALSE()))</f>
        <v>1</v>
      </c>
      <c r="X48" s="208" t="b">
        <f aca="false">IF(Configuration!$C$31="No","",IFERROR(IF(AND(N('Patent Portfolio'!AC51)&gt;=Configuration!$C$52,N('Patent Portfolio'!L51)&gt;=1),TRUE(),FALSE()),FALSE()))</f>
        <v>1</v>
      </c>
      <c r="Y48" s="208" t="b">
        <f aca="false">IF(Configuration!$C$32="No","",IFERROR(IF(AND(N('Patent Portfolio'!N51)&gt;=1,OR('Patent Portfolio'!C51&lt;&gt;"",'Patent Portfolio'!I51&lt;&gt;"")),TRUE(),FALSE()),FALSE()))</f>
        <v>1</v>
      </c>
      <c r="Z48" s="208" t="b">
        <f aca="false">IF(Configuration!$C$33="No","",IFERROR(IF('Patent Portfolio'!C51&lt;&gt;"",TRUE(),FALSE()),FALSE()))</f>
        <v>1</v>
      </c>
      <c r="AA48" s="208" t="b">
        <f aca="false">IF(Configuration!$C$34="No","",IFERROR(IF('Patent Portfolio'!T51="Yes",TRUE(),FALSE()),FALSE()))</f>
        <v>1</v>
      </c>
      <c r="AB48" s="208" t="b">
        <f aca="false">IF(Configuration!$C$35="No","",IFERROR(IF(OR('Patent Portfolio'!AK51="Partial",'Patent Portfolio'!AK51="Full"),TRUE(),FALSE()),FALSE()))</f>
        <v>0</v>
      </c>
      <c r="AC48" s="208" t="b">
        <f aca="false">IF(Configuration!$C$36="No","",IFERROR(IF('Patent Portfolio'!AI51="Survived",TRUE(),FALSE()),FALSE()))</f>
        <v>0</v>
      </c>
      <c r="AD48" s="208" t="b">
        <f aca="false">IF(Configuration!$C$37="No","",IFERROR(IF(AND('Patent Portfolio'!AJ51="Clean",'Patent Portfolio'!AL51="None"),TRUE(),FALSE()),FALSE()))</f>
        <v>1</v>
      </c>
      <c r="AE48" s="208" t="b">
        <f aca="false">IF(Configuration!$C$38="No","",IFERROR(IF(N('Patent Portfolio'!AG51)&gt;=Configuration!$C$53,TRUE(),FALSE()),FALSE()))</f>
        <v>1</v>
      </c>
      <c r="AF48" s="208" t="b">
        <f aca="false">IF(Configuration!$C$39="No","",IFERROR(IF(AND(N('Patent Portfolio'!AO51)&gt;=2,N('Patent Portfolio'!AB51)&gt;=2),TRUE(),FALSE()),FALSE()))</f>
        <v>1</v>
      </c>
      <c r="AG48" s="208" t="b">
        <f aca="false">IF(Configuration!$C$40="No","",IFERROR(IF(OR(N('Patent Portfolio'!AC51)&lt;=Configuration!$C$56,N('Patent Portfolio'!U51)&lt;Configuration!$C$57,N('Patent Portfolio'!AD51)&lt;=Configuration!$C$58),TRUE(),FALSE()),FALSE()))</f>
        <v>0</v>
      </c>
      <c r="AH48" s="208" t="b">
        <f aca="false">IF(Configuration!$C$41="No","",IFERROR(IF(AND(N('Patent Portfolio'!U51)&gt;=Configuration!$C$54,N('Patent Portfolio'!U51)&lt;=Configuration!$C$55),TRUE(),FALSE()),FALSE()))</f>
        <v>0</v>
      </c>
      <c r="AI48" s="208" t="b">
        <f aca="false">IF(Configuration!$C$42="No","",IFERROR(IF(AND('Patent Portfolio'!C51&lt;&gt;"",'Patent Portfolio'!F51&lt;&gt;""),TRUE(),FALSE()),FALSE()))</f>
        <v>1</v>
      </c>
      <c r="AJ48" s="209" t="n">
        <f aca="false">COUNTIF(C48:AH48,TRUE())</f>
        <v>20</v>
      </c>
    </row>
    <row r="49" customFormat="false" ht="15" hidden="false" customHeight="true" outlineLevel="0" collapsed="false">
      <c r="A49" s="207" t="str">
        <f aca="false">'Patent Portfolio'!A52</f>
        <v>SL-027</v>
      </c>
      <c r="B49" s="207" t="str">
        <f aca="false">'Patent Portfolio'!B52</f>
        <v>Dynamic spectrum sharing between 5G NR and LTE coexistence</v>
      </c>
      <c r="C49" s="208" t="b">
        <f aca="false">IF(Configuration!$C$10="No","",IFERROR(IF('Patent Portfolio'!C52&lt;&gt;"",TRUE(),FALSE()),FALSE()))</f>
        <v>1</v>
      </c>
      <c r="D49" s="208" t="b">
        <f aca="false">IF(Configuration!$C$11="No","",IFERROR(IF(AND(N('Patent Portfolio'!H52)&gt;=Configuration!$C$44,'Patent Portfolio'!I52&lt;&gt;""),TRUE(),FALSE()),FALSE()))</f>
        <v>1</v>
      </c>
      <c r="E49" s="208" t="b">
        <f aca="false">IF(Configuration!$C$12="No","",IFERROR(IF('Patent Portfolio'!F52&lt;&gt;"",TRUE(),FALSE()),FALSE()))</f>
        <v>1</v>
      </c>
      <c r="F49" s="208" t="b">
        <f aca="false">IF(Configuration!$C$13="No","",IFERROR(IF('Patent Portfolio'!E52&lt;&gt;"",TRUE(),FALSE()),FALSE()))</f>
        <v>1</v>
      </c>
      <c r="G49" s="208" t="b">
        <f aca="false">IF(Configuration!$C$14="No","",IFERROR(IF('Patent Portfolio'!G52&lt;&gt;"",TRUE(),FALSE()),FALSE()))</f>
        <v>1</v>
      </c>
      <c r="H49" s="208" t="b">
        <f aca="false">IF(Configuration!$C$15="No","",IFERROR(IF(AND(OR(ISNUMBER(SEARCH("process",'Patent Portfolio'!C52)),ISNUMBER(SEARCH("fab",'Patent Portfolio'!C52)),ISNUMBER(SEARCH("manufac",'Patent Portfolio'!C52))),'Patent Portfolio'!K52="Method"),TRUE(),FALSE()),FALSE()))</f>
        <v>0</v>
      </c>
      <c r="I49" s="208" t="b">
        <f aca="false">IF(Configuration!$C$16="No","",IFERROR(IF(AND(OR(ISNUMBER(SEARCH("material",'Patent Portfolio'!C52)),ISNUMBER(SEARCH("chem",'Patent Portfolio'!C52)),ISNUMBER(SEARCH("battery",'Patent Portfolio'!C52)),ISNUMBER(SEARCH("electrolyte",'Patent Portfolio'!C52)),ISNUMBER(SEARCH("polymer",'Patent Portfolio'!C52))),OR('Patent Portfolio'!K52="Apparatus",'Patent Portfolio'!K52="Method")),TRUE(),FALSE()),FALSE()))</f>
        <v>0</v>
      </c>
      <c r="J49" s="208" t="b">
        <f aca="false">IF(Configuration!$C$17="No","",IFERROR(IF(AND(OR('Patent Portfolio'!E52="App",'Patent Portfolio'!E52="Middleware",'Patent Portfolio'!E52="Cloud"),OR('Patent Portfolio'!K52="Method",'Patent Portfolio'!K52="CRM")),TRUE(),FALSE()),FALSE()))</f>
        <v>0</v>
      </c>
      <c r="K49" s="208" t="b">
        <f aca="false">IF(Configuration!$C$18="No","",IFERROR(IF(N('Patent Portfolio'!J52)&gt;=Configuration!$C$45,TRUE(),FALSE()),FALSE()))</f>
        <v>1</v>
      </c>
      <c r="L49" s="208" t="b">
        <f aca="false">IF(Configuration!$C$19="No","",IFERROR(IF('Patent Portfolio'!AA52&lt;&gt;"",TRUE(),FALSE()),FALSE()))</f>
        <v>1</v>
      </c>
      <c r="M49" s="208" t="b">
        <f aca="false">IF(Configuration!$C$20="No","",IFERROR(IF('Patent Portfolio'!K52&lt;&gt;"",TRUE(),FALSE()),FALSE()))</f>
        <v>1</v>
      </c>
      <c r="N49" s="208" t="b">
        <f aca="false">IF(Configuration!$C$21="No","",IFERROR(IF(OR(N('Patent Portfolio'!O52)&gt;=Configuration!$C$46,N('Patent Portfolio'!P52)&gt;=Configuration!$C$47),TRUE(),FALSE()),FALSE()))</f>
        <v>1</v>
      </c>
      <c r="O49" s="208" t="b">
        <f aca="false">IF(Configuration!$C$22="No","",IFERROR(IF('Patent Portfolio'!X52="Yes",TRUE(),FALSE()),FALSE()))</f>
        <v>1</v>
      </c>
      <c r="P49" s="208" t="b">
        <f aca="false">IF(Configuration!$C$23="No","",IFERROR(IF(N('Patent Portfolio'!R52)&gt;=Configuration!$C$48,TRUE(),FALSE()),FALSE()))</f>
        <v>1</v>
      </c>
      <c r="Q49" s="208" t="b">
        <f aca="false">IF(Configuration!$C$24="No","",IFERROR(IF(N('Patent Portfolio'!U52)&gt;0,TRUE(),FALSE()),FALSE()))</f>
        <v>1</v>
      </c>
      <c r="R49" s="208" t="b">
        <f aca="false">IF(Configuration!$C$25="No","",IFERROR(IF(OR(N('Patent Portfolio'!L52)=3,N('Patent Portfolio'!L52)&lt;=1),TRUE(),FALSE()),FALSE()))</f>
        <v>0</v>
      </c>
      <c r="S49" s="208" t="b">
        <f aca="false">IF(Configuration!$C$26="No","",IFERROR(IF(N('Patent Portfolio'!AB52)&gt;=Configuration!$C$49,TRUE(),FALSE()),FALSE()))</f>
        <v>0</v>
      </c>
      <c r="T49" s="208" t="b">
        <f aca="false">IF(Configuration!$C$27="No","",IFERROR(IF('Patent Portfolio'!Z52&lt;&gt;"",TRUE(),FALSE()),FALSE()))</f>
        <v>0</v>
      </c>
      <c r="U49" s="208" t="b">
        <f aca="false">IF(Configuration!$C$28="No","",IFERROR(IF(N('Patent Portfolio'!Q52)&gt;=Configuration!$C$50,TRUE(),FALSE()),FALSE()))</f>
        <v>1</v>
      </c>
      <c r="V49" s="208" t="b">
        <f aca="false">IF(Configuration!$C$29="No","",IFERROR(IF(AND(N('Patent Portfolio'!N52)&gt;=Configuration!$C$51,'Patent Portfolio'!C52&lt;&gt;""),TRUE(),FALSE()),FALSE()))</f>
        <v>1</v>
      </c>
      <c r="W49" s="208" t="b">
        <f aca="false">IF(Configuration!$C$30="No","",IFERROR(IF(OR('Patent Portfolio'!S52="Pending",'Patent Portfolio'!T52="Yes"),TRUE(),FALSE()),FALSE()))</f>
        <v>0</v>
      </c>
      <c r="X49" s="208" t="b">
        <f aca="false">IF(Configuration!$C$31="No","",IFERROR(IF(AND(N('Patent Portfolio'!AC52)&gt;=Configuration!$C$52,N('Patent Portfolio'!L52)&gt;=1),TRUE(),FALSE()),FALSE()))</f>
        <v>1</v>
      </c>
      <c r="Y49" s="208" t="b">
        <f aca="false">IF(Configuration!$C$32="No","",IFERROR(IF(AND(N('Patent Portfolio'!N52)&gt;=1,OR('Patent Portfolio'!C52&lt;&gt;"",'Patent Portfolio'!I52&lt;&gt;"")),TRUE(),FALSE()),FALSE()))</f>
        <v>1</v>
      </c>
      <c r="Z49" s="208" t="b">
        <f aca="false">IF(Configuration!$C$33="No","",IFERROR(IF('Patent Portfolio'!C52&lt;&gt;"",TRUE(),FALSE()),FALSE()))</f>
        <v>1</v>
      </c>
      <c r="AA49" s="208" t="b">
        <f aca="false">IF(Configuration!$C$34="No","",IFERROR(IF('Patent Portfolio'!T52="Yes",TRUE(),FALSE()),FALSE()))</f>
        <v>0</v>
      </c>
      <c r="AB49" s="208" t="b">
        <f aca="false">IF(Configuration!$C$35="No","",IFERROR(IF(OR('Patent Portfolio'!AK52="Partial",'Patent Portfolio'!AK52="Full"),TRUE(),FALSE()),FALSE()))</f>
        <v>1</v>
      </c>
      <c r="AC49" s="208" t="b">
        <f aca="false">IF(Configuration!$C$36="No","",IFERROR(IF('Patent Portfolio'!AI52="Survived",TRUE(),FALSE()),FALSE()))</f>
        <v>0</v>
      </c>
      <c r="AD49" s="208" t="b">
        <f aca="false">IF(Configuration!$C$37="No","",IFERROR(IF(AND('Patent Portfolio'!AJ52="Clean",'Patent Portfolio'!AL52="None"),TRUE(),FALSE()),FALSE()))</f>
        <v>1</v>
      </c>
      <c r="AE49" s="208" t="b">
        <f aca="false">IF(Configuration!$C$38="No","",IFERROR(IF(N('Patent Portfolio'!AG52)&gt;=Configuration!$C$53,TRUE(),FALSE()),FALSE()))</f>
        <v>0</v>
      </c>
      <c r="AF49" s="208" t="b">
        <f aca="false">IF(Configuration!$C$39="No","",IFERROR(IF(AND(N('Patent Portfolio'!AO52)&gt;=2,N('Patent Portfolio'!AB52)&gt;=2),TRUE(),FALSE()),FALSE()))</f>
        <v>0</v>
      </c>
      <c r="AG49" s="208" t="b">
        <f aca="false">IF(Configuration!$C$40="No","",IFERROR(IF(OR(N('Patent Portfolio'!AC52)&lt;=Configuration!$C$56,N('Patent Portfolio'!U52)&lt;Configuration!$C$57,N('Patent Portfolio'!AD52)&lt;=Configuration!$C$58),TRUE(),FALSE()),FALSE()))</f>
        <v>0</v>
      </c>
      <c r="AH49" s="208" t="b">
        <f aca="false">IF(Configuration!$C$41="No","",IFERROR(IF(AND(N('Patent Portfolio'!U52)&gt;=Configuration!$C$54,N('Patent Portfolio'!U52)&lt;=Configuration!$C$55),TRUE(),FALSE()),FALSE()))</f>
        <v>0</v>
      </c>
      <c r="AI49" s="208" t="b">
        <f aca="false">IF(Configuration!$C$42="No","",IFERROR(IF(AND('Patent Portfolio'!C52&lt;&gt;"",'Patent Portfolio'!F52&lt;&gt;""),TRUE(),FALSE()),FALSE()))</f>
        <v>1</v>
      </c>
      <c r="AJ49" s="209" t="n">
        <f aca="false">COUNTIF(C49:AH49,TRUE())</f>
        <v>19</v>
      </c>
    </row>
    <row r="50" customFormat="false" ht="15" hidden="false" customHeight="true" outlineLevel="0" collapsed="false">
      <c r="A50" s="207" t="str">
        <f aca="false">'Patent Portfolio'!A53</f>
        <v>SL-028</v>
      </c>
      <c r="B50" s="207" t="str">
        <f aca="false">'Patent Portfolio'!B53</f>
        <v>Adaptive noise cancellation for over-ear headphones</v>
      </c>
      <c r="C50" s="208" t="b">
        <f aca="false">IF(Configuration!$C$10="No","",IFERROR(IF('Patent Portfolio'!C53&lt;&gt;"",TRUE(),FALSE()),FALSE()))</f>
        <v>1</v>
      </c>
      <c r="D50" s="208" t="b">
        <f aca="false">IF(Configuration!$C$11="No","",IFERROR(IF(AND(N('Patent Portfolio'!H53)&gt;=Configuration!$C$44,'Patent Portfolio'!I53&lt;&gt;""),TRUE(),FALSE()),FALSE()))</f>
        <v>0</v>
      </c>
      <c r="E50" s="208" t="b">
        <f aca="false">IF(Configuration!$C$12="No","",IFERROR(IF('Patent Portfolio'!F53&lt;&gt;"",TRUE(),FALSE()),FALSE()))</f>
        <v>1</v>
      </c>
      <c r="F50" s="208" t="b">
        <f aca="false">IF(Configuration!$C$13="No","",IFERROR(IF('Patent Portfolio'!E53&lt;&gt;"",TRUE(),FALSE()),FALSE()))</f>
        <v>1</v>
      </c>
      <c r="G50" s="208" t="b">
        <f aca="false">IF(Configuration!$C$14="No","",IFERROR(IF('Patent Portfolio'!G53&lt;&gt;"",TRUE(),FALSE()),FALSE()))</f>
        <v>1</v>
      </c>
      <c r="H50" s="208" t="b">
        <f aca="false">IF(Configuration!$C$15="No","",IFERROR(IF(AND(OR(ISNUMBER(SEARCH("process",'Patent Portfolio'!C53)),ISNUMBER(SEARCH("fab",'Patent Portfolio'!C53)),ISNUMBER(SEARCH("manufac",'Patent Portfolio'!C53))),'Patent Portfolio'!K53="Method"),TRUE(),FALSE()),FALSE()))</f>
        <v>0</v>
      </c>
      <c r="I50" s="208" t="b">
        <f aca="false">IF(Configuration!$C$16="No","",IFERROR(IF(AND(OR(ISNUMBER(SEARCH("material",'Patent Portfolio'!C53)),ISNUMBER(SEARCH("chem",'Patent Portfolio'!C53)),ISNUMBER(SEARCH("battery",'Patent Portfolio'!C53)),ISNUMBER(SEARCH("electrolyte",'Patent Portfolio'!C53)),ISNUMBER(SEARCH("polymer",'Patent Portfolio'!C53))),OR('Patent Portfolio'!K53="Apparatus",'Patent Portfolio'!K53="Method")),TRUE(),FALSE()),FALSE()))</f>
        <v>0</v>
      </c>
      <c r="J50" s="208" t="b">
        <f aca="false">IF(Configuration!$C$17="No","",IFERROR(IF(AND(OR('Patent Portfolio'!E53="App",'Patent Portfolio'!E53="Middleware",'Patent Portfolio'!E53="Cloud"),OR('Patent Portfolio'!K53="Method",'Patent Portfolio'!K53="CRM")),TRUE(),FALSE()),FALSE()))</f>
        <v>0</v>
      </c>
      <c r="K50" s="208" t="b">
        <f aca="false">IF(Configuration!$C$18="No","",IFERROR(IF(N('Patent Portfolio'!J53)&gt;=Configuration!$C$45,TRUE(),FALSE()),FALSE()))</f>
        <v>0</v>
      </c>
      <c r="L50" s="208" t="b">
        <f aca="false">IF(Configuration!$C$19="No","",IFERROR(IF('Patent Portfolio'!AA53&lt;&gt;"",TRUE(),FALSE()),FALSE()))</f>
        <v>1</v>
      </c>
      <c r="M50" s="208" t="b">
        <f aca="false">IF(Configuration!$C$20="No","",IFERROR(IF('Patent Portfolio'!K53&lt;&gt;"",TRUE(),FALSE()),FALSE()))</f>
        <v>1</v>
      </c>
      <c r="N50" s="208" t="b">
        <f aca="false">IF(Configuration!$C$21="No","",IFERROR(IF(OR(N('Patent Portfolio'!O53)&gt;=Configuration!$C$46,N('Patent Portfolio'!P53)&gt;=Configuration!$C$47),TRUE(),FALSE()),FALSE()))</f>
        <v>1</v>
      </c>
      <c r="O50" s="208" t="b">
        <f aca="false">IF(Configuration!$C$22="No","",IFERROR(IF('Patent Portfolio'!X53="Yes",TRUE(),FALSE()),FALSE()))</f>
        <v>1</v>
      </c>
      <c r="P50" s="208" t="b">
        <f aca="false">IF(Configuration!$C$23="No","",IFERROR(IF(N('Patent Portfolio'!R53)&gt;=Configuration!$C$48,TRUE(),FALSE()),FALSE()))</f>
        <v>1</v>
      </c>
      <c r="Q50" s="208" t="b">
        <f aca="false">IF(Configuration!$C$24="No","",IFERROR(IF(N('Patent Portfolio'!U53)&gt;0,TRUE(),FALSE()),FALSE()))</f>
        <v>1</v>
      </c>
      <c r="R50" s="208" t="b">
        <f aca="false">IF(Configuration!$C$25="No","",IFERROR(IF(OR(N('Patent Portfolio'!L53)=3,N('Patent Portfolio'!L53)&lt;=1),TRUE(),FALSE()),FALSE()))</f>
        <v>0</v>
      </c>
      <c r="S50" s="208" t="b">
        <f aca="false">IF(Configuration!$C$26="No","",IFERROR(IF(N('Patent Portfolio'!AB53)&gt;=Configuration!$C$49,TRUE(),FALSE()),FALSE()))</f>
        <v>1</v>
      </c>
      <c r="T50" s="208" t="b">
        <f aca="false">IF(Configuration!$C$27="No","",IFERROR(IF('Patent Portfolio'!Z53&lt;&gt;"",TRUE(),FALSE()),FALSE()))</f>
        <v>0</v>
      </c>
      <c r="U50" s="208" t="b">
        <f aca="false">IF(Configuration!$C$28="No","",IFERROR(IF(N('Patent Portfolio'!Q53)&gt;=Configuration!$C$50,TRUE(),FALSE()),FALSE()))</f>
        <v>1</v>
      </c>
      <c r="V50" s="208" t="b">
        <f aca="false">IF(Configuration!$C$29="No","",IFERROR(IF(AND(N('Patent Portfolio'!N53)&gt;=Configuration!$C$51,'Patent Portfolio'!C53&lt;&gt;""),TRUE(),FALSE()),FALSE()))</f>
        <v>1</v>
      </c>
      <c r="W50" s="208" t="b">
        <f aca="false">IF(Configuration!$C$30="No","",IFERROR(IF(OR('Patent Portfolio'!S53="Pending",'Patent Portfolio'!T53="Yes"),TRUE(),FALSE()),FALSE()))</f>
        <v>0</v>
      </c>
      <c r="X50" s="208" t="b">
        <f aca="false">IF(Configuration!$C$31="No","",IFERROR(IF(AND(N('Patent Portfolio'!AC53)&gt;=Configuration!$C$52,N('Patent Portfolio'!L53)&gt;=1),TRUE(),FALSE()),FALSE()))</f>
        <v>1</v>
      </c>
      <c r="Y50" s="208" t="b">
        <f aca="false">IF(Configuration!$C$32="No","",IFERROR(IF(AND(N('Patent Portfolio'!N53)&gt;=1,OR('Patent Portfolio'!C53&lt;&gt;"",'Patent Portfolio'!I53&lt;&gt;"")),TRUE(),FALSE()),FALSE()))</f>
        <v>1</v>
      </c>
      <c r="Z50" s="208" t="b">
        <f aca="false">IF(Configuration!$C$33="No","",IFERROR(IF('Patent Portfolio'!C53&lt;&gt;"",TRUE(),FALSE()),FALSE()))</f>
        <v>1</v>
      </c>
      <c r="AA50" s="208" t="b">
        <f aca="false">IF(Configuration!$C$34="No","",IFERROR(IF('Patent Portfolio'!T53="Yes",TRUE(),FALSE()),FALSE()))</f>
        <v>0</v>
      </c>
      <c r="AB50" s="208" t="b">
        <f aca="false">IF(Configuration!$C$35="No","",IFERROR(IF(OR('Patent Portfolio'!AK53="Partial",'Patent Portfolio'!AK53="Full"),TRUE(),FALSE()),FALSE()))</f>
        <v>1</v>
      </c>
      <c r="AC50" s="208" t="b">
        <f aca="false">IF(Configuration!$C$36="No","",IFERROR(IF('Patent Portfolio'!AI53="Survived",TRUE(),FALSE()),FALSE()))</f>
        <v>1</v>
      </c>
      <c r="AD50" s="208" t="b">
        <f aca="false">IF(Configuration!$C$37="No","",IFERROR(IF(AND('Patent Portfolio'!AJ53="Clean",'Patent Portfolio'!AL53="None"),TRUE(),FALSE()),FALSE()))</f>
        <v>1</v>
      </c>
      <c r="AE50" s="208" t="b">
        <f aca="false">IF(Configuration!$C$38="No","",IFERROR(IF(N('Patent Portfolio'!AG53)&gt;=Configuration!$C$53,TRUE(),FALSE()),FALSE()))</f>
        <v>1</v>
      </c>
      <c r="AF50" s="208" t="b">
        <f aca="false">IF(Configuration!$C$39="No","",IFERROR(IF(AND(N('Patent Portfolio'!AO53)&gt;=2,N('Patent Portfolio'!AB53)&gt;=2),TRUE(),FALSE()),FALSE()))</f>
        <v>1</v>
      </c>
      <c r="AG50" s="208" t="b">
        <f aca="false">IF(Configuration!$C$40="No","",IFERROR(IF(OR(N('Patent Portfolio'!AC53)&lt;=Configuration!$C$56,N('Patent Portfolio'!U53)&lt;Configuration!$C$57,N('Patent Portfolio'!AD53)&lt;=Configuration!$C$58),TRUE(),FALSE()),FALSE()))</f>
        <v>0</v>
      </c>
      <c r="AH50" s="208" t="b">
        <f aca="false">IF(Configuration!$C$41="No","",IFERROR(IF(AND(N('Patent Portfolio'!U53)&gt;=Configuration!$C$54,N('Patent Portfolio'!U53)&lt;=Configuration!$C$55),TRUE(),FALSE()),FALSE()))</f>
        <v>0</v>
      </c>
      <c r="AI50" s="208" t="b">
        <f aca="false">IF(Configuration!$C$42="No","",IFERROR(IF(AND('Patent Portfolio'!C53&lt;&gt;"",'Patent Portfolio'!F53&lt;&gt;""),TRUE(),FALSE()),FALSE()))</f>
        <v>1</v>
      </c>
      <c r="AJ50" s="209" t="n">
        <f aca="false">COUNTIF(C50:AH50,TRUE())</f>
        <v>21</v>
      </c>
    </row>
    <row r="51" customFormat="false" ht="15" hidden="false" customHeight="true" outlineLevel="0" collapsed="false">
      <c r="A51" s="207" t="str">
        <f aca="false">'Patent Portfolio'!A54</f>
        <v>SL-029</v>
      </c>
      <c r="B51" s="207" t="str">
        <f aca="false">'Patent Portfolio'!B54</f>
        <v>Blockchain-based supply chain provenance verification</v>
      </c>
      <c r="C51" s="208" t="b">
        <f aca="false">IF(Configuration!$C$10="No","",IFERROR(IF('Patent Portfolio'!C54&lt;&gt;"",TRUE(),FALSE()),FALSE()))</f>
        <v>1</v>
      </c>
      <c r="D51" s="208" t="b">
        <f aca="false">IF(Configuration!$C$11="No","",IFERROR(IF(AND(N('Patent Portfolio'!H54)&gt;=Configuration!$C$44,'Patent Portfolio'!I54&lt;&gt;""),TRUE(),FALSE()),FALSE()))</f>
        <v>0</v>
      </c>
      <c r="E51" s="208" t="b">
        <f aca="false">IF(Configuration!$C$12="No","",IFERROR(IF('Patent Portfolio'!F54&lt;&gt;"",TRUE(),FALSE()),FALSE()))</f>
        <v>1</v>
      </c>
      <c r="F51" s="208" t="b">
        <f aca="false">IF(Configuration!$C$13="No","",IFERROR(IF('Patent Portfolio'!E54&lt;&gt;"",TRUE(),FALSE()),FALSE()))</f>
        <v>1</v>
      </c>
      <c r="G51" s="208" t="b">
        <f aca="false">IF(Configuration!$C$14="No","",IFERROR(IF('Patent Portfolio'!G54&lt;&gt;"",TRUE(),FALSE()),FALSE()))</f>
        <v>1</v>
      </c>
      <c r="H51" s="208" t="b">
        <f aca="false">IF(Configuration!$C$15="No","",IFERROR(IF(AND(OR(ISNUMBER(SEARCH("process",'Patent Portfolio'!C54)),ISNUMBER(SEARCH("fab",'Patent Portfolio'!C54)),ISNUMBER(SEARCH("manufac",'Patent Portfolio'!C54))),'Patent Portfolio'!K54="Method"),TRUE(),FALSE()),FALSE()))</f>
        <v>0</v>
      </c>
      <c r="I51" s="208" t="b">
        <f aca="false">IF(Configuration!$C$16="No","",IFERROR(IF(AND(OR(ISNUMBER(SEARCH("material",'Patent Portfolio'!C54)),ISNUMBER(SEARCH("chem",'Patent Portfolio'!C54)),ISNUMBER(SEARCH("battery",'Patent Portfolio'!C54)),ISNUMBER(SEARCH("electrolyte",'Patent Portfolio'!C54)),ISNUMBER(SEARCH("polymer",'Patent Portfolio'!C54))),OR('Patent Portfolio'!K54="Apparatus",'Patent Portfolio'!K54="Method")),TRUE(),FALSE()),FALSE()))</f>
        <v>0</v>
      </c>
      <c r="J51" s="208" t="b">
        <f aca="false">IF(Configuration!$C$17="No","",IFERROR(IF(AND(OR('Patent Portfolio'!E54="App",'Patent Portfolio'!E54="Middleware",'Patent Portfolio'!E54="Cloud"),OR('Patent Portfolio'!K54="Method",'Patent Portfolio'!K54="CRM")),TRUE(),FALSE()),FALSE()))</f>
        <v>1</v>
      </c>
      <c r="K51" s="208" t="b">
        <f aca="false">IF(Configuration!$C$18="No","",IFERROR(IF(N('Patent Portfolio'!J54)&gt;=Configuration!$C$45,TRUE(),FALSE()),FALSE()))</f>
        <v>0</v>
      </c>
      <c r="L51" s="208" t="b">
        <f aca="false">IF(Configuration!$C$19="No","",IFERROR(IF('Patent Portfolio'!AA54&lt;&gt;"",TRUE(),FALSE()),FALSE()))</f>
        <v>1</v>
      </c>
      <c r="M51" s="208" t="b">
        <f aca="false">IF(Configuration!$C$20="No","",IFERROR(IF('Patent Portfolio'!K54&lt;&gt;"",TRUE(),FALSE()),FALSE()))</f>
        <v>1</v>
      </c>
      <c r="N51" s="208" t="b">
        <f aca="false">IF(Configuration!$C$21="No","",IFERROR(IF(OR(N('Patent Portfolio'!O54)&gt;=Configuration!$C$46,N('Patent Portfolio'!P54)&gt;=Configuration!$C$47),TRUE(),FALSE()),FALSE()))</f>
        <v>0</v>
      </c>
      <c r="O51" s="208" t="b">
        <f aca="false">IF(Configuration!$C$22="No","",IFERROR(IF('Patent Portfolio'!X54="Yes",TRUE(),FALSE()),FALSE()))</f>
        <v>0</v>
      </c>
      <c r="P51" s="208" t="b">
        <f aca="false">IF(Configuration!$C$23="No","",IFERROR(IF(N('Patent Portfolio'!R54)&gt;=Configuration!$C$48,TRUE(),FALSE()),FALSE()))</f>
        <v>1</v>
      </c>
      <c r="Q51" s="208" t="b">
        <f aca="false">IF(Configuration!$C$24="No","",IFERROR(IF(N('Patent Portfolio'!U54)&gt;0,TRUE(),FALSE()),FALSE()))</f>
        <v>1</v>
      </c>
      <c r="R51" s="208" t="b">
        <f aca="false">IF(Configuration!$C$25="No","",IFERROR(IF(OR(N('Patent Portfolio'!L54)=3,N('Patent Portfolio'!L54)&lt;=1),TRUE(),FALSE()),FALSE()))</f>
        <v>0</v>
      </c>
      <c r="S51" s="208" t="b">
        <f aca="false">IF(Configuration!$C$26="No","",IFERROR(IF(N('Patent Portfolio'!AB54)&gt;=Configuration!$C$49,TRUE(),FALSE()),FALSE()))</f>
        <v>1</v>
      </c>
      <c r="T51" s="208" t="b">
        <f aca="false">IF(Configuration!$C$27="No","",IFERROR(IF('Patent Portfolio'!Z54&lt;&gt;"",TRUE(),FALSE()),FALSE()))</f>
        <v>0</v>
      </c>
      <c r="U51" s="208" t="b">
        <f aca="false">IF(Configuration!$C$28="No","",IFERROR(IF(N('Patent Portfolio'!Q54)&gt;=Configuration!$C$50,TRUE(),FALSE()),FALSE()))</f>
        <v>1</v>
      </c>
      <c r="V51" s="208" t="b">
        <f aca="false">IF(Configuration!$C$29="No","",IFERROR(IF(AND(N('Patent Portfolio'!N54)&gt;=Configuration!$C$51,'Patent Portfolio'!C54&lt;&gt;""),TRUE(),FALSE()),FALSE()))</f>
        <v>0</v>
      </c>
      <c r="W51" s="208" t="b">
        <f aca="false">IF(Configuration!$C$30="No","",IFERROR(IF(OR('Patent Portfolio'!S54="Pending",'Patent Portfolio'!T54="Yes"),TRUE(),FALSE()),FALSE()))</f>
        <v>0</v>
      </c>
      <c r="X51" s="208" t="b">
        <f aca="false">IF(Configuration!$C$31="No","",IFERROR(IF(AND(N('Patent Portfolio'!AC54)&gt;=Configuration!$C$52,N('Patent Portfolio'!L54)&gt;=1),TRUE(),FALSE()),FALSE()))</f>
        <v>0</v>
      </c>
      <c r="Y51" s="208" t="b">
        <f aca="false">IF(Configuration!$C$32="No","",IFERROR(IF(AND(N('Patent Portfolio'!N54)&gt;=1,OR('Patent Portfolio'!C54&lt;&gt;"",'Patent Portfolio'!I54&lt;&gt;"")),TRUE(),FALSE()),FALSE()))</f>
        <v>1</v>
      </c>
      <c r="Z51" s="208" t="b">
        <f aca="false">IF(Configuration!$C$33="No","",IFERROR(IF('Patent Portfolio'!C54&lt;&gt;"",TRUE(),FALSE()),FALSE()))</f>
        <v>1</v>
      </c>
      <c r="AA51" s="208" t="b">
        <f aca="false">IF(Configuration!$C$34="No","",IFERROR(IF('Patent Portfolio'!T54="Yes",TRUE(),FALSE()),FALSE()))</f>
        <v>0</v>
      </c>
      <c r="AB51" s="208" t="b">
        <f aca="false">IF(Configuration!$C$35="No","",IFERROR(IF(OR('Patent Portfolio'!AK54="Partial",'Patent Portfolio'!AK54="Full"),TRUE(),FALSE()),FALSE()))</f>
        <v>0</v>
      </c>
      <c r="AC51" s="208" t="b">
        <f aca="false">IF(Configuration!$C$36="No","",IFERROR(IF('Patent Portfolio'!AI54="Survived",TRUE(),FALSE()),FALSE()))</f>
        <v>0</v>
      </c>
      <c r="AD51" s="208" t="b">
        <f aca="false">IF(Configuration!$C$37="No","",IFERROR(IF(AND('Patent Portfolio'!AJ54="Clean",'Patent Portfolio'!AL54="None"),TRUE(),FALSE()),FALSE()))</f>
        <v>1</v>
      </c>
      <c r="AE51" s="208" t="b">
        <f aca="false">IF(Configuration!$C$38="No","",IFERROR(IF(N('Patent Portfolio'!AG54)&gt;=Configuration!$C$53,TRUE(),FALSE()),FALSE()))</f>
        <v>0</v>
      </c>
      <c r="AF51" s="208" t="b">
        <f aca="false">IF(Configuration!$C$39="No","",IFERROR(IF(AND(N('Patent Portfolio'!AO54)&gt;=2,N('Patent Portfolio'!AB54)&gt;=2),TRUE(),FALSE()),FALSE()))</f>
        <v>1</v>
      </c>
      <c r="AG51" s="208" t="b">
        <f aca="false">IF(Configuration!$C$40="No","",IFERROR(IF(OR(N('Patent Portfolio'!AC54)&lt;=Configuration!$C$56,N('Patent Portfolio'!U54)&lt;Configuration!$C$57,N('Patent Portfolio'!AD54)&lt;=Configuration!$C$58),TRUE(),FALSE()),FALSE()))</f>
        <v>1</v>
      </c>
      <c r="AH51" s="208" t="b">
        <f aca="false">IF(Configuration!$C$41="No","",IFERROR(IF(AND(N('Patent Portfolio'!U54)&gt;=Configuration!$C$54,N('Patent Portfolio'!U54)&lt;=Configuration!$C$55),TRUE(),FALSE()),FALSE()))</f>
        <v>0</v>
      </c>
      <c r="AI51" s="208" t="b">
        <f aca="false">IF(Configuration!$C$42="No","",IFERROR(IF(AND('Patent Portfolio'!C54&lt;&gt;"",'Patent Portfolio'!F54&lt;&gt;""),TRUE(),FALSE()),FALSE()))</f>
        <v>1</v>
      </c>
      <c r="AJ51" s="209" t="n">
        <f aca="false">COUNTIF(C51:AH51,TRUE())</f>
        <v>16</v>
      </c>
    </row>
    <row r="52" customFormat="false" ht="15" hidden="false" customHeight="true" outlineLevel="0" collapsed="false">
      <c r="A52" s="207" t="str">
        <f aca="false">'Patent Portfolio'!A55</f>
        <v>SL-030</v>
      </c>
      <c r="B52" s="207" t="str">
        <f aca="false">'Patent Portfolio'!B55</f>
        <v>High-efficiency GaN power amplifier for 5G base stations</v>
      </c>
      <c r="C52" s="208" t="b">
        <f aca="false">IF(Configuration!$C$10="No","",IFERROR(IF('Patent Portfolio'!C55&lt;&gt;"",TRUE(),FALSE()),FALSE()))</f>
        <v>1</v>
      </c>
      <c r="D52" s="208" t="b">
        <f aca="false">IF(Configuration!$C$11="No","",IFERROR(IF(AND(N('Patent Portfolio'!H55)&gt;=Configuration!$C$44,'Patent Portfolio'!I55&lt;&gt;""),TRUE(),FALSE()),FALSE()))</f>
        <v>0</v>
      </c>
      <c r="E52" s="208" t="b">
        <f aca="false">IF(Configuration!$C$12="No","",IFERROR(IF('Patent Portfolio'!F55&lt;&gt;"",TRUE(),FALSE()),FALSE()))</f>
        <v>1</v>
      </c>
      <c r="F52" s="208" t="b">
        <f aca="false">IF(Configuration!$C$13="No","",IFERROR(IF('Patent Portfolio'!E55&lt;&gt;"",TRUE(),FALSE()),FALSE()))</f>
        <v>1</v>
      </c>
      <c r="G52" s="208" t="b">
        <f aca="false">IF(Configuration!$C$14="No","",IFERROR(IF('Patent Portfolio'!G55&lt;&gt;"",TRUE(),FALSE()),FALSE()))</f>
        <v>1</v>
      </c>
      <c r="H52" s="208" t="b">
        <f aca="false">IF(Configuration!$C$15="No","",IFERROR(IF(AND(OR(ISNUMBER(SEARCH("process",'Patent Portfolio'!C55)),ISNUMBER(SEARCH("fab",'Patent Portfolio'!C55)),ISNUMBER(SEARCH("manufac",'Patent Portfolio'!C55))),'Patent Portfolio'!K55="Method"),TRUE(),FALSE()),FALSE()))</f>
        <v>0</v>
      </c>
      <c r="I52" s="208" t="b">
        <f aca="false">IF(Configuration!$C$16="No","",IFERROR(IF(AND(OR(ISNUMBER(SEARCH("material",'Patent Portfolio'!C55)),ISNUMBER(SEARCH("chem",'Patent Portfolio'!C55)),ISNUMBER(SEARCH("battery",'Patent Portfolio'!C55)),ISNUMBER(SEARCH("electrolyte",'Patent Portfolio'!C55)),ISNUMBER(SEARCH("polymer",'Patent Portfolio'!C55))),OR('Patent Portfolio'!K55="Apparatus",'Patent Portfolio'!K55="Method")),TRUE(),FALSE()),FALSE()))</f>
        <v>0</v>
      </c>
      <c r="J52" s="208" t="b">
        <f aca="false">IF(Configuration!$C$17="No","",IFERROR(IF(AND(OR('Patent Portfolio'!E55="App",'Patent Portfolio'!E55="Middleware",'Patent Portfolio'!E55="Cloud"),OR('Patent Portfolio'!K55="Method",'Patent Portfolio'!K55="CRM")),TRUE(),FALSE()),FALSE()))</f>
        <v>0</v>
      </c>
      <c r="K52" s="208" t="b">
        <f aca="false">IF(Configuration!$C$18="No","",IFERROR(IF(N('Patent Portfolio'!J55)&gt;=Configuration!$C$45,TRUE(),FALSE()),FALSE()))</f>
        <v>1</v>
      </c>
      <c r="L52" s="208" t="b">
        <f aca="false">IF(Configuration!$C$19="No","",IFERROR(IF('Patent Portfolio'!AA55&lt;&gt;"",TRUE(),FALSE()),FALSE()))</f>
        <v>1</v>
      </c>
      <c r="M52" s="208" t="b">
        <f aca="false">IF(Configuration!$C$20="No","",IFERROR(IF('Patent Portfolio'!K55&lt;&gt;"",TRUE(),FALSE()),FALSE()))</f>
        <v>1</v>
      </c>
      <c r="N52" s="208" t="b">
        <f aca="false">IF(Configuration!$C$21="No","",IFERROR(IF(OR(N('Patent Portfolio'!O55)&gt;=Configuration!$C$46,N('Patent Portfolio'!P55)&gt;=Configuration!$C$47),TRUE(),FALSE()),FALSE()))</f>
        <v>1</v>
      </c>
      <c r="O52" s="208" t="b">
        <f aca="false">IF(Configuration!$C$22="No","",IFERROR(IF('Patent Portfolio'!X55="Yes",TRUE(),FALSE()),FALSE()))</f>
        <v>1</v>
      </c>
      <c r="P52" s="208" t="b">
        <f aca="false">IF(Configuration!$C$23="No","",IFERROR(IF(N('Patent Portfolio'!R55)&gt;=Configuration!$C$48,TRUE(),FALSE()),FALSE()))</f>
        <v>1</v>
      </c>
      <c r="Q52" s="208" t="b">
        <f aca="false">IF(Configuration!$C$24="No","",IFERROR(IF(N('Patent Portfolio'!U55)&gt;0,TRUE(),FALSE()),FALSE()))</f>
        <v>1</v>
      </c>
      <c r="R52" s="208" t="b">
        <f aca="false">IF(Configuration!$C$25="No","",IFERROR(IF(OR(N('Patent Portfolio'!L55)=3,N('Patent Portfolio'!L55)&lt;=1),TRUE(),FALSE()),FALSE()))</f>
        <v>0</v>
      </c>
      <c r="S52" s="208" t="b">
        <f aca="false">IF(Configuration!$C$26="No","",IFERROR(IF(N('Patent Portfolio'!AB55)&gt;=Configuration!$C$49,TRUE(),FALSE()),FALSE()))</f>
        <v>0</v>
      </c>
      <c r="T52" s="208" t="b">
        <f aca="false">IF(Configuration!$C$27="No","",IFERROR(IF('Patent Portfolio'!Z55&lt;&gt;"",TRUE(),FALSE()),FALSE()))</f>
        <v>0</v>
      </c>
      <c r="U52" s="208" t="b">
        <f aca="false">IF(Configuration!$C$28="No","",IFERROR(IF(N('Patent Portfolio'!Q55)&gt;=Configuration!$C$50,TRUE(),FALSE()),FALSE()))</f>
        <v>1</v>
      </c>
      <c r="V52" s="208" t="b">
        <f aca="false">IF(Configuration!$C$29="No","",IFERROR(IF(AND(N('Patent Portfolio'!N55)&gt;=Configuration!$C$51,'Patent Portfolio'!C55&lt;&gt;""),TRUE(),FALSE()),FALSE()))</f>
        <v>1</v>
      </c>
      <c r="W52" s="208" t="b">
        <f aca="false">IF(Configuration!$C$30="No","",IFERROR(IF(OR('Patent Portfolio'!S55="Pending",'Patent Portfolio'!T55="Yes"),TRUE(),FALSE()),FALSE()))</f>
        <v>0</v>
      </c>
      <c r="X52" s="208" t="b">
        <f aca="false">IF(Configuration!$C$31="No","",IFERROR(IF(AND(N('Patent Portfolio'!AC55)&gt;=Configuration!$C$52,N('Patent Portfolio'!L55)&gt;=1),TRUE(),FALSE()),FALSE()))</f>
        <v>1</v>
      </c>
      <c r="Y52" s="208" t="b">
        <f aca="false">IF(Configuration!$C$32="No","",IFERROR(IF(AND(N('Patent Portfolio'!N55)&gt;=1,OR('Patent Portfolio'!C55&lt;&gt;"",'Patent Portfolio'!I55&lt;&gt;"")),TRUE(),FALSE()),FALSE()))</f>
        <v>1</v>
      </c>
      <c r="Z52" s="208" t="b">
        <f aca="false">IF(Configuration!$C$33="No","",IFERROR(IF('Patent Portfolio'!C55&lt;&gt;"",TRUE(),FALSE()),FALSE()))</f>
        <v>1</v>
      </c>
      <c r="AA52" s="208" t="b">
        <f aca="false">IF(Configuration!$C$34="No","",IFERROR(IF('Patent Portfolio'!T55="Yes",TRUE(),FALSE()),FALSE()))</f>
        <v>0</v>
      </c>
      <c r="AB52" s="208" t="b">
        <f aca="false">IF(Configuration!$C$35="No","",IFERROR(IF(OR('Patent Portfolio'!AK55="Partial",'Patent Portfolio'!AK55="Full"),TRUE(),FALSE()),FALSE()))</f>
        <v>1</v>
      </c>
      <c r="AC52" s="208" t="b">
        <f aca="false">IF(Configuration!$C$36="No","",IFERROR(IF('Patent Portfolio'!AI55="Survived",TRUE(),FALSE()),FALSE()))</f>
        <v>0</v>
      </c>
      <c r="AD52" s="208" t="b">
        <f aca="false">IF(Configuration!$C$37="No","",IFERROR(IF(AND('Patent Portfolio'!AJ55="Clean",'Patent Portfolio'!AL55="None"),TRUE(),FALSE()),FALSE()))</f>
        <v>1</v>
      </c>
      <c r="AE52" s="208" t="b">
        <f aca="false">IF(Configuration!$C$38="No","",IFERROR(IF(N('Patent Portfolio'!AG55)&gt;=Configuration!$C$53,TRUE(),FALSE()),FALSE()))</f>
        <v>1</v>
      </c>
      <c r="AF52" s="208" t="b">
        <f aca="false">IF(Configuration!$C$39="No","",IFERROR(IF(AND(N('Patent Portfolio'!AO55)&gt;=2,N('Patent Portfolio'!AB55)&gt;=2),TRUE(),FALSE()),FALSE()))</f>
        <v>0</v>
      </c>
      <c r="AG52" s="208" t="b">
        <f aca="false">IF(Configuration!$C$40="No","",IFERROR(IF(OR(N('Patent Portfolio'!AC55)&lt;=Configuration!$C$56,N('Patent Portfolio'!U55)&lt;Configuration!$C$57,N('Patent Portfolio'!AD55)&lt;=Configuration!$C$58),TRUE(),FALSE()),FALSE()))</f>
        <v>0</v>
      </c>
      <c r="AH52" s="208" t="b">
        <f aca="false">IF(Configuration!$C$41="No","",IFERROR(IF(AND(N('Patent Portfolio'!U55)&gt;=Configuration!$C$54,N('Patent Portfolio'!U55)&lt;=Configuration!$C$55),TRUE(),FALSE()),FALSE()))</f>
        <v>0</v>
      </c>
      <c r="AI52" s="208" t="b">
        <f aca="false">IF(Configuration!$C$42="No","",IFERROR(IF(AND('Patent Portfolio'!C55&lt;&gt;"",'Patent Portfolio'!F55&lt;&gt;""),TRUE(),FALSE()),FALSE()))</f>
        <v>1</v>
      </c>
      <c r="AJ52" s="209" t="n">
        <f aca="false">COUNTIF(C52:AH52,TRUE())</f>
        <v>19</v>
      </c>
    </row>
  </sheetData>
  <mergeCells count="2">
    <mergeCell ref="A1:B1"/>
    <mergeCell ref="C1:AI1"/>
  </mergeCells>
  <conditionalFormatting sqref="C3:W22">
    <cfRule type="cellIs" priority="2" operator="equal" aboveAverage="0" equalAverage="0" bottom="0" percent="0" rank="0" text="" dxfId="5">
      <formula>1</formula>
    </cfRule>
    <cfRule type="cellIs" priority="3" operator="equal" aboveAverage="0" equalAverage="0" bottom="0" percent="0" rank="0" text="" dxfId="6">
      <formula>0</formula>
    </cfRule>
  </conditionalFormatting>
  <conditionalFormatting sqref="X3:AI22">
    <cfRule type="cellIs" priority="4" operator="equal" aboveAverage="0" equalAverage="0" bottom="0" percent="0" rank="0" text="" dxfId="5">
      <formula>1</formula>
    </cfRule>
    <cfRule type="cellIs" priority="5" operator="equal" aboveAverage="0" equalAverage="0" bottom="0" percent="0" rank="0" text="" dxfId="6">
      <formula>0</formula>
    </cfRule>
  </conditionalFormatting>
  <conditionalFormatting sqref="C3:C22">
    <cfRule type="expression" priority="6" aboveAverage="0" equalAverage="0" bottom="0" percent="0" rank="0" text="" dxfId="7">
      <formula>ISNUMBER(SEARCH("[DISABLED]",C$2))</formula>
    </cfRule>
  </conditionalFormatting>
  <conditionalFormatting sqref="D3:D22">
    <cfRule type="expression" priority="7" aboveAverage="0" equalAverage="0" bottom="0" percent="0" rank="0" text="" dxfId="7">
      <formula>ISNUMBER(SEARCH("[DISABLED]",D$2))</formula>
    </cfRule>
  </conditionalFormatting>
  <conditionalFormatting sqref="E3:E22">
    <cfRule type="expression" priority="8" aboveAverage="0" equalAverage="0" bottom="0" percent="0" rank="0" text="" dxfId="7">
      <formula>ISNUMBER(SEARCH("[DISABLED]",E$2))</formula>
    </cfRule>
  </conditionalFormatting>
  <conditionalFormatting sqref="F3:F22">
    <cfRule type="expression" priority="9" aboveAverage="0" equalAverage="0" bottom="0" percent="0" rank="0" text="" dxfId="7">
      <formula>ISNUMBER(SEARCH("[DISABLED]",F$2))</formula>
    </cfRule>
  </conditionalFormatting>
  <conditionalFormatting sqref="G3:G22">
    <cfRule type="expression" priority="10" aboveAverage="0" equalAverage="0" bottom="0" percent="0" rank="0" text="" dxfId="7">
      <formula>ISNUMBER(SEARCH("[DISABLED]",G$2))</formula>
    </cfRule>
  </conditionalFormatting>
  <conditionalFormatting sqref="H3:H22">
    <cfRule type="expression" priority="11" aboveAverage="0" equalAverage="0" bottom="0" percent="0" rank="0" text="" dxfId="7">
      <formula>ISNUMBER(SEARCH("[DISABLED]",H$2))</formula>
    </cfRule>
  </conditionalFormatting>
  <conditionalFormatting sqref="I3:I22">
    <cfRule type="expression" priority="12" aboveAverage="0" equalAverage="0" bottom="0" percent="0" rank="0" text="" dxfId="7">
      <formula>ISNUMBER(SEARCH("[DISABLED]",I$2))</formula>
    </cfRule>
  </conditionalFormatting>
  <conditionalFormatting sqref="J3:J22">
    <cfRule type="expression" priority="13" aboveAverage="0" equalAverage="0" bottom="0" percent="0" rank="0" text="" dxfId="7">
      <formula>ISNUMBER(SEARCH("[DISABLED]",J$2))</formula>
    </cfRule>
  </conditionalFormatting>
  <conditionalFormatting sqref="K3:K22">
    <cfRule type="expression" priority="14" aboveAverage="0" equalAverage="0" bottom="0" percent="0" rank="0" text="" dxfId="7">
      <formula>ISNUMBER(SEARCH("[DISABLED]",K$2))</formula>
    </cfRule>
  </conditionalFormatting>
  <conditionalFormatting sqref="L3:L22">
    <cfRule type="expression" priority="15" aboveAverage="0" equalAverage="0" bottom="0" percent="0" rank="0" text="" dxfId="7">
      <formula>ISNUMBER(SEARCH("[DISABLED]",L$2))</formula>
    </cfRule>
  </conditionalFormatting>
  <conditionalFormatting sqref="M3:M22">
    <cfRule type="expression" priority="16" aboveAverage="0" equalAverage="0" bottom="0" percent="0" rank="0" text="" dxfId="7">
      <formula>ISNUMBER(SEARCH("[DISABLED]",M$2))</formula>
    </cfRule>
  </conditionalFormatting>
  <conditionalFormatting sqref="N3:N22">
    <cfRule type="expression" priority="17" aboveAverage="0" equalAverage="0" bottom="0" percent="0" rank="0" text="" dxfId="7">
      <formula>ISNUMBER(SEARCH("[DISABLED]",N$2))</formula>
    </cfRule>
  </conditionalFormatting>
  <conditionalFormatting sqref="O3:O22">
    <cfRule type="expression" priority="18" aboveAverage="0" equalAverage="0" bottom="0" percent="0" rank="0" text="" dxfId="7">
      <formula>ISNUMBER(SEARCH("[DISABLED]",O$2))</formula>
    </cfRule>
  </conditionalFormatting>
  <conditionalFormatting sqref="P3:P22">
    <cfRule type="expression" priority="19" aboveAverage="0" equalAverage="0" bottom="0" percent="0" rank="0" text="" dxfId="7">
      <formula>ISNUMBER(SEARCH("[DISABLED]",P$2))</formula>
    </cfRule>
  </conditionalFormatting>
  <conditionalFormatting sqref="Q3:Q22">
    <cfRule type="expression" priority="20" aboveAverage="0" equalAverage="0" bottom="0" percent="0" rank="0" text="" dxfId="7">
      <formula>ISNUMBER(SEARCH("[DISABLED]",Q$2))</formula>
    </cfRule>
  </conditionalFormatting>
  <conditionalFormatting sqref="R3:R22">
    <cfRule type="expression" priority="21" aboveAverage="0" equalAverage="0" bottom="0" percent="0" rank="0" text="" dxfId="7">
      <formula>ISNUMBER(SEARCH("[DISABLED]",R$2))</formula>
    </cfRule>
  </conditionalFormatting>
  <conditionalFormatting sqref="S3:S22">
    <cfRule type="expression" priority="22" aboveAverage="0" equalAverage="0" bottom="0" percent="0" rank="0" text="" dxfId="7">
      <formula>ISNUMBER(SEARCH("[DISABLED]",S$2))</formula>
    </cfRule>
  </conditionalFormatting>
  <conditionalFormatting sqref="T3:T22">
    <cfRule type="expression" priority="23" aboveAverage="0" equalAverage="0" bottom="0" percent="0" rank="0" text="" dxfId="7">
      <formula>ISNUMBER(SEARCH("[DISABLED]",T$2))</formula>
    </cfRule>
  </conditionalFormatting>
  <conditionalFormatting sqref="U3:U22">
    <cfRule type="expression" priority="24" aboveAverage="0" equalAverage="0" bottom="0" percent="0" rank="0" text="" dxfId="7">
      <formula>ISNUMBER(SEARCH("[DISABLED]",U$2))</formula>
    </cfRule>
  </conditionalFormatting>
  <conditionalFormatting sqref="V3:V22">
    <cfRule type="expression" priority="25" aboveAverage="0" equalAverage="0" bottom="0" percent="0" rank="0" text="" dxfId="7">
      <formula>ISNUMBER(SEARCH("[DISABLED]",V$2))</formula>
    </cfRule>
  </conditionalFormatting>
  <conditionalFormatting sqref="W3:W22">
    <cfRule type="expression" priority="26" aboveAverage="0" equalAverage="0" bottom="0" percent="0" rank="0" text="" dxfId="7">
      <formula>ISNUMBER(SEARCH("[DISABLED]",W$2))</formula>
    </cfRule>
  </conditionalFormatting>
  <conditionalFormatting sqref="X3:X22">
    <cfRule type="expression" priority="27" aboveAverage="0" equalAverage="0" bottom="0" percent="0" rank="0" text="" dxfId="7">
      <formula>ISNUMBER(SEARCH("[DISABLED]",X$2))</formula>
    </cfRule>
  </conditionalFormatting>
  <conditionalFormatting sqref="Y3:Y22">
    <cfRule type="expression" priority="28" aboveAverage="0" equalAverage="0" bottom="0" percent="0" rank="0" text="" dxfId="7">
      <formula>ISNUMBER(SEARCH("[DISABLED]",Y$2))</formula>
    </cfRule>
  </conditionalFormatting>
  <conditionalFormatting sqref="Z3:Z22">
    <cfRule type="expression" priority="29" aboveAverage="0" equalAverage="0" bottom="0" percent="0" rank="0" text="" dxfId="7">
      <formula>ISNUMBER(SEARCH("[DISABLED]",Z$2))</formula>
    </cfRule>
  </conditionalFormatting>
  <conditionalFormatting sqref="AA3:AA22">
    <cfRule type="expression" priority="30" aboveAverage="0" equalAverage="0" bottom="0" percent="0" rank="0" text="" dxfId="7">
      <formula>ISNUMBER(SEARCH("[DISABLED]",AA$2))</formula>
    </cfRule>
  </conditionalFormatting>
  <conditionalFormatting sqref="AB3:AB22">
    <cfRule type="expression" priority="31" aboveAverage="0" equalAverage="0" bottom="0" percent="0" rank="0" text="" dxfId="7">
      <formula>ISNUMBER(SEARCH("[DISABLED]",AB$2))</formula>
    </cfRule>
  </conditionalFormatting>
  <conditionalFormatting sqref="AC3:AC22">
    <cfRule type="expression" priority="32" aboveAverage="0" equalAverage="0" bottom="0" percent="0" rank="0" text="" dxfId="7">
      <formula>ISNUMBER(SEARCH("[DISABLED]",AC$2))</formula>
    </cfRule>
  </conditionalFormatting>
  <conditionalFormatting sqref="AD3:AD22">
    <cfRule type="expression" priority="33" aboveAverage="0" equalAverage="0" bottom="0" percent="0" rank="0" text="" dxfId="7">
      <formula>ISNUMBER(SEARCH("[DISABLED]",AD$2))</formula>
    </cfRule>
  </conditionalFormatting>
  <conditionalFormatting sqref="AE3:AE22">
    <cfRule type="expression" priority="34" aboveAverage="0" equalAverage="0" bottom="0" percent="0" rank="0" text="" dxfId="7">
      <formula>ISNUMBER(SEARCH("[DISABLED]",AE$2))</formula>
    </cfRule>
  </conditionalFormatting>
  <conditionalFormatting sqref="AF3:AF22">
    <cfRule type="expression" priority="35" aboveAverage="0" equalAverage="0" bottom="0" percent="0" rank="0" text="" dxfId="7">
      <formula>ISNUMBER(SEARCH("[DISABLED]",AF$2))</formula>
    </cfRule>
  </conditionalFormatting>
  <conditionalFormatting sqref="AG3:AG22">
    <cfRule type="expression" priority="36" aboveAverage="0" equalAverage="0" bottom="0" percent="0" rank="0" text="" dxfId="7">
      <formula>ISNUMBER(SEARCH("[DISABLED]",AG$2))</formula>
    </cfRule>
  </conditionalFormatting>
  <conditionalFormatting sqref="AH3:AH22">
    <cfRule type="expression" priority="37" aboveAverage="0" equalAverage="0" bottom="0" percent="0" rank="0" text="" dxfId="7">
      <formula>ISNUMBER(SEARCH("[DISABLED]",AH$2))</formula>
    </cfRule>
  </conditionalFormatting>
  <conditionalFormatting sqref="AI3:AI22">
    <cfRule type="expression" priority="38" aboveAverage="0" equalAverage="0" bottom="0" percent="0" rank="0" text="" dxfId="7">
      <formula>ISNUMBER(SEARCH("[DISABLED]",AI$2))</formula>
    </cfRule>
  </conditionalFormatting>
  <conditionalFormatting sqref="C3:AI22">
    <cfRule type="cellIs" priority="39" operator="equal" aboveAverage="0" equalAverage="0" bottom="0" percent="0" rank="0" text="" dxfId="5">
      <formula>1</formula>
    </cfRule>
    <cfRule type="cellIs" priority="40" operator="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10" min="3" style="1" width="14"/>
    <col collapsed="false" customWidth="true" hidden="false" outlineLevel="0" max="12" min="11" style="1" width="18"/>
    <col collapsed="false" customWidth="true" hidden="false" outlineLevel="0" max="13" min="13" style="1" width="16"/>
    <col collapsed="false" customWidth="true" hidden="false" outlineLevel="0" max="15" min="14" style="1" width="18"/>
  </cols>
  <sheetData>
    <row r="1" customFormat="false" ht="42" hidden="false" customHeight="true" outlineLevel="0" collapsed="false">
      <c r="A1" s="120" t="s">
        <v>156</v>
      </c>
      <c r="B1" s="120" t="s">
        <v>1326</v>
      </c>
      <c r="C1" s="120" t="s">
        <v>1445</v>
      </c>
      <c r="D1" s="120" t="s">
        <v>1446</v>
      </c>
      <c r="E1" s="120" t="s">
        <v>1447</v>
      </c>
      <c r="F1" s="120" t="s">
        <v>1448</v>
      </c>
      <c r="G1" s="120" t="s">
        <v>1449</v>
      </c>
      <c r="H1" s="120" t="s">
        <v>1450</v>
      </c>
      <c r="I1" s="120" t="s">
        <v>1451</v>
      </c>
      <c r="J1" s="120" t="s">
        <v>1452</v>
      </c>
      <c r="K1" s="120" t="str">
        <f aca="false">IF(Configuration!$C$63="No","[DISABLED] Weakest H1 (min in bundle)","Weakest H1 (min in bundle)")</f>
        <v>Weakest H1 (min in bundle)</v>
      </c>
      <c r="L1" s="120" t="str">
        <f aca="false">IF(Configuration!$C$64="No","[DISABLED] Invalidity exposure % (H2≤1)","Invalidity exposure % (H2≤1)")</f>
        <v>Invalidity exposure % (H2≤1)</v>
      </c>
      <c r="M1" s="120" t="str">
        <f aca="false">IF(Configuration!$C$65="No","[DISABLED] EoU-ready % (H9≠None)","EoU-ready % (H9≠None)")</f>
        <v>EoU-ready % (H9≠None)</v>
      </c>
      <c r="N1" s="120" t="str">
        <f aca="false">IF(Configuration!$C$66="No","[DISABLED] Survived % (H7=Survived)","Survived % (H7=Survived)")</f>
        <v>Survived % (H7=Survived)</v>
      </c>
      <c r="O1" s="120" t="str">
        <f aca="false">IF(Configuration!$C$67="No","[DISABLED] Continuation-optionality %","Continuation-optionality %")</f>
        <v>Continuation-optionality %</v>
      </c>
    </row>
    <row r="2" customFormat="false" ht="15" hidden="false" customHeight="true" outlineLevel="0" collapsed="false">
      <c r="A2" s="198" t="n">
        <v>1</v>
      </c>
      <c r="B2" s="63" t="str">
        <f aca="false">IF(Configuration!$C$10="No","[DISABLED] Tech Domain","Tech Domain")</f>
        <v>Tech Domain</v>
      </c>
      <c r="C2" s="210" t="n">
        <f aca="false">IF(Configuration!$C$10="No","",COUNTIF('Bundle Assignment'!C3:C22,TRUE()))</f>
        <v>12</v>
      </c>
      <c r="D2" s="211" t="n">
        <f aca="false">IF(Configuration!$C$10="No","",IFERROR(SUMPRODUCT(--('Bundle Assignment'!C3:C22=TRUE()),('Patent Portfolio'!O3:O22+'Patent Portfolio'!P3:P22)/2)/COUNTIF('Bundle Assignment'!C3:C22,TRUE()),0))</f>
        <v>1.58333333333333</v>
      </c>
      <c r="E2" s="212" t="n">
        <f aca="false">IF(Configuration!$C$10="No","",IFERROR(SUMPRODUCT(--('Bundle Assignment'!C3:C22=TRUE()),'Patent Portfolio'!U3:U22)/COUNTIF('Bundle Assignment'!C3:C22,TRUE()),0))</f>
        <v>13.1666666666667</v>
      </c>
      <c r="F2" s="213" t="n">
        <f aca="false">IF(Configuration!$C$10="No","",IFERROR(SUMPRODUCT(--('Bundle Assignment'!C3:C22=TRUE()),--('Patent Portfolio'!X3:X22="Yes"))/COUNTIF('Bundle Assignment'!C3:C22,TRUE()),0))</f>
        <v>0.833333333333333</v>
      </c>
      <c r="G2" s="213" t="n">
        <f aca="false">IF(Configuration!$C$10="No","",IFERROR(SUMPRODUCT(--('Bundle Assignment'!C3:C22=TRUE()),--('Patent Portfolio'!T3:T22="Yes"))/COUNTIF('Bundle Assignment'!C3:C22,TRUE()),0))</f>
        <v>0.5</v>
      </c>
      <c r="H2" s="213" t="n">
        <f aca="false">IF(Configuration!$C$10="No","",IFERROR(SUMPRODUCT(--('Bundle Assignment'!C3:C22=TRUE()),--('Patent Portfolio'!H3:H22&gt;=2))/COUNTIF('Bundle Assignment'!C3:C22,TRUE()),0))</f>
        <v>0.333333333333333</v>
      </c>
      <c r="I2" s="210" t="n">
        <f aca="false">IF(Configuration!$C$10="No","",SUMPRODUCT(--('Bundle Assignment'!C3:C22=TRUE()),--('Patent Portfolio'!L3:L22=3)))</f>
        <v>1</v>
      </c>
      <c r="J2" s="131" t="str">
        <f aca="false">IF(Configuration!$C$10="No","",IF(C2&lt;2,"WEAK",IF(AND(C2&gt;=Configuration!$C$59,D2&gt;=Configuration!$C$60,E2&gt;=Configuration!$C$61),"STRONG","MODERATE")))</f>
        <v>MODERATE</v>
      </c>
      <c r="K2" s="214" t="str">
        <f aca="false">IF(Configuration!$C$10="No","",IF(Configuration!$C$63="No","",IFERROR(aggregate(5,6,'Patent Portfolio'!AC3:AC22/('Bundle Assignment'!C3:C22=TRUE())),"")))</f>
        <v/>
      </c>
      <c r="L2" s="213" t="n">
        <f aca="false">IF(Configuration!$C$10="No","",IF(Configuration!$C$64="No","",IFERROR(SUMPRODUCT(--('Bundle Assignment'!C3:C22=TRUE()),--('Patent Portfolio'!AD3:AD22&lt;=1))/COUNTIF('Bundle Assignment'!C3:C22,TRUE()),0)))</f>
        <v>0.25</v>
      </c>
      <c r="M2" s="213" t="n">
        <f aca="false">IF(Configuration!$C$10="No","",IF(Configuration!$C$65="No","",IFERROR(SUMPRODUCT(--('Bundle Assignment'!C3:C22=TRUE()),--('Patent Portfolio'!AK3:AK22&lt;&gt;"None"),--('Patent Portfolio'!AK3:AK22&lt;&gt;""))/COUNTIF('Bundle Assignment'!C3:C22,TRUE()),0)))</f>
        <v>0.583333333333333</v>
      </c>
      <c r="N2" s="213" t="n">
        <f aca="false">IF(Configuration!$C$10="No","",IF(Configuration!$C$66="No","",IFERROR(SUMPRODUCT(--('Bundle Assignment'!C3:C22=TRUE()),--('Patent Portfolio'!AI3:AI22="Survived"))/COUNTIF('Bundle Assignment'!C3:C22,TRUE()),0)))</f>
        <v>0.166666666666667</v>
      </c>
      <c r="O2" s="213" t="n">
        <f aca="false">IF(Configuration!$C$10="No","",IF(Configuration!$C$67="No","",IFERROR(SUMPRODUCT(--('Bundle Assignment'!C3:C22=TRUE()),--('Patent Portfolio'!T3:T22="Yes"))/COUNTIF('Bundle Assignment'!C3:C22,TRUE()),0)))</f>
        <v>0.5</v>
      </c>
    </row>
    <row r="3" customFormat="false" ht="15" hidden="false" customHeight="true" outlineLevel="0" collapsed="false">
      <c r="A3" s="198" t="n">
        <v>2</v>
      </c>
      <c r="B3" s="63" t="str">
        <f aca="false">IF(Configuration!$C$11="No","[DISABLED] SEP","SEP")</f>
        <v>SEP</v>
      </c>
      <c r="C3" s="210" t="n">
        <f aca="false">IF(Configuration!$C$11="No","",COUNTIF('Bundle Assignment'!D3:D22,TRUE()))</f>
        <v>4</v>
      </c>
      <c r="D3" s="211" t="n">
        <f aca="false">IF(Configuration!$C$11="No","",IFERROR(SUMPRODUCT(--('Bundle Assignment'!D3:D22=TRUE()),('Patent Portfolio'!O3:O22+'Patent Portfolio'!P3:P22)/2)/COUNTIF('Bundle Assignment'!D3:D22,TRUE()),0))</f>
        <v>2</v>
      </c>
      <c r="E3" s="212" t="n">
        <f aca="false">IF(Configuration!$C$11="No","",IFERROR(SUMPRODUCT(--('Bundle Assignment'!D3:D22=TRUE()),'Patent Portfolio'!U3:U22)/COUNTIF('Bundle Assignment'!D3:D22,TRUE()),0))</f>
        <v>13.25</v>
      </c>
      <c r="F3" s="213" t="n">
        <f aca="false">IF(Configuration!$C$11="No","",IFERROR(SUMPRODUCT(--('Bundle Assignment'!D3:D22=TRUE()),--('Patent Portfolio'!X3:X22="Yes"))/COUNTIF('Bundle Assignment'!D3:D22,TRUE()),0))</f>
        <v>1</v>
      </c>
      <c r="G3" s="213" t="n">
        <f aca="false">IF(Configuration!$C$11="No","",IFERROR(SUMPRODUCT(--('Bundle Assignment'!D3:D22=TRUE()),--('Patent Portfolio'!T3:T22="Yes"))/COUNTIF('Bundle Assignment'!D3:D22,TRUE()),0))</f>
        <v>0.5</v>
      </c>
      <c r="H3" s="213" t="n">
        <f aca="false">IF(Configuration!$C$11="No","",IFERROR(SUMPRODUCT(--('Bundle Assignment'!D3:D22=TRUE()),--('Patent Portfolio'!H3:H22&gt;=2))/COUNTIF('Bundle Assignment'!D3:D22,TRUE()),0))</f>
        <v>1</v>
      </c>
      <c r="I3" s="210" t="n">
        <f aca="false">IF(Configuration!$C$11="No","",SUMPRODUCT(--('Bundle Assignment'!D3:D22=TRUE()),--('Patent Portfolio'!L3:L22=3)))</f>
        <v>0</v>
      </c>
      <c r="J3" s="131" t="str">
        <f aca="false">IF(Configuration!$C$11="No","",IF(C3&lt;2,"WEAK",IF(AND(C3&gt;=Configuration!$C$59,D3&gt;=Configuration!$C$60,E3&gt;=Configuration!$C$61),"STRONG","MODERATE")))</f>
        <v>STRONG</v>
      </c>
      <c r="K3" s="214" t="str">
        <f aca="false">IF(Configuration!$C$11="No","",IF(Configuration!$C$63="No","",IFERROR(aggregate(5,6,'Patent Portfolio'!AC3:AC22/('Bundle Assignment'!D3:D22=TRUE())),"")))</f>
        <v/>
      </c>
      <c r="L3" s="213" t="n">
        <f aca="false">IF(Configuration!$C$11="No","",IF(Configuration!$C$64="No","",IFERROR(SUMPRODUCT(--('Bundle Assignment'!D3:D22=TRUE()),--('Patent Portfolio'!AD3:AD22&lt;=1))/COUNTIF('Bundle Assignment'!D3:D22,TRUE()),0)))</f>
        <v>0</v>
      </c>
      <c r="M3" s="213" t="n">
        <f aca="false">IF(Configuration!$C$11="No","",IF(Configuration!$C$65="No","",IFERROR(SUMPRODUCT(--('Bundle Assignment'!D3:D22=TRUE()),--('Patent Portfolio'!AK3:AK22&lt;&gt;"None"),--('Patent Portfolio'!AK3:AK22&lt;&gt;""))/COUNTIF('Bundle Assignment'!D3:D22,TRUE()),0)))</f>
        <v>0.75</v>
      </c>
      <c r="N3" s="213" t="n">
        <f aca="false">IF(Configuration!$C$11="No","",IF(Configuration!$C$66="No","",IFERROR(SUMPRODUCT(--('Bundle Assignment'!D3:D22=TRUE()),--('Patent Portfolio'!AI3:AI22="Survived"))/COUNTIF('Bundle Assignment'!D3:D22,TRUE()),0)))</f>
        <v>0.5</v>
      </c>
      <c r="O3" s="213" t="n">
        <f aca="false">IF(Configuration!$C$11="No","",IF(Configuration!$C$67="No","",IFERROR(SUMPRODUCT(--('Bundle Assignment'!D3:D22=TRUE()),--('Patent Portfolio'!T3:T22="Yes"))/COUNTIF('Bundle Assignment'!D3:D22,TRUE()),0)))</f>
        <v>0.5</v>
      </c>
    </row>
    <row r="4" customFormat="false" ht="15" hidden="false" customHeight="true" outlineLevel="0" collapsed="false">
      <c r="A4" s="198" t="n">
        <v>3</v>
      </c>
      <c r="B4" s="63" t="str">
        <f aca="false">IF(Configuration!$C$12="No","[DISABLED] Product Architecture","Product Architecture")</f>
        <v>Product Architecture</v>
      </c>
      <c r="C4" s="210" t="n">
        <f aca="false">IF(Configuration!$C$12="No","",COUNTIF('Bundle Assignment'!E3:E22,TRUE()))</f>
        <v>12</v>
      </c>
      <c r="D4" s="211" t="n">
        <f aca="false">IF(Configuration!$C$12="No","",IFERROR(SUMPRODUCT(--('Bundle Assignment'!E3:E22=TRUE()),('Patent Portfolio'!O3:O22+'Patent Portfolio'!P3:P22)/2)/COUNTIF('Bundle Assignment'!E3:E22,TRUE()),0))</f>
        <v>1.58333333333333</v>
      </c>
      <c r="E4" s="212" t="n">
        <f aca="false">IF(Configuration!$C$12="No","",IFERROR(SUMPRODUCT(--('Bundle Assignment'!E3:E22=TRUE()),'Patent Portfolio'!U3:U22)/COUNTIF('Bundle Assignment'!E3:E22,TRUE()),0))</f>
        <v>13.1666666666667</v>
      </c>
      <c r="F4" s="213" t="n">
        <f aca="false">IF(Configuration!$C$12="No","",IFERROR(SUMPRODUCT(--('Bundle Assignment'!E3:E22=TRUE()),--('Patent Portfolio'!X3:X22="Yes"))/COUNTIF('Bundle Assignment'!E3:E22,TRUE()),0))</f>
        <v>0.833333333333333</v>
      </c>
      <c r="G4" s="213" t="n">
        <f aca="false">IF(Configuration!$C$12="No","",IFERROR(SUMPRODUCT(--('Bundle Assignment'!E3:E22=TRUE()),--('Patent Portfolio'!T3:T22="Yes"))/COUNTIF('Bundle Assignment'!E3:E22,TRUE()),0))</f>
        <v>0.5</v>
      </c>
      <c r="H4" s="213" t="n">
        <f aca="false">IF(Configuration!$C$12="No","",IFERROR(SUMPRODUCT(--('Bundle Assignment'!E3:E22=TRUE()),--('Patent Portfolio'!H3:H22&gt;=2))/COUNTIF('Bundle Assignment'!E3:E22,TRUE()),0))</f>
        <v>0.333333333333333</v>
      </c>
      <c r="I4" s="210" t="n">
        <f aca="false">IF(Configuration!$C$12="No","",SUMPRODUCT(--('Bundle Assignment'!E3:E22=TRUE()),--('Patent Portfolio'!L3:L22=3)))</f>
        <v>1</v>
      </c>
      <c r="J4" s="131" t="str">
        <f aca="false">IF(Configuration!$C$12="No","",IF(C4&lt;2,"WEAK",IF(AND(C4&gt;=Configuration!$C$59,D4&gt;=Configuration!$C$60,E4&gt;=Configuration!$C$61),"STRONG","MODERATE")))</f>
        <v>MODERATE</v>
      </c>
      <c r="K4" s="214" t="str">
        <f aca="false">IF(Configuration!$C$12="No","",IF(Configuration!$C$63="No","",IFERROR(aggregate(5,6,'Patent Portfolio'!AC3:AC22/('Bundle Assignment'!E3:E22=TRUE())),"")))</f>
        <v/>
      </c>
      <c r="L4" s="213" t="n">
        <f aca="false">IF(Configuration!$C$12="No","",IF(Configuration!$C$64="No","",IFERROR(SUMPRODUCT(--('Bundle Assignment'!E3:E22=TRUE()),--('Patent Portfolio'!AD3:AD22&lt;=1))/COUNTIF('Bundle Assignment'!E3:E22,TRUE()),0)))</f>
        <v>0.25</v>
      </c>
      <c r="M4" s="213" t="n">
        <f aca="false">IF(Configuration!$C$12="No","",IF(Configuration!$C$65="No","",IFERROR(SUMPRODUCT(--('Bundle Assignment'!E3:E22=TRUE()),--('Patent Portfolio'!AK3:AK22&lt;&gt;"None"),--('Patent Portfolio'!AK3:AK22&lt;&gt;""))/COUNTIF('Bundle Assignment'!E3:E22,TRUE()),0)))</f>
        <v>0.583333333333333</v>
      </c>
      <c r="N4" s="213" t="n">
        <f aca="false">IF(Configuration!$C$12="No","",IF(Configuration!$C$66="No","",IFERROR(SUMPRODUCT(--('Bundle Assignment'!E3:E22=TRUE()),--('Patent Portfolio'!AI3:AI22="Survived"))/COUNTIF('Bundle Assignment'!E3:E22,TRUE()),0)))</f>
        <v>0.166666666666667</v>
      </c>
      <c r="O4" s="213" t="n">
        <f aca="false">IF(Configuration!$C$12="No","",IF(Configuration!$C$67="No","",IFERROR(SUMPRODUCT(--('Bundle Assignment'!E3:E22=TRUE()),--('Patent Portfolio'!T3:T22="Yes"))/COUNTIF('Bundle Assignment'!E3:E22,TRUE()),0)))</f>
        <v>0.5</v>
      </c>
    </row>
    <row r="5" customFormat="false" ht="15" hidden="false" customHeight="true" outlineLevel="0" collapsed="false">
      <c r="A5" s="198" t="n">
        <v>4</v>
      </c>
      <c r="B5" s="63" t="str">
        <f aca="false">IF(Configuration!$C$13="No","[DISABLED] Stack Layer","Stack Layer")</f>
        <v>Stack Layer</v>
      </c>
      <c r="C5" s="210" t="n">
        <f aca="false">IF(Configuration!$C$13="No","",COUNTIF('Bundle Assignment'!F3:F22,TRUE()))</f>
        <v>12</v>
      </c>
      <c r="D5" s="211" t="n">
        <f aca="false">IF(Configuration!$C$13="No","",IFERROR(SUMPRODUCT(--('Bundle Assignment'!F3:F22=TRUE()),('Patent Portfolio'!O3:O22+'Patent Portfolio'!P3:P22)/2)/COUNTIF('Bundle Assignment'!F3:F22,TRUE()),0))</f>
        <v>1.58333333333333</v>
      </c>
      <c r="E5" s="212" t="n">
        <f aca="false">IF(Configuration!$C$13="No","",IFERROR(SUMPRODUCT(--('Bundle Assignment'!F3:F22=TRUE()),'Patent Portfolio'!U3:U22)/COUNTIF('Bundle Assignment'!F3:F22,TRUE()),0))</f>
        <v>13.1666666666667</v>
      </c>
      <c r="F5" s="213" t="n">
        <f aca="false">IF(Configuration!$C$13="No","",IFERROR(SUMPRODUCT(--('Bundle Assignment'!F3:F22=TRUE()),--('Patent Portfolio'!X3:X22="Yes"))/COUNTIF('Bundle Assignment'!F3:F22,TRUE()),0))</f>
        <v>0.833333333333333</v>
      </c>
      <c r="G5" s="213" t="n">
        <f aca="false">IF(Configuration!$C$13="No","",IFERROR(SUMPRODUCT(--('Bundle Assignment'!F3:F22=TRUE()),--('Patent Portfolio'!T3:T22="Yes"))/COUNTIF('Bundle Assignment'!F3:F22,TRUE()),0))</f>
        <v>0.5</v>
      </c>
      <c r="H5" s="213" t="n">
        <f aca="false">IF(Configuration!$C$13="No","",IFERROR(SUMPRODUCT(--('Bundle Assignment'!F3:F22=TRUE()),--('Patent Portfolio'!H3:H22&gt;=2))/COUNTIF('Bundle Assignment'!F3:F22,TRUE()),0))</f>
        <v>0.333333333333333</v>
      </c>
      <c r="I5" s="210" t="n">
        <f aca="false">IF(Configuration!$C$13="No","",SUMPRODUCT(--('Bundle Assignment'!F3:F22=TRUE()),--('Patent Portfolio'!L3:L22=3)))</f>
        <v>1</v>
      </c>
      <c r="J5" s="131" t="str">
        <f aca="false">IF(Configuration!$C$13="No","",IF(C5&lt;2,"WEAK",IF(AND(C5&gt;=Configuration!$C$59,D5&gt;=Configuration!$C$60,E5&gt;=Configuration!$C$61),"STRONG","MODERATE")))</f>
        <v>MODERATE</v>
      </c>
      <c r="K5" s="214" t="str">
        <f aca="false">IF(Configuration!$C$13="No","",IF(Configuration!$C$63="No","",IFERROR(aggregate(5,6,'Patent Portfolio'!AC3:AC22/('Bundle Assignment'!F3:F22=TRUE())),"")))</f>
        <v/>
      </c>
      <c r="L5" s="213" t="n">
        <f aca="false">IF(Configuration!$C$13="No","",IF(Configuration!$C$64="No","",IFERROR(SUMPRODUCT(--('Bundle Assignment'!F3:F22=TRUE()),--('Patent Portfolio'!AD3:AD22&lt;=1))/COUNTIF('Bundle Assignment'!F3:F22,TRUE()),0)))</f>
        <v>0.25</v>
      </c>
      <c r="M5" s="213" t="n">
        <f aca="false">IF(Configuration!$C$13="No","",IF(Configuration!$C$65="No","",IFERROR(SUMPRODUCT(--('Bundle Assignment'!F3:F22=TRUE()),--('Patent Portfolio'!AK3:AK22&lt;&gt;"None"),--('Patent Portfolio'!AK3:AK22&lt;&gt;""))/COUNTIF('Bundle Assignment'!F3:F22,TRUE()),0)))</f>
        <v>0.583333333333333</v>
      </c>
      <c r="N5" s="213" t="n">
        <f aca="false">IF(Configuration!$C$13="No","",IF(Configuration!$C$66="No","",IFERROR(SUMPRODUCT(--('Bundle Assignment'!F3:F22=TRUE()),--('Patent Portfolio'!AI3:AI22="Survived"))/COUNTIF('Bundle Assignment'!F3:F22,TRUE()),0)))</f>
        <v>0.166666666666667</v>
      </c>
      <c r="O5" s="213" t="n">
        <f aca="false">IF(Configuration!$C$13="No","",IF(Configuration!$C$67="No","",IFERROR(SUMPRODUCT(--('Bundle Assignment'!F3:F22=TRUE()),--('Patent Portfolio'!T3:T22="Yes"))/COUNTIF('Bundle Assignment'!F3:F22,TRUE()),0)))</f>
        <v>0.5</v>
      </c>
    </row>
    <row r="6" customFormat="false" ht="15" hidden="false" customHeight="true" outlineLevel="0" collapsed="false">
      <c r="A6" s="198" t="n">
        <v>5</v>
      </c>
      <c r="B6" s="63" t="str">
        <f aca="false">IF(Configuration!$C$14="No","[DISABLED] Use-Case","Use-Case")</f>
        <v>Use-Case</v>
      </c>
      <c r="C6" s="210" t="n">
        <f aca="false">IF(Configuration!$C$14="No","",COUNTIF('Bundle Assignment'!G3:G22,TRUE()))</f>
        <v>12</v>
      </c>
      <c r="D6" s="211" t="n">
        <f aca="false">IF(Configuration!$C$14="No","",IFERROR(SUMPRODUCT(--('Bundle Assignment'!G3:G22=TRUE()),('Patent Portfolio'!O3:O22+'Patent Portfolio'!P3:P22)/2)/COUNTIF('Bundle Assignment'!G3:G22,TRUE()),0))</f>
        <v>1.58333333333333</v>
      </c>
      <c r="E6" s="212" t="n">
        <f aca="false">IF(Configuration!$C$14="No","",IFERROR(SUMPRODUCT(--('Bundle Assignment'!G3:G22=TRUE()),'Patent Portfolio'!U3:U22)/COUNTIF('Bundle Assignment'!G3:G22,TRUE()),0))</f>
        <v>13.1666666666667</v>
      </c>
      <c r="F6" s="213" t="n">
        <f aca="false">IF(Configuration!$C$14="No","",IFERROR(SUMPRODUCT(--('Bundle Assignment'!G3:G22=TRUE()),--('Patent Portfolio'!X3:X22="Yes"))/COUNTIF('Bundle Assignment'!G3:G22,TRUE()),0))</f>
        <v>0.833333333333333</v>
      </c>
      <c r="G6" s="213" t="n">
        <f aca="false">IF(Configuration!$C$14="No","",IFERROR(SUMPRODUCT(--('Bundle Assignment'!G3:G22=TRUE()),--('Patent Portfolio'!T3:T22="Yes"))/COUNTIF('Bundle Assignment'!G3:G22,TRUE()),0))</f>
        <v>0.5</v>
      </c>
      <c r="H6" s="213" t="n">
        <f aca="false">IF(Configuration!$C$14="No","",IFERROR(SUMPRODUCT(--('Bundle Assignment'!G3:G22=TRUE()),--('Patent Portfolio'!H3:H22&gt;=2))/COUNTIF('Bundle Assignment'!G3:G22,TRUE()),0))</f>
        <v>0.333333333333333</v>
      </c>
      <c r="I6" s="210" t="n">
        <f aca="false">IF(Configuration!$C$14="No","",SUMPRODUCT(--('Bundle Assignment'!G3:G22=TRUE()),--('Patent Portfolio'!L3:L22=3)))</f>
        <v>1</v>
      </c>
      <c r="J6" s="131" t="str">
        <f aca="false">IF(Configuration!$C$14="No","",IF(C6&lt;2,"WEAK",IF(AND(C6&gt;=Configuration!$C$59,D6&gt;=Configuration!$C$60,E6&gt;=Configuration!$C$61),"STRONG","MODERATE")))</f>
        <v>MODERATE</v>
      </c>
      <c r="K6" s="214" t="str">
        <f aca="false">IF(Configuration!$C$14="No","",IF(Configuration!$C$63="No","",IFERROR(aggregate(5,6,'Patent Portfolio'!AC3:AC22/('Bundle Assignment'!G3:G22=TRUE())),"")))</f>
        <v/>
      </c>
      <c r="L6" s="213" t="n">
        <f aca="false">IF(Configuration!$C$14="No","",IF(Configuration!$C$64="No","",IFERROR(SUMPRODUCT(--('Bundle Assignment'!G3:G22=TRUE()),--('Patent Portfolio'!AD3:AD22&lt;=1))/COUNTIF('Bundle Assignment'!G3:G22,TRUE()),0)))</f>
        <v>0.25</v>
      </c>
      <c r="M6" s="213" t="n">
        <f aca="false">IF(Configuration!$C$14="No","",IF(Configuration!$C$65="No","",IFERROR(SUMPRODUCT(--('Bundle Assignment'!G3:G22=TRUE()),--('Patent Portfolio'!AK3:AK22&lt;&gt;"None"),--('Patent Portfolio'!AK3:AK22&lt;&gt;""))/COUNTIF('Bundle Assignment'!G3:G22,TRUE()),0)))</f>
        <v>0.583333333333333</v>
      </c>
      <c r="N6" s="213" t="n">
        <f aca="false">IF(Configuration!$C$14="No","",IF(Configuration!$C$66="No","",IFERROR(SUMPRODUCT(--('Bundle Assignment'!G3:G22=TRUE()),--('Patent Portfolio'!AI3:AI22="Survived"))/COUNTIF('Bundle Assignment'!G3:G22,TRUE()),0)))</f>
        <v>0.166666666666667</v>
      </c>
      <c r="O6" s="213" t="n">
        <f aca="false">IF(Configuration!$C$14="No","",IF(Configuration!$C$67="No","",IFERROR(SUMPRODUCT(--('Bundle Assignment'!G3:G22=TRUE()),--('Patent Portfolio'!T3:T22="Yes"))/COUNTIF('Bundle Assignment'!G3:G22,TRUE()),0)))</f>
        <v>0.5</v>
      </c>
    </row>
    <row r="7" customFormat="false" ht="15" hidden="false" customHeight="true" outlineLevel="0" collapsed="false">
      <c r="A7" s="198" t="n">
        <v>6</v>
      </c>
      <c r="B7" s="63" t="str">
        <f aca="false">IF(Configuration!$C$15="No","[DISABLED] Manufacturing / Process","Manufacturing / Process")</f>
        <v>Manufacturing / Process</v>
      </c>
      <c r="C7" s="210" t="n">
        <f aca="false">IF(Configuration!$C$15="No","",COUNTIF('Bundle Assignment'!H3:H22,TRUE()))</f>
        <v>1</v>
      </c>
      <c r="D7" s="211" t="n">
        <f aca="false">IF(Configuration!$C$15="No","",IFERROR(SUMPRODUCT(--('Bundle Assignment'!H3:H22=TRUE()),('Patent Portfolio'!O3:O22+'Patent Portfolio'!P3:P22)/2)/COUNTIF('Bundle Assignment'!H3:H22,TRUE()),0))</f>
        <v>0.5</v>
      </c>
      <c r="E7" s="212" t="n">
        <f aca="false">IF(Configuration!$C$15="No","",IFERROR(SUMPRODUCT(--('Bundle Assignment'!H3:H22=TRUE()),'Patent Portfolio'!U3:U22)/COUNTIF('Bundle Assignment'!H3:H22,TRUE()),0))</f>
        <v>13</v>
      </c>
      <c r="F7" s="213" t="n">
        <f aca="false">IF(Configuration!$C$15="No","",IFERROR(SUMPRODUCT(--('Bundle Assignment'!H3:H22=TRUE()),--('Patent Portfolio'!X3:X22="Yes"))/COUNTIF('Bundle Assignment'!H3:H22,TRUE()),0))</f>
        <v>1</v>
      </c>
      <c r="G7" s="213" t="n">
        <f aca="false">IF(Configuration!$C$15="No","",IFERROR(SUMPRODUCT(--('Bundle Assignment'!H3:H22=TRUE()),--('Patent Portfolio'!T3:T22="Yes"))/COUNTIF('Bundle Assignment'!H3:H22,TRUE()),0))</f>
        <v>1</v>
      </c>
      <c r="H7" s="213" t="n">
        <f aca="false">IF(Configuration!$C$15="No","",IFERROR(SUMPRODUCT(--('Bundle Assignment'!H3:H22=TRUE()),--('Patent Portfolio'!H3:H22&gt;=2))/COUNTIF('Bundle Assignment'!H3:H22,TRUE()),0))</f>
        <v>0</v>
      </c>
      <c r="I7" s="210" t="n">
        <f aca="false">IF(Configuration!$C$15="No","",SUMPRODUCT(--('Bundle Assignment'!H3:H22=TRUE()),--('Patent Portfolio'!L3:L22=3)))</f>
        <v>0</v>
      </c>
      <c r="J7" s="131" t="str">
        <f aca="false">IF(Configuration!$C$15="No","",IF(C7&lt;2,"WEAK",IF(AND(C7&gt;=Configuration!$C$59,D7&gt;=Configuration!$C$60,E7&gt;=Configuration!$C$61),"STRONG","MODERATE")))</f>
        <v>WEAK</v>
      </c>
      <c r="K7" s="214" t="str">
        <f aca="false">IF(Configuration!$C$15="No","",IF(Configuration!$C$63="No","",IFERROR(aggregate(5,6,'Patent Portfolio'!AC3:AC22/('Bundle Assignment'!H3:H22=TRUE())),"")))</f>
        <v/>
      </c>
      <c r="L7" s="213" t="n">
        <f aca="false">IF(Configuration!$C$15="No","",IF(Configuration!$C$64="No","",IFERROR(SUMPRODUCT(--('Bundle Assignment'!H3:H22=TRUE()),--('Patent Portfolio'!AD3:AD22&lt;=1))/COUNTIF('Bundle Assignment'!H3:H22,TRUE()),0)))</f>
        <v>0</v>
      </c>
      <c r="M7" s="213" t="n">
        <f aca="false">IF(Configuration!$C$15="No","",IF(Configuration!$C$65="No","",IFERROR(SUMPRODUCT(--('Bundle Assignment'!H3:H22=TRUE()),--('Patent Portfolio'!AK3:AK22&lt;&gt;"None"),--('Patent Portfolio'!AK3:AK22&lt;&gt;""))/COUNTIF('Bundle Assignment'!H3:H22,TRUE()),0)))</f>
        <v>0</v>
      </c>
      <c r="N7" s="213" t="n">
        <f aca="false">IF(Configuration!$C$15="No","",IF(Configuration!$C$66="No","",IFERROR(SUMPRODUCT(--('Bundle Assignment'!H3:H22=TRUE()),--('Patent Portfolio'!AI3:AI22="Survived"))/COUNTIF('Bundle Assignment'!H3:H22,TRUE()),0)))</f>
        <v>0</v>
      </c>
      <c r="O7" s="213" t="n">
        <f aca="false">IF(Configuration!$C$15="No","",IF(Configuration!$C$67="No","",IFERROR(SUMPRODUCT(--('Bundle Assignment'!H3:H22=TRUE()),--('Patent Portfolio'!T3:T22="Yes"))/COUNTIF('Bundle Assignment'!H3:H22,TRUE()),0)))</f>
        <v>1</v>
      </c>
    </row>
    <row r="8" customFormat="false" ht="15" hidden="false" customHeight="true" outlineLevel="0" collapsed="false">
      <c r="A8" s="198" t="n">
        <v>7</v>
      </c>
      <c r="B8" s="63" t="str">
        <f aca="false">IF(Configuration!$C$16="No","[DISABLED] Materials &amp; Chemistry","Materials &amp; Chemistry")</f>
        <v>Materials &amp; Chemistry</v>
      </c>
      <c r="C8" s="210" t="n">
        <f aca="false">IF(Configuration!$C$16="No","",COUNTIF('Bundle Assignment'!I3:I22,TRUE()))</f>
        <v>1</v>
      </c>
      <c r="D8" s="211" t="n">
        <f aca="false">IF(Configuration!$C$16="No","",IFERROR(SUMPRODUCT(--('Bundle Assignment'!I3:I22=TRUE()),('Patent Portfolio'!O3:O22+'Patent Portfolio'!P3:P22)/2)/COUNTIF('Bundle Assignment'!I3:I22,TRUE()),0))</f>
        <v>1.5</v>
      </c>
      <c r="E8" s="212" t="n">
        <f aca="false">IF(Configuration!$C$16="No","",IFERROR(SUMPRODUCT(--('Bundle Assignment'!I3:I22=TRUE()),'Patent Portfolio'!U3:U22)/COUNTIF('Bundle Assignment'!I3:I22,TRUE()),0))</f>
        <v>17</v>
      </c>
      <c r="F8" s="213" t="n">
        <f aca="false">IF(Configuration!$C$16="No","",IFERROR(SUMPRODUCT(--('Bundle Assignment'!I3:I22=TRUE()),--('Patent Portfolio'!X3:X22="Yes"))/COUNTIF('Bundle Assignment'!I3:I22,TRUE()),0))</f>
        <v>1</v>
      </c>
      <c r="G8" s="213" t="n">
        <f aca="false">IF(Configuration!$C$16="No","",IFERROR(SUMPRODUCT(--('Bundle Assignment'!I3:I22=TRUE()),--('Patent Portfolio'!T3:T22="Yes"))/COUNTIF('Bundle Assignment'!I3:I22,TRUE()),0))</f>
        <v>1</v>
      </c>
      <c r="H8" s="213" t="n">
        <f aca="false">IF(Configuration!$C$16="No","",IFERROR(SUMPRODUCT(--('Bundle Assignment'!I3:I22=TRUE()),--('Patent Portfolio'!H3:H22&gt;=2))/COUNTIF('Bundle Assignment'!I3:I22,TRUE()),0))</f>
        <v>0</v>
      </c>
      <c r="I8" s="210" t="n">
        <f aca="false">IF(Configuration!$C$16="No","",SUMPRODUCT(--('Bundle Assignment'!I3:I22=TRUE()),--('Patent Portfolio'!L3:L22=3)))</f>
        <v>1</v>
      </c>
      <c r="J8" s="131" t="str">
        <f aca="false">IF(Configuration!$C$16="No","",IF(C8&lt;2,"WEAK",IF(AND(C8&gt;=Configuration!$C$59,D8&gt;=Configuration!$C$60,E8&gt;=Configuration!$C$61),"STRONG","MODERATE")))</f>
        <v>WEAK</v>
      </c>
      <c r="K8" s="214" t="str">
        <f aca="false">IF(Configuration!$C$16="No","",IF(Configuration!$C$63="No","",IFERROR(aggregate(5,6,'Patent Portfolio'!AC3:AC22/('Bundle Assignment'!I3:I22=TRUE())),"")))</f>
        <v/>
      </c>
      <c r="L8" s="213" t="n">
        <f aca="false">IF(Configuration!$C$16="No","",IF(Configuration!$C$64="No","",IFERROR(SUMPRODUCT(--('Bundle Assignment'!I3:I22=TRUE()),--('Patent Portfolio'!AD3:AD22&lt;=1))/COUNTIF('Bundle Assignment'!I3:I22,TRUE()),0)))</f>
        <v>0</v>
      </c>
      <c r="M8" s="213" t="n">
        <f aca="false">IF(Configuration!$C$16="No","",IF(Configuration!$C$65="No","",IFERROR(SUMPRODUCT(--('Bundle Assignment'!I3:I22=TRUE()),--('Patent Portfolio'!AK3:AK22&lt;&gt;"None"),--('Patent Portfolio'!AK3:AK22&lt;&gt;""))/COUNTIF('Bundle Assignment'!I3:I22,TRUE()),0)))</f>
        <v>1</v>
      </c>
      <c r="N8" s="213" t="n">
        <f aca="false">IF(Configuration!$C$16="No","",IF(Configuration!$C$66="No","",IFERROR(SUMPRODUCT(--('Bundle Assignment'!I3:I22=TRUE()),--('Patent Portfolio'!AI3:AI22="Survived"))/COUNTIF('Bundle Assignment'!I3:I22,TRUE()),0)))</f>
        <v>0</v>
      </c>
      <c r="O8" s="213" t="n">
        <f aca="false">IF(Configuration!$C$16="No","",IF(Configuration!$C$67="No","",IFERROR(SUMPRODUCT(--('Bundle Assignment'!I3:I22=TRUE()),--('Patent Portfolio'!T3:T22="Yes"))/COUNTIF('Bundle Assignment'!I3:I22,TRUE()),0)))</f>
        <v>1</v>
      </c>
    </row>
    <row r="9" customFormat="false" ht="15" hidden="false" customHeight="true" outlineLevel="0" collapsed="false">
      <c r="A9" s="198" t="n">
        <v>8</v>
      </c>
      <c r="B9" s="63" t="str">
        <f aca="false">IF(Configuration!$C$17="No","[DISABLED] Algorithm / Software","Algorithm / Software")</f>
        <v>Algorithm / Software</v>
      </c>
      <c r="C9" s="210" t="n">
        <f aca="false">IF(Configuration!$C$17="No","",COUNTIF('Bundle Assignment'!J3:J22,TRUE()))</f>
        <v>3</v>
      </c>
      <c r="D9" s="211" t="n">
        <f aca="false">IF(Configuration!$C$17="No","",IFERROR(SUMPRODUCT(--('Bundle Assignment'!J3:J22=TRUE()),('Patent Portfolio'!O3:O22+'Patent Portfolio'!P3:P22)/2)/COUNTIF('Bundle Assignment'!J3:J22,TRUE()),0))</f>
        <v>1.16666666666667</v>
      </c>
      <c r="E9" s="212" t="n">
        <f aca="false">IF(Configuration!$C$17="No","",IFERROR(SUMPRODUCT(--('Bundle Assignment'!J3:J22=TRUE()),'Patent Portfolio'!U3:U22)/COUNTIF('Bundle Assignment'!J3:J22,TRUE()),0))</f>
        <v>14</v>
      </c>
      <c r="F9" s="213" t="n">
        <f aca="false">IF(Configuration!$C$17="No","",IFERROR(SUMPRODUCT(--('Bundle Assignment'!J3:J22=TRUE()),--('Patent Portfolio'!X3:X22="Yes"))/COUNTIF('Bundle Assignment'!J3:J22,TRUE()),0))</f>
        <v>0.333333333333333</v>
      </c>
      <c r="G9" s="213" t="n">
        <f aca="false">IF(Configuration!$C$17="No","",IFERROR(SUMPRODUCT(--('Bundle Assignment'!J3:J22=TRUE()),--('Patent Portfolio'!T3:T22="Yes"))/COUNTIF('Bundle Assignment'!J3:J22,TRUE()),0))</f>
        <v>0.666666666666667</v>
      </c>
      <c r="H9" s="213" t="n">
        <f aca="false">IF(Configuration!$C$17="No","",IFERROR(SUMPRODUCT(--('Bundle Assignment'!J3:J22=TRUE()),--('Patent Portfolio'!H3:H22&gt;=2))/COUNTIF('Bundle Assignment'!J3:J22,TRUE()),0))</f>
        <v>0</v>
      </c>
      <c r="I9" s="210" t="n">
        <f aca="false">IF(Configuration!$C$17="No","",SUMPRODUCT(--('Bundle Assignment'!J3:J22=TRUE()),--('Patent Portfolio'!L3:L22=3)))</f>
        <v>0</v>
      </c>
      <c r="J9" s="131" t="str">
        <f aca="false">IF(Configuration!$C$17="No","",IF(C9&lt;2,"WEAK",IF(AND(C9&gt;=Configuration!$C$59,D9&gt;=Configuration!$C$60,E9&gt;=Configuration!$C$61),"STRONG","MODERATE")))</f>
        <v>MODERATE</v>
      </c>
      <c r="K9" s="214" t="str">
        <f aca="false">IF(Configuration!$C$17="No","",IF(Configuration!$C$63="No","",IFERROR(aggregate(5,6,'Patent Portfolio'!AC3:AC22/('Bundle Assignment'!J3:J22=TRUE())),"")))</f>
        <v/>
      </c>
      <c r="L9" s="213" t="n">
        <f aca="false">IF(Configuration!$C$17="No","",IF(Configuration!$C$64="No","",IFERROR(SUMPRODUCT(--('Bundle Assignment'!J3:J22=TRUE()),--('Patent Portfolio'!AD3:AD22&lt;=1))/COUNTIF('Bundle Assignment'!J3:J22,TRUE()),0)))</f>
        <v>1</v>
      </c>
      <c r="M9" s="213" t="n">
        <f aca="false">IF(Configuration!$C$17="No","",IF(Configuration!$C$65="No","",IFERROR(SUMPRODUCT(--('Bundle Assignment'!J3:J22=TRUE()),--('Patent Portfolio'!AK3:AK22&lt;&gt;"None"),--('Patent Portfolio'!AK3:AK22&lt;&gt;""))/COUNTIF('Bundle Assignment'!J3:J22,TRUE()),0)))</f>
        <v>0.333333333333333</v>
      </c>
      <c r="N9" s="213" t="n">
        <f aca="false">IF(Configuration!$C$17="No","",IF(Configuration!$C$66="No","",IFERROR(SUMPRODUCT(--('Bundle Assignment'!J3:J22=TRUE()),--('Patent Portfolio'!AI3:AI22="Survived"))/COUNTIF('Bundle Assignment'!J3:J22,TRUE()),0)))</f>
        <v>0</v>
      </c>
      <c r="O9" s="213" t="n">
        <f aca="false">IF(Configuration!$C$17="No","",IF(Configuration!$C$67="No","",IFERROR(SUMPRODUCT(--('Bundle Assignment'!J3:J22=TRUE()),--('Patent Portfolio'!T3:T22="Yes"))/COUNTIF('Bundle Assignment'!J3:J22,TRUE()),0)))</f>
        <v>0.666666666666667</v>
      </c>
    </row>
    <row r="10" customFormat="false" ht="15" hidden="false" customHeight="true" outlineLevel="0" collapsed="false">
      <c r="A10" s="198" t="n">
        <v>9</v>
      </c>
      <c r="B10" s="63" t="str">
        <f aca="false">IF(Configuration!$C$18="No","[DISABLED] Interoperability","Interoperability")</f>
        <v>Interoperability</v>
      </c>
      <c r="C10" s="210" t="n">
        <f aca="false">IF(Configuration!$C$18="No","",COUNTIF('Bundle Assignment'!K3:K22,TRUE()))</f>
        <v>4</v>
      </c>
      <c r="D10" s="211" t="n">
        <f aca="false">IF(Configuration!$C$18="No","",IFERROR(SUMPRODUCT(--('Bundle Assignment'!K3:K22=TRUE()),('Patent Portfolio'!O3:O22+'Patent Portfolio'!P3:P22)/2)/COUNTIF('Bundle Assignment'!K3:K22,TRUE()),0))</f>
        <v>2</v>
      </c>
      <c r="E10" s="212" t="n">
        <f aca="false">IF(Configuration!$C$18="No","",IFERROR(SUMPRODUCT(--('Bundle Assignment'!K3:K22=TRUE()),'Patent Portfolio'!U3:U22)/COUNTIF('Bundle Assignment'!K3:K22,TRUE()),0))</f>
        <v>13.25</v>
      </c>
      <c r="F10" s="213" t="n">
        <f aca="false">IF(Configuration!$C$18="No","",IFERROR(SUMPRODUCT(--('Bundle Assignment'!K3:K22=TRUE()),--('Patent Portfolio'!X3:X22="Yes"))/COUNTIF('Bundle Assignment'!K3:K22,TRUE()),0))</f>
        <v>1</v>
      </c>
      <c r="G10" s="213" t="n">
        <f aca="false">IF(Configuration!$C$18="No","",IFERROR(SUMPRODUCT(--('Bundle Assignment'!K3:K22=TRUE()),--('Patent Portfolio'!T3:T22="Yes"))/COUNTIF('Bundle Assignment'!K3:K22,TRUE()),0))</f>
        <v>0.5</v>
      </c>
      <c r="H10" s="213" t="n">
        <f aca="false">IF(Configuration!$C$18="No","",IFERROR(SUMPRODUCT(--('Bundle Assignment'!K3:K22=TRUE()),--('Patent Portfolio'!H3:H22&gt;=2))/COUNTIF('Bundle Assignment'!K3:K22,TRUE()),0))</f>
        <v>1</v>
      </c>
      <c r="I10" s="210" t="n">
        <f aca="false">IF(Configuration!$C$18="No","",SUMPRODUCT(--('Bundle Assignment'!K3:K22=TRUE()),--('Patent Portfolio'!L3:L22=3)))</f>
        <v>0</v>
      </c>
      <c r="J10" s="131" t="str">
        <f aca="false">IF(Configuration!$C$18="No","",IF(C10&lt;2,"WEAK",IF(AND(C10&gt;=Configuration!$C$59,D10&gt;=Configuration!$C$60,E10&gt;=Configuration!$C$61),"STRONG","MODERATE")))</f>
        <v>STRONG</v>
      </c>
      <c r="K10" s="214" t="str">
        <f aca="false">IF(Configuration!$C$18="No","",IF(Configuration!$C$63="No","",IFERROR(aggregate(5,6,'Patent Portfolio'!AC3:AC22/('Bundle Assignment'!K3:K22=TRUE())),"")))</f>
        <v/>
      </c>
      <c r="L10" s="213" t="n">
        <f aca="false">IF(Configuration!$C$18="No","",IF(Configuration!$C$64="No","",IFERROR(SUMPRODUCT(--('Bundle Assignment'!K3:K22=TRUE()),--('Patent Portfolio'!AD3:AD22&lt;=1))/COUNTIF('Bundle Assignment'!K3:K22,TRUE()),0)))</f>
        <v>0</v>
      </c>
      <c r="M10" s="213" t="n">
        <f aca="false">IF(Configuration!$C$18="No","",IF(Configuration!$C$65="No","",IFERROR(SUMPRODUCT(--('Bundle Assignment'!K3:K22=TRUE()),--('Patent Portfolio'!AK3:AK22&lt;&gt;"None"),--('Patent Portfolio'!AK3:AK22&lt;&gt;""))/COUNTIF('Bundle Assignment'!K3:K22,TRUE()),0)))</f>
        <v>0.75</v>
      </c>
      <c r="N10" s="213" t="n">
        <f aca="false">IF(Configuration!$C$18="No","",IF(Configuration!$C$66="No","",IFERROR(SUMPRODUCT(--('Bundle Assignment'!K3:K22=TRUE()),--('Patent Portfolio'!AI3:AI22="Survived"))/COUNTIF('Bundle Assignment'!K3:K22,TRUE()),0)))</f>
        <v>0.5</v>
      </c>
      <c r="O10" s="213" t="n">
        <f aca="false">IF(Configuration!$C$18="No","",IF(Configuration!$C$67="No","",IFERROR(SUMPRODUCT(--('Bundle Assignment'!K3:K22=TRUE()),--('Patent Portfolio'!T3:T22="Yes"))/COUNTIF('Bundle Assignment'!K3:K22,TRUE()),0)))</f>
        <v>0.5</v>
      </c>
    </row>
    <row r="11" customFormat="false" ht="15" hidden="false" customHeight="true" outlineLevel="0" collapsed="false">
      <c r="A11" s="198" t="n">
        <v>10</v>
      </c>
      <c r="B11" s="63" t="str">
        <f aca="false">IF(Configuration!$C$19="No","[DISABLED] Generational Roadmap","Generational Roadmap")</f>
        <v>Generational Roadmap</v>
      </c>
      <c r="C11" s="210" t="n">
        <f aca="false">IF(Configuration!$C$19="No","",COUNTIF('Bundle Assignment'!L3:L22,TRUE()))</f>
        <v>12</v>
      </c>
      <c r="D11" s="211" t="n">
        <f aca="false">IF(Configuration!$C$19="No","",IFERROR(SUMPRODUCT(--('Bundle Assignment'!L3:L22=TRUE()),('Patent Portfolio'!O3:O22+'Patent Portfolio'!P3:P22)/2)/COUNTIF('Bundle Assignment'!L3:L22,TRUE()),0))</f>
        <v>1.58333333333333</v>
      </c>
      <c r="E11" s="212" t="n">
        <f aca="false">IF(Configuration!$C$19="No","",IFERROR(SUMPRODUCT(--('Bundle Assignment'!L3:L22=TRUE()),'Patent Portfolio'!U3:U22)/COUNTIF('Bundle Assignment'!L3:L22,TRUE()),0))</f>
        <v>13.1666666666667</v>
      </c>
      <c r="F11" s="213" t="n">
        <f aca="false">IF(Configuration!$C$19="No","",IFERROR(SUMPRODUCT(--('Bundle Assignment'!L3:L22=TRUE()),--('Patent Portfolio'!X3:X22="Yes"))/COUNTIF('Bundle Assignment'!L3:L22,TRUE()),0))</f>
        <v>0.833333333333333</v>
      </c>
      <c r="G11" s="213" t="n">
        <f aca="false">IF(Configuration!$C$19="No","",IFERROR(SUMPRODUCT(--('Bundle Assignment'!L3:L22=TRUE()),--('Patent Portfolio'!T3:T22="Yes"))/COUNTIF('Bundle Assignment'!L3:L22,TRUE()),0))</f>
        <v>0.5</v>
      </c>
      <c r="H11" s="213" t="n">
        <f aca="false">IF(Configuration!$C$19="No","",IFERROR(SUMPRODUCT(--('Bundle Assignment'!L3:L22=TRUE()),--('Patent Portfolio'!H3:H22&gt;=2))/COUNTIF('Bundle Assignment'!L3:L22,TRUE()),0))</f>
        <v>0.333333333333333</v>
      </c>
      <c r="I11" s="210" t="n">
        <f aca="false">IF(Configuration!$C$19="No","",SUMPRODUCT(--('Bundle Assignment'!L3:L22=TRUE()),--('Patent Portfolio'!L3:L22=3)))</f>
        <v>1</v>
      </c>
      <c r="J11" s="131" t="str">
        <f aca="false">IF(Configuration!$C$19="No","",IF(C11&lt;2,"WEAK",IF(AND(C11&gt;=Configuration!$C$59,D11&gt;=Configuration!$C$60,E11&gt;=Configuration!$C$61),"STRONG","MODERATE")))</f>
        <v>MODERATE</v>
      </c>
      <c r="K11" s="214" t="str">
        <f aca="false">IF(Configuration!$C$19="No","",IF(Configuration!$C$63="No","",IFERROR(aggregate(5,6,'Patent Portfolio'!AC3:AC22/('Bundle Assignment'!L3:L22=TRUE())),"")))</f>
        <v/>
      </c>
      <c r="L11" s="213" t="n">
        <f aca="false">IF(Configuration!$C$19="No","",IF(Configuration!$C$64="No","",IFERROR(SUMPRODUCT(--('Bundle Assignment'!L3:L22=TRUE()),--('Patent Portfolio'!AD3:AD22&lt;=1))/COUNTIF('Bundle Assignment'!L3:L22,TRUE()),0)))</f>
        <v>0.25</v>
      </c>
      <c r="M11" s="213" t="n">
        <f aca="false">IF(Configuration!$C$19="No","",IF(Configuration!$C$65="No","",IFERROR(SUMPRODUCT(--('Bundle Assignment'!L3:L22=TRUE()),--('Patent Portfolio'!AK3:AK22&lt;&gt;"None"),--('Patent Portfolio'!AK3:AK22&lt;&gt;""))/COUNTIF('Bundle Assignment'!L3:L22,TRUE()),0)))</f>
        <v>0.583333333333333</v>
      </c>
      <c r="N11" s="213" t="n">
        <f aca="false">IF(Configuration!$C$19="No","",IF(Configuration!$C$66="No","",IFERROR(SUMPRODUCT(--('Bundle Assignment'!L3:L22=TRUE()),--('Patent Portfolio'!AI3:AI22="Survived"))/COUNTIF('Bundle Assignment'!L3:L22,TRUE()),0)))</f>
        <v>0.166666666666667</v>
      </c>
      <c r="O11" s="213" t="n">
        <f aca="false">IF(Configuration!$C$19="No","",IF(Configuration!$C$67="No","",IFERROR(SUMPRODUCT(--('Bundle Assignment'!L3:L22=TRUE()),--('Patent Portfolio'!T3:T22="Yes"))/COUNTIF('Bundle Assignment'!L3:L22,TRUE()),0)))</f>
        <v>0.5</v>
      </c>
    </row>
    <row r="12" customFormat="false" ht="15" hidden="false" customHeight="true" outlineLevel="0" collapsed="false">
      <c r="A12" s="198" t="n">
        <v>11</v>
      </c>
      <c r="B12" s="63" t="str">
        <f aca="false">IF(Configuration!$C$20="No","[DISABLED] Claim-Type","Claim-Type")</f>
        <v>Claim-Type</v>
      </c>
      <c r="C12" s="210" t="n">
        <f aca="false">IF(Configuration!$C$20="No","",COUNTIF('Bundle Assignment'!M3:M22,TRUE()))</f>
        <v>12</v>
      </c>
      <c r="D12" s="211" t="n">
        <f aca="false">IF(Configuration!$C$20="No","",IFERROR(SUMPRODUCT(--('Bundle Assignment'!M3:M22=TRUE()),('Patent Portfolio'!O3:O22+'Patent Portfolio'!P3:P22)/2)/COUNTIF('Bundle Assignment'!M3:M22,TRUE()),0))</f>
        <v>1.58333333333333</v>
      </c>
      <c r="E12" s="212" t="n">
        <f aca="false">IF(Configuration!$C$20="No","",IFERROR(SUMPRODUCT(--('Bundle Assignment'!M3:M22=TRUE()),'Patent Portfolio'!U3:U22)/COUNTIF('Bundle Assignment'!M3:M22,TRUE()),0))</f>
        <v>13.1666666666667</v>
      </c>
      <c r="F12" s="213" t="n">
        <f aca="false">IF(Configuration!$C$20="No","",IFERROR(SUMPRODUCT(--('Bundle Assignment'!M3:M22=TRUE()),--('Patent Portfolio'!X3:X22="Yes"))/COUNTIF('Bundle Assignment'!M3:M22,TRUE()),0))</f>
        <v>0.833333333333333</v>
      </c>
      <c r="G12" s="213" t="n">
        <f aca="false">IF(Configuration!$C$20="No","",IFERROR(SUMPRODUCT(--('Bundle Assignment'!M3:M22=TRUE()),--('Patent Portfolio'!T3:T22="Yes"))/COUNTIF('Bundle Assignment'!M3:M22,TRUE()),0))</f>
        <v>0.5</v>
      </c>
      <c r="H12" s="213" t="n">
        <f aca="false">IF(Configuration!$C$20="No","",IFERROR(SUMPRODUCT(--('Bundle Assignment'!M3:M22=TRUE()),--('Patent Portfolio'!H3:H22&gt;=2))/COUNTIF('Bundle Assignment'!M3:M22,TRUE()),0))</f>
        <v>0.333333333333333</v>
      </c>
      <c r="I12" s="210" t="n">
        <f aca="false">IF(Configuration!$C$20="No","",SUMPRODUCT(--('Bundle Assignment'!M3:M22=TRUE()),--('Patent Portfolio'!L3:L22=3)))</f>
        <v>1</v>
      </c>
      <c r="J12" s="131" t="str">
        <f aca="false">IF(Configuration!$C$20="No","",IF(C12&lt;2,"WEAK",IF(AND(C12&gt;=Configuration!$C$59,D12&gt;=Configuration!$C$60,E12&gt;=Configuration!$C$61),"STRONG","MODERATE")))</f>
        <v>MODERATE</v>
      </c>
      <c r="K12" s="214" t="str">
        <f aca="false">IF(Configuration!$C$20="No","",IF(Configuration!$C$63="No","",IFERROR(aggregate(5,6,'Patent Portfolio'!AC3:AC22/('Bundle Assignment'!M3:M22=TRUE())),"")))</f>
        <v/>
      </c>
      <c r="L12" s="213" t="n">
        <f aca="false">IF(Configuration!$C$20="No","",IF(Configuration!$C$64="No","",IFERROR(SUMPRODUCT(--('Bundle Assignment'!M3:M22=TRUE()),--('Patent Portfolio'!AD3:AD22&lt;=1))/COUNTIF('Bundle Assignment'!M3:M22,TRUE()),0)))</f>
        <v>0.25</v>
      </c>
      <c r="M12" s="213" t="n">
        <f aca="false">IF(Configuration!$C$20="No","",IF(Configuration!$C$65="No","",IFERROR(SUMPRODUCT(--('Bundle Assignment'!M3:M22=TRUE()),--('Patent Portfolio'!AK3:AK22&lt;&gt;"None"),--('Patent Portfolio'!AK3:AK22&lt;&gt;""))/COUNTIF('Bundle Assignment'!M3:M22,TRUE()),0)))</f>
        <v>0.583333333333333</v>
      </c>
      <c r="N12" s="213" t="n">
        <f aca="false">IF(Configuration!$C$20="No","",IF(Configuration!$C$66="No","",IFERROR(SUMPRODUCT(--('Bundle Assignment'!M3:M22=TRUE()),--('Patent Portfolio'!AI3:AI22="Survived"))/COUNTIF('Bundle Assignment'!M3:M22,TRUE()),0)))</f>
        <v>0.166666666666667</v>
      </c>
      <c r="O12" s="213" t="n">
        <f aca="false">IF(Configuration!$C$20="No","",IF(Configuration!$C$67="No","",IFERROR(SUMPRODUCT(--('Bundle Assignment'!M3:M22=TRUE()),--('Patent Portfolio'!T3:T22="Yes"))/COUNTIF('Bundle Assignment'!M3:M22,TRUE()),0)))</f>
        <v>0.5</v>
      </c>
    </row>
    <row r="13" customFormat="false" ht="15" hidden="false" customHeight="true" outlineLevel="0" collapsed="false">
      <c r="A13" s="198" t="n">
        <v>12</v>
      </c>
      <c r="B13" s="63" t="str">
        <f aca="false">IF(Configuration!$C$21="No","[DISABLED] Detectability","Detectability")</f>
        <v>Detectability</v>
      </c>
      <c r="C13" s="210" t="n">
        <f aca="false">IF(Configuration!$C$21="No","",COUNTIF('Bundle Assignment'!N3:N22,TRUE()))</f>
        <v>11</v>
      </c>
      <c r="D13" s="211" t="n">
        <f aca="false">IF(Configuration!$C$21="No","",IFERROR(SUMPRODUCT(--('Bundle Assignment'!N3:N22=TRUE()),('Patent Portfolio'!O3:O22+'Patent Portfolio'!P3:P22)/2)/COUNTIF('Bundle Assignment'!N3:N22,TRUE()),0))</f>
        <v>1.68181818181818</v>
      </c>
      <c r="E13" s="212" t="n">
        <f aca="false">IF(Configuration!$C$21="No","",IFERROR(SUMPRODUCT(--('Bundle Assignment'!N3:N22=TRUE()),'Patent Portfolio'!U3:U22)/COUNTIF('Bundle Assignment'!N3:N22,TRUE()),0))</f>
        <v>13.1818181818182</v>
      </c>
      <c r="F13" s="213" t="n">
        <f aca="false">IF(Configuration!$C$21="No","",IFERROR(SUMPRODUCT(--('Bundle Assignment'!N3:N22=TRUE()),--('Patent Portfolio'!X3:X22="Yes"))/COUNTIF('Bundle Assignment'!N3:N22,TRUE()),0))</f>
        <v>0.818181818181818</v>
      </c>
      <c r="G13" s="213" t="n">
        <f aca="false">IF(Configuration!$C$21="No","",IFERROR(SUMPRODUCT(--('Bundle Assignment'!N3:N22=TRUE()),--('Patent Portfolio'!T3:T22="Yes"))/COUNTIF('Bundle Assignment'!N3:N22,TRUE()),0))</f>
        <v>0.454545454545455</v>
      </c>
      <c r="H13" s="213" t="n">
        <f aca="false">IF(Configuration!$C$21="No","",IFERROR(SUMPRODUCT(--('Bundle Assignment'!N3:N22=TRUE()),--('Patent Portfolio'!H3:H22&gt;=2))/COUNTIF('Bundle Assignment'!N3:N22,TRUE()),0))</f>
        <v>0.363636363636364</v>
      </c>
      <c r="I13" s="210" t="n">
        <f aca="false">IF(Configuration!$C$21="No","",SUMPRODUCT(--('Bundle Assignment'!N3:N22=TRUE()),--('Patent Portfolio'!L3:L22=3)))</f>
        <v>1</v>
      </c>
      <c r="J13" s="131" t="str">
        <f aca="false">IF(Configuration!$C$21="No","",IF(C13&lt;2,"WEAK",IF(AND(C13&gt;=Configuration!$C$59,D13&gt;=Configuration!$C$60,E13&gt;=Configuration!$C$61),"STRONG","MODERATE")))</f>
        <v>MODERATE</v>
      </c>
      <c r="K13" s="214" t="str">
        <f aca="false">IF(Configuration!$C$21="No","",IF(Configuration!$C$63="No","",IFERROR(aggregate(5,6,'Patent Portfolio'!AC3:AC22/('Bundle Assignment'!N3:N22=TRUE())),"")))</f>
        <v/>
      </c>
      <c r="L13" s="213" t="n">
        <f aca="false">IF(Configuration!$C$21="No","",IF(Configuration!$C$64="No","",IFERROR(SUMPRODUCT(--('Bundle Assignment'!N3:N22=TRUE()),--('Patent Portfolio'!AD3:AD22&lt;=1))/COUNTIF('Bundle Assignment'!N3:N22,TRUE()),0)))</f>
        <v>0.272727272727273</v>
      </c>
      <c r="M13" s="213" t="n">
        <f aca="false">IF(Configuration!$C$21="No","",IF(Configuration!$C$65="No","",IFERROR(SUMPRODUCT(--('Bundle Assignment'!N3:N22=TRUE()),--('Patent Portfolio'!AK3:AK22&lt;&gt;"None"),--('Patent Portfolio'!AK3:AK22&lt;&gt;""))/COUNTIF('Bundle Assignment'!N3:N22,TRUE()),0)))</f>
        <v>0.636363636363636</v>
      </c>
      <c r="N13" s="213" t="n">
        <f aca="false">IF(Configuration!$C$21="No","",IF(Configuration!$C$66="No","",IFERROR(SUMPRODUCT(--('Bundle Assignment'!N3:N22=TRUE()),--('Patent Portfolio'!AI3:AI22="Survived"))/COUNTIF('Bundle Assignment'!N3:N22,TRUE()),0)))</f>
        <v>0.181818181818182</v>
      </c>
      <c r="O13" s="213" t="n">
        <f aca="false">IF(Configuration!$C$21="No","",IF(Configuration!$C$67="No","",IFERROR(SUMPRODUCT(--('Bundle Assignment'!N3:N22=TRUE()),--('Patent Portfolio'!T3:T22="Yes"))/COUNTIF('Bundle Assignment'!N3:N22,TRUE()),0)))</f>
        <v>0.454545454545455</v>
      </c>
    </row>
    <row r="14" customFormat="false" ht="15" hidden="false" customHeight="true" outlineLevel="0" collapsed="false">
      <c r="A14" s="198" t="n">
        <v>13</v>
      </c>
      <c r="B14" s="63" t="str">
        <f aca="false">IF(Configuration!$C$22="No","[DISABLED] Geographic","Geographic")</f>
        <v>Geographic</v>
      </c>
      <c r="C14" s="210" t="n">
        <f aca="false">IF(Configuration!$C$22="No","",COUNTIF('Bundle Assignment'!O3:O22,TRUE()))</f>
        <v>10</v>
      </c>
      <c r="D14" s="211" t="n">
        <f aca="false">IF(Configuration!$C$22="No","",IFERROR(SUMPRODUCT(--('Bundle Assignment'!O3:O22=TRUE()),('Patent Portfolio'!O3:O22+'Patent Portfolio'!P3:P22)/2)/COUNTIF('Bundle Assignment'!O3:O22,TRUE()),0))</f>
        <v>1.7</v>
      </c>
      <c r="E14" s="212" t="n">
        <f aca="false">IF(Configuration!$C$22="No","",IFERROR(SUMPRODUCT(--('Bundle Assignment'!O3:O22=TRUE()),'Patent Portfolio'!U3:U22)/COUNTIF('Bundle Assignment'!O3:O22,TRUE()),0))</f>
        <v>13.1</v>
      </c>
      <c r="F14" s="213" t="n">
        <f aca="false">IF(Configuration!$C$22="No","",IFERROR(SUMPRODUCT(--('Bundle Assignment'!O3:O22=TRUE()),--('Patent Portfolio'!X3:X22="Yes"))/COUNTIF('Bundle Assignment'!O3:O22,TRUE()),0))</f>
        <v>1</v>
      </c>
      <c r="G14" s="213" t="n">
        <f aca="false">IF(Configuration!$C$22="No","",IFERROR(SUMPRODUCT(--('Bundle Assignment'!O3:O22=TRUE()),--('Patent Portfolio'!T3:T22="Yes"))/COUNTIF('Bundle Assignment'!O3:O22,TRUE()),0))</f>
        <v>0.5</v>
      </c>
      <c r="H14" s="213" t="n">
        <f aca="false">IF(Configuration!$C$22="No","",IFERROR(SUMPRODUCT(--('Bundle Assignment'!O3:O22=TRUE()),--('Patent Portfolio'!H3:H22&gt;=2))/COUNTIF('Bundle Assignment'!O3:O22,TRUE()),0))</f>
        <v>0.4</v>
      </c>
      <c r="I14" s="210" t="n">
        <f aca="false">IF(Configuration!$C$22="No","",SUMPRODUCT(--('Bundle Assignment'!O3:O22=TRUE()),--('Patent Portfolio'!L3:L22=3)))</f>
        <v>1</v>
      </c>
      <c r="J14" s="131" t="str">
        <f aca="false">IF(Configuration!$C$22="No","",IF(C14&lt;2,"WEAK",IF(AND(C14&gt;=Configuration!$C$59,D14&gt;=Configuration!$C$60,E14&gt;=Configuration!$C$61),"STRONG","MODERATE")))</f>
        <v>MODERATE</v>
      </c>
      <c r="K14" s="214" t="str">
        <f aca="false">IF(Configuration!$C$22="No","",IF(Configuration!$C$63="No","",IFERROR(aggregate(5,6,'Patent Portfolio'!AC3:AC22/('Bundle Assignment'!O3:O22=TRUE())),"")))</f>
        <v/>
      </c>
      <c r="L14" s="213" t="n">
        <f aca="false">IF(Configuration!$C$22="No","",IF(Configuration!$C$64="No","",IFERROR(SUMPRODUCT(--('Bundle Assignment'!O3:O22=TRUE()),--('Patent Portfolio'!AD3:AD22&lt;=1))/COUNTIF('Bundle Assignment'!O3:O22,TRUE()),0)))</f>
        <v>0.1</v>
      </c>
      <c r="M14" s="213" t="n">
        <f aca="false">IF(Configuration!$C$22="No","",IF(Configuration!$C$65="No","",IFERROR(SUMPRODUCT(--('Bundle Assignment'!O3:O22=TRUE()),--('Patent Portfolio'!AK3:AK22&lt;&gt;"None"),--('Patent Portfolio'!AK3:AK22&lt;&gt;""))/COUNTIF('Bundle Assignment'!O3:O22,TRUE()),0)))</f>
        <v>0.7</v>
      </c>
      <c r="N14" s="213" t="n">
        <f aca="false">IF(Configuration!$C$22="No","",IF(Configuration!$C$66="No","",IFERROR(SUMPRODUCT(--('Bundle Assignment'!O3:O22=TRUE()),--('Patent Portfolio'!AI3:AI22="Survived"))/COUNTIF('Bundle Assignment'!O3:O22,TRUE()),0)))</f>
        <v>0.2</v>
      </c>
      <c r="O14" s="213" t="n">
        <f aca="false">IF(Configuration!$C$22="No","",IF(Configuration!$C$67="No","",IFERROR(SUMPRODUCT(--('Bundle Assignment'!O3:O22=TRUE()),--('Patent Portfolio'!T3:T22="Yes"))/COUNTIF('Bundle Assignment'!O3:O22,TRUE()),0)))</f>
        <v>0.5</v>
      </c>
    </row>
    <row r="15" customFormat="false" ht="15" hidden="false" customHeight="true" outlineLevel="0" collapsed="false">
      <c r="A15" s="198" t="n">
        <v>14</v>
      </c>
      <c r="B15" s="63" t="str">
        <f aca="false">IF(Configuration!$C$23="No","[DISABLED] Family-Tree","Family-Tree")</f>
        <v>Family-Tree</v>
      </c>
      <c r="C15" s="210" t="n">
        <f aca="false">IF(Configuration!$C$23="No","",COUNTIF('Bundle Assignment'!P3:P22,TRUE()))</f>
        <v>12</v>
      </c>
      <c r="D15" s="211" t="n">
        <f aca="false">IF(Configuration!$C$23="No","",IFERROR(SUMPRODUCT(--('Bundle Assignment'!P3:P22=TRUE()),('Patent Portfolio'!O3:O22+'Patent Portfolio'!P3:P22)/2)/COUNTIF('Bundle Assignment'!P3:P22,TRUE()),0))</f>
        <v>1.58333333333333</v>
      </c>
      <c r="E15" s="212" t="n">
        <f aca="false">IF(Configuration!$C$23="No","",IFERROR(SUMPRODUCT(--('Bundle Assignment'!P3:P22=TRUE()),'Patent Portfolio'!U3:U22)/COUNTIF('Bundle Assignment'!P3:P22,TRUE()),0))</f>
        <v>13.1666666666667</v>
      </c>
      <c r="F15" s="213" t="n">
        <f aca="false">IF(Configuration!$C$23="No","",IFERROR(SUMPRODUCT(--('Bundle Assignment'!P3:P22=TRUE()),--('Patent Portfolio'!X3:X22="Yes"))/COUNTIF('Bundle Assignment'!P3:P22,TRUE()),0))</f>
        <v>0.833333333333333</v>
      </c>
      <c r="G15" s="213" t="n">
        <f aca="false">IF(Configuration!$C$23="No","",IFERROR(SUMPRODUCT(--('Bundle Assignment'!P3:P22=TRUE()),--('Patent Portfolio'!T3:T22="Yes"))/COUNTIF('Bundle Assignment'!P3:P22,TRUE()),0))</f>
        <v>0.5</v>
      </c>
      <c r="H15" s="213" t="n">
        <f aca="false">IF(Configuration!$C$23="No","",IFERROR(SUMPRODUCT(--('Bundle Assignment'!P3:P22=TRUE()),--('Patent Portfolio'!H3:H22&gt;=2))/COUNTIF('Bundle Assignment'!P3:P22,TRUE()),0))</f>
        <v>0.333333333333333</v>
      </c>
      <c r="I15" s="210" t="n">
        <f aca="false">IF(Configuration!$C$23="No","",SUMPRODUCT(--('Bundle Assignment'!P3:P22=TRUE()),--('Patent Portfolio'!L3:L22=3)))</f>
        <v>1</v>
      </c>
      <c r="J15" s="131" t="str">
        <f aca="false">IF(Configuration!$C$23="No","",IF(C15&lt;2,"WEAK",IF(AND(C15&gt;=Configuration!$C$59,D15&gt;=Configuration!$C$60,E15&gt;=Configuration!$C$61),"STRONG","MODERATE")))</f>
        <v>MODERATE</v>
      </c>
      <c r="K15" s="214" t="str">
        <f aca="false">IF(Configuration!$C$23="No","",IF(Configuration!$C$63="No","",IFERROR(aggregate(5,6,'Patent Portfolio'!AC3:AC22/('Bundle Assignment'!P3:P22=TRUE())),"")))</f>
        <v/>
      </c>
      <c r="L15" s="213" t="n">
        <f aca="false">IF(Configuration!$C$23="No","",IF(Configuration!$C$64="No","",IFERROR(SUMPRODUCT(--('Bundle Assignment'!P3:P22=TRUE()),--('Patent Portfolio'!AD3:AD22&lt;=1))/COUNTIF('Bundle Assignment'!P3:P22,TRUE()),0)))</f>
        <v>0.25</v>
      </c>
      <c r="M15" s="213" t="n">
        <f aca="false">IF(Configuration!$C$23="No","",IF(Configuration!$C$65="No","",IFERROR(SUMPRODUCT(--('Bundle Assignment'!P3:P22=TRUE()),--('Patent Portfolio'!AK3:AK22&lt;&gt;"None"),--('Patent Portfolio'!AK3:AK22&lt;&gt;""))/COUNTIF('Bundle Assignment'!P3:P22,TRUE()),0)))</f>
        <v>0.583333333333333</v>
      </c>
      <c r="N15" s="213" t="n">
        <f aca="false">IF(Configuration!$C$23="No","",IF(Configuration!$C$66="No","",IFERROR(SUMPRODUCT(--('Bundle Assignment'!P3:P22=TRUE()),--('Patent Portfolio'!AI3:AI22="Survived"))/COUNTIF('Bundle Assignment'!P3:P22,TRUE()),0)))</f>
        <v>0.166666666666667</v>
      </c>
      <c r="O15" s="213" t="n">
        <f aca="false">IF(Configuration!$C$23="No","",IF(Configuration!$C$67="No","",IFERROR(SUMPRODUCT(--('Bundle Assignment'!P3:P22=TRUE()),--('Patent Portfolio'!T3:T22="Yes"))/COUNTIF('Bundle Assignment'!P3:P22,TRUE()),0)))</f>
        <v>0.5</v>
      </c>
    </row>
    <row r="16" customFormat="false" ht="15" hidden="false" customHeight="true" outlineLevel="0" collapsed="false">
      <c r="A16" s="198" t="n">
        <v>15</v>
      </c>
      <c r="B16" s="63" t="str">
        <f aca="false">IF(Configuration!$C$24="No","[DISABLED] Lifecycle / Term","Lifecycle / Term")</f>
        <v>Lifecycle / Term</v>
      </c>
      <c r="C16" s="210" t="n">
        <f aca="false">IF(Configuration!$C$24="No","",COUNTIF('Bundle Assignment'!Q3:Q22,TRUE()))</f>
        <v>12</v>
      </c>
      <c r="D16" s="211" t="n">
        <f aca="false">IF(Configuration!$C$24="No","",IFERROR(SUMPRODUCT(--('Bundle Assignment'!Q3:Q22=TRUE()),('Patent Portfolio'!O3:O22+'Patent Portfolio'!P3:P22)/2)/COUNTIF('Bundle Assignment'!Q3:Q22,TRUE()),0))</f>
        <v>1.58333333333333</v>
      </c>
      <c r="E16" s="212" t="n">
        <f aca="false">IF(Configuration!$C$24="No","",IFERROR(SUMPRODUCT(--('Bundle Assignment'!Q3:Q22=TRUE()),'Patent Portfolio'!U3:U22)/COUNTIF('Bundle Assignment'!Q3:Q22,TRUE()),0))</f>
        <v>13.1666666666667</v>
      </c>
      <c r="F16" s="213" t="n">
        <f aca="false">IF(Configuration!$C$24="No","",IFERROR(SUMPRODUCT(--('Bundle Assignment'!Q3:Q22=TRUE()),--('Patent Portfolio'!X3:X22="Yes"))/COUNTIF('Bundle Assignment'!Q3:Q22,TRUE()),0))</f>
        <v>0.833333333333333</v>
      </c>
      <c r="G16" s="213" t="n">
        <f aca="false">IF(Configuration!$C$24="No","",IFERROR(SUMPRODUCT(--('Bundle Assignment'!Q3:Q22=TRUE()),--('Patent Portfolio'!T3:T22="Yes"))/COUNTIF('Bundle Assignment'!Q3:Q22,TRUE()),0))</f>
        <v>0.5</v>
      </c>
      <c r="H16" s="213" t="n">
        <f aca="false">IF(Configuration!$C$24="No","",IFERROR(SUMPRODUCT(--('Bundle Assignment'!Q3:Q22=TRUE()),--('Patent Portfolio'!H3:H22&gt;=2))/COUNTIF('Bundle Assignment'!Q3:Q22,TRUE()),0))</f>
        <v>0.333333333333333</v>
      </c>
      <c r="I16" s="210" t="n">
        <f aca="false">IF(Configuration!$C$24="No","",SUMPRODUCT(--('Bundle Assignment'!Q3:Q22=TRUE()),--('Patent Portfolio'!L3:L22=3)))</f>
        <v>1</v>
      </c>
      <c r="J16" s="131" t="str">
        <f aca="false">IF(Configuration!$C$24="No","",IF(C16&lt;2,"WEAK",IF(AND(C16&gt;=Configuration!$C$59,D16&gt;=Configuration!$C$60,E16&gt;=Configuration!$C$61),"STRONG","MODERATE")))</f>
        <v>MODERATE</v>
      </c>
      <c r="K16" s="214" t="str">
        <f aca="false">IF(Configuration!$C$24="No","",IF(Configuration!$C$63="No","",IFERROR(aggregate(5,6,'Patent Portfolio'!AC3:AC22/('Bundle Assignment'!Q3:Q22=TRUE())),"")))</f>
        <v/>
      </c>
      <c r="L16" s="213" t="n">
        <f aca="false">IF(Configuration!$C$24="No","",IF(Configuration!$C$64="No","",IFERROR(SUMPRODUCT(--('Bundle Assignment'!Q3:Q22=TRUE()),--('Patent Portfolio'!AD3:AD22&lt;=1))/COUNTIF('Bundle Assignment'!Q3:Q22,TRUE()),0)))</f>
        <v>0.25</v>
      </c>
      <c r="M16" s="213" t="n">
        <f aca="false">IF(Configuration!$C$24="No","",IF(Configuration!$C$65="No","",IFERROR(SUMPRODUCT(--('Bundle Assignment'!Q3:Q22=TRUE()),--('Patent Portfolio'!AK3:AK22&lt;&gt;"None"),--('Patent Portfolio'!AK3:AK22&lt;&gt;""))/COUNTIF('Bundle Assignment'!Q3:Q22,TRUE()),0)))</f>
        <v>0.583333333333333</v>
      </c>
      <c r="N16" s="213" t="n">
        <f aca="false">IF(Configuration!$C$24="No","",IF(Configuration!$C$66="No","",IFERROR(SUMPRODUCT(--('Bundle Assignment'!Q3:Q22=TRUE()),--('Patent Portfolio'!AI3:AI22="Survived"))/COUNTIF('Bundle Assignment'!Q3:Q22,TRUE()),0)))</f>
        <v>0.166666666666667</v>
      </c>
      <c r="O16" s="213" t="n">
        <f aca="false">IF(Configuration!$C$24="No","",IF(Configuration!$C$67="No","",IFERROR(SUMPRODUCT(--('Bundle Assignment'!Q3:Q22=TRUE()),--('Patent Portfolio'!T3:T22="Yes"))/COUNTIF('Bundle Assignment'!Q3:Q22,TRUE()),0)))</f>
        <v>0.5</v>
      </c>
    </row>
    <row r="17" customFormat="false" ht="15" hidden="false" customHeight="true" outlineLevel="0" collapsed="false">
      <c r="A17" s="198" t="n">
        <v>16</v>
      </c>
      <c r="B17" s="63" t="str">
        <f aca="false">IF(Configuration!$C$25="No","[DISABLED] Foundational + Improvement","Foundational + Improvement")</f>
        <v>Foundational + Improvement</v>
      </c>
      <c r="C17" s="210" t="n">
        <f aca="false">IF(Configuration!$C$25="No","",COUNTIF('Bundle Assignment'!R3:R22,TRUE()))</f>
        <v>13</v>
      </c>
      <c r="D17" s="211" t="n">
        <f aca="false">IF(Configuration!$C$25="No","",IFERROR(SUMPRODUCT(--('Bundle Assignment'!R3:R22=TRUE()),('Patent Portfolio'!O3:O22+'Patent Portfolio'!P3:P22)/2)/COUNTIF('Bundle Assignment'!R3:R22,TRUE()),0))</f>
        <v>0.615384615384615</v>
      </c>
      <c r="E17" s="212" t="n">
        <f aca="false">IF(Configuration!$C$25="No","",IFERROR(SUMPRODUCT(--('Bundle Assignment'!R3:R22=TRUE()),'Patent Portfolio'!U3:U22)/COUNTIF('Bundle Assignment'!R3:R22,TRUE()),0))</f>
        <v>5.38461538461539</v>
      </c>
      <c r="F17" s="213" t="n">
        <f aca="false">IF(Configuration!$C$25="No","",IFERROR(SUMPRODUCT(--('Bundle Assignment'!R3:R22=TRUE()),--('Patent Portfolio'!X3:X22="Yes"))/COUNTIF('Bundle Assignment'!R3:R22,TRUE()),0))</f>
        <v>0.230769230769231</v>
      </c>
      <c r="G17" s="213" t="n">
        <f aca="false">IF(Configuration!$C$25="No","",IFERROR(SUMPRODUCT(--('Bundle Assignment'!R3:R22=TRUE()),--('Patent Portfolio'!T3:T22="Yes"))/COUNTIF('Bundle Assignment'!R3:R22,TRUE()),0))</f>
        <v>0.230769230769231</v>
      </c>
      <c r="H17" s="213" t="n">
        <f aca="false">IF(Configuration!$C$25="No","",IFERROR(SUMPRODUCT(--('Bundle Assignment'!R3:R22=TRUE()),--('Patent Portfolio'!H3:H22&gt;=2))/COUNTIF('Bundle Assignment'!R3:R22,TRUE()),0))</f>
        <v>0.153846153846154</v>
      </c>
      <c r="I17" s="210" t="n">
        <f aca="false">IF(Configuration!$C$25="No","",SUMPRODUCT(--('Bundle Assignment'!R3:R22=TRUE()),--('Patent Portfolio'!L3:L22=3)))</f>
        <v>1</v>
      </c>
      <c r="J17" s="131" t="str">
        <f aca="false">IF(Configuration!$C$25="No","",IF(C17&lt;2,"WEAK",IF(AND(C17&gt;=Configuration!$C$59,D17&gt;=Configuration!$C$60,E17&gt;=Configuration!$C$61),"STRONG","MODERATE")))</f>
        <v>MODERATE</v>
      </c>
      <c r="K17" s="214" t="str">
        <f aca="false">IF(Configuration!$C$25="No","",IF(Configuration!$C$63="No","",IFERROR(aggregate(5,6,'Patent Portfolio'!AC3:AC22/('Bundle Assignment'!R3:R22=TRUE())),"")))</f>
        <v/>
      </c>
      <c r="L17" s="213" t="n">
        <f aca="false">IF(Configuration!$C$25="No","",IF(Configuration!$C$64="No","",IFERROR(SUMPRODUCT(--('Bundle Assignment'!R3:R22=TRUE()),--('Patent Portfolio'!AD3:AD22&lt;=1))/COUNTIF('Bundle Assignment'!R3:R22,TRUE()),0)))</f>
        <v>0.769230769230769</v>
      </c>
      <c r="M17" s="213" t="n">
        <f aca="false">IF(Configuration!$C$25="No","",IF(Configuration!$C$65="No","",IFERROR(SUMPRODUCT(--('Bundle Assignment'!R3:R22=TRUE()),--('Patent Portfolio'!AK3:AK22&lt;&gt;"None"),--('Patent Portfolio'!AK3:AK22&lt;&gt;""))/COUNTIF('Bundle Assignment'!R3:R22,TRUE()),0)))</f>
        <v>0.153846153846154</v>
      </c>
      <c r="N17" s="213" t="n">
        <f aca="false">IF(Configuration!$C$25="No","",IF(Configuration!$C$66="No","",IFERROR(SUMPRODUCT(--('Bundle Assignment'!R3:R22=TRUE()),--('Patent Portfolio'!AI3:AI22="Survived"))/COUNTIF('Bundle Assignment'!R3:R22,TRUE()),0)))</f>
        <v>0.0769230769230769</v>
      </c>
      <c r="O17" s="213" t="n">
        <f aca="false">IF(Configuration!$C$25="No","",IF(Configuration!$C$67="No","",IFERROR(SUMPRODUCT(--('Bundle Assignment'!R3:R22=TRUE()),--('Patent Portfolio'!T3:T22="Yes"))/COUNTIF('Bundle Assignment'!R3:R22,TRUE()),0)))</f>
        <v>0.230769230769231</v>
      </c>
    </row>
    <row r="18" customFormat="false" ht="15" hidden="false" customHeight="true" outlineLevel="0" collapsed="false">
      <c r="A18" s="198" t="n">
        <v>17</v>
      </c>
      <c r="B18" s="63" t="str">
        <f aca="false">IF(Configuration!$C$26="No","[DISABLED] Cross-Industry","Cross-Industry")</f>
        <v>Cross-Industry</v>
      </c>
      <c r="C18" s="210" t="n">
        <f aca="false">IF(Configuration!$C$26="No","",COUNTIF('Bundle Assignment'!S3:S22,TRUE()))</f>
        <v>9</v>
      </c>
      <c r="D18" s="211" t="n">
        <f aca="false">IF(Configuration!$C$26="No","",IFERROR(SUMPRODUCT(--('Bundle Assignment'!S3:S22=TRUE()),('Patent Portfolio'!O3:O22+'Patent Portfolio'!P3:P22)/2)/COUNTIF('Bundle Assignment'!S3:S22,TRUE()),0))</f>
        <v>1.66666666666667</v>
      </c>
      <c r="E18" s="212" t="n">
        <f aca="false">IF(Configuration!$C$26="No","",IFERROR(SUMPRODUCT(--('Bundle Assignment'!S3:S22=TRUE()),'Patent Portfolio'!U3:U22)/COUNTIF('Bundle Assignment'!S3:S22,TRUE()),0))</f>
        <v>13.1111111111111</v>
      </c>
      <c r="F18" s="213" t="n">
        <f aca="false">IF(Configuration!$C$26="No","",IFERROR(SUMPRODUCT(--('Bundle Assignment'!S3:S22=TRUE()),--('Patent Portfolio'!X3:X22="Yes"))/COUNTIF('Bundle Assignment'!S3:S22,TRUE()),0))</f>
        <v>0.777777777777778</v>
      </c>
      <c r="G18" s="213" t="n">
        <f aca="false">IF(Configuration!$C$26="No","",IFERROR(SUMPRODUCT(--('Bundle Assignment'!S3:S22=TRUE()),--('Patent Portfolio'!T3:T22="Yes"))/COUNTIF('Bundle Assignment'!S3:S22,TRUE()),0))</f>
        <v>0.444444444444444</v>
      </c>
      <c r="H18" s="213" t="n">
        <f aca="false">IF(Configuration!$C$26="No","",IFERROR(SUMPRODUCT(--('Bundle Assignment'!S3:S22=TRUE()),--('Patent Portfolio'!H3:H22&gt;=2))/COUNTIF('Bundle Assignment'!S3:S22,TRUE()),0))</f>
        <v>0.222222222222222</v>
      </c>
      <c r="I18" s="210" t="n">
        <f aca="false">IF(Configuration!$C$26="No","",SUMPRODUCT(--('Bundle Assignment'!S3:S22=TRUE()),--('Patent Portfolio'!L3:L22=3)))</f>
        <v>1</v>
      </c>
      <c r="J18" s="131" t="str">
        <f aca="false">IF(Configuration!$C$26="No","",IF(C18&lt;2,"WEAK",IF(AND(C18&gt;=Configuration!$C$59,D18&gt;=Configuration!$C$60,E18&gt;=Configuration!$C$61),"STRONG","MODERATE")))</f>
        <v>MODERATE</v>
      </c>
      <c r="K18" s="214" t="str">
        <f aca="false">IF(Configuration!$C$26="No","",IF(Configuration!$C$63="No","",IFERROR(aggregate(5,6,'Patent Portfolio'!AC3:AC22/('Bundle Assignment'!S3:S22=TRUE())),"")))</f>
        <v/>
      </c>
      <c r="L18" s="213" t="n">
        <f aca="false">IF(Configuration!$C$26="No","",IF(Configuration!$C$64="No","",IFERROR(SUMPRODUCT(--('Bundle Assignment'!S3:S22=TRUE()),--('Patent Portfolio'!AD3:AD22&lt;=1))/COUNTIF('Bundle Assignment'!S3:S22,TRUE()),0)))</f>
        <v>0.333333333333333</v>
      </c>
      <c r="M18" s="213" t="n">
        <f aca="false">IF(Configuration!$C$26="No","",IF(Configuration!$C$65="No","",IFERROR(SUMPRODUCT(--('Bundle Assignment'!S3:S22=TRUE()),--('Patent Portfolio'!AK3:AK22&lt;&gt;"None"),--('Patent Portfolio'!AK3:AK22&lt;&gt;""))/COUNTIF('Bundle Assignment'!S3:S22,TRUE()),0)))</f>
        <v>0.555555555555556</v>
      </c>
      <c r="N18" s="213" t="n">
        <f aca="false">IF(Configuration!$C$26="No","",IF(Configuration!$C$66="No","",IFERROR(SUMPRODUCT(--('Bundle Assignment'!S3:S22=TRUE()),--('Patent Portfolio'!AI3:AI22="Survived"))/COUNTIF('Bundle Assignment'!S3:S22,TRUE()),0)))</f>
        <v>0.111111111111111</v>
      </c>
      <c r="O18" s="213" t="n">
        <f aca="false">IF(Configuration!$C$26="No","",IF(Configuration!$C$67="No","",IFERROR(SUMPRODUCT(--('Bundle Assignment'!S3:S22=TRUE()),--('Patent Portfolio'!T3:T22="Yes"))/COUNTIF('Bundle Assignment'!S3:S22,TRUE()),0)))</f>
        <v>0.444444444444444</v>
      </c>
    </row>
    <row r="19" customFormat="false" ht="15" hidden="false" customHeight="true" outlineLevel="0" collapsed="false">
      <c r="A19" s="198" t="n">
        <v>18</v>
      </c>
      <c r="B19" s="63" t="str">
        <f aca="false">IF(Configuration!$C$27="No","[DISABLED] Convergent Theme","Convergent Theme")</f>
        <v>Convergent Theme</v>
      </c>
      <c r="C19" s="210" t="n">
        <f aca="false">IF(Configuration!$C$27="No","",COUNTIF('Bundle Assignment'!T3:T22,TRUE()))</f>
        <v>4</v>
      </c>
      <c r="D19" s="211" t="n">
        <f aca="false">IF(Configuration!$C$27="No","",IFERROR(SUMPRODUCT(--('Bundle Assignment'!T3:T22=TRUE()),('Patent Portfolio'!O3:O22+'Patent Portfolio'!P3:P22)/2)/COUNTIF('Bundle Assignment'!T3:T22,TRUE()),0))</f>
        <v>1.25</v>
      </c>
      <c r="E19" s="212" t="n">
        <f aca="false">IF(Configuration!$C$27="No","",IFERROR(SUMPRODUCT(--('Bundle Assignment'!T3:T22=TRUE()),'Patent Portfolio'!U3:U22)/COUNTIF('Bundle Assignment'!T3:T22,TRUE()),0))</f>
        <v>13</v>
      </c>
      <c r="F19" s="213" t="n">
        <f aca="false">IF(Configuration!$C$27="No","",IFERROR(SUMPRODUCT(--('Bundle Assignment'!T3:T22=TRUE()),--('Patent Portfolio'!X3:X22="Yes"))/COUNTIF('Bundle Assignment'!T3:T22,TRUE()),0))</f>
        <v>0.5</v>
      </c>
      <c r="G19" s="213" t="n">
        <f aca="false">IF(Configuration!$C$27="No","",IFERROR(SUMPRODUCT(--('Bundle Assignment'!T3:T22=TRUE()),--('Patent Portfolio'!T3:T22="Yes"))/COUNTIF('Bundle Assignment'!T3:T22,TRUE()),0))</f>
        <v>0.5</v>
      </c>
      <c r="H19" s="213" t="n">
        <f aca="false">IF(Configuration!$C$27="No","",IFERROR(SUMPRODUCT(--('Bundle Assignment'!T3:T22=TRUE()),--('Patent Portfolio'!H3:H22&gt;=2))/COUNTIF('Bundle Assignment'!T3:T22,TRUE()),0))</f>
        <v>0</v>
      </c>
      <c r="I19" s="210" t="n">
        <f aca="false">IF(Configuration!$C$27="No","",SUMPRODUCT(--('Bundle Assignment'!T3:T22=TRUE()),--('Patent Portfolio'!L3:L22=3)))</f>
        <v>0</v>
      </c>
      <c r="J19" s="131" t="str">
        <f aca="false">IF(Configuration!$C$27="No","",IF(C19&lt;2,"WEAK",IF(AND(C19&gt;=Configuration!$C$59,D19&gt;=Configuration!$C$60,E19&gt;=Configuration!$C$61),"STRONG","MODERATE")))</f>
        <v>MODERATE</v>
      </c>
      <c r="K19" s="214" t="str">
        <f aca="false">IF(Configuration!$C$27="No","",IF(Configuration!$C$63="No","",IFERROR(aggregate(5,6,'Patent Portfolio'!AC3:AC22/('Bundle Assignment'!T3:T22=TRUE())),"")))</f>
        <v/>
      </c>
      <c r="L19" s="213" t="n">
        <f aca="false">IF(Configuration!$C$27="No","",IF(Configuration!$C$64="No","",IFERROR(SUMPRODUCT(--('Bundle Assignment'!T3:T22=TRUE()),--('Patent Portfolio'!AD3:AD22&lt;=1))/COUNTIF('Bundle Assignment'!T3:T22,TRUE()),0)))</f>
        <v>0.75</v>
      </c>
      <c r="M19" s="213" t="n">
        <f aca="false">IF(Configuration!$C$27="No","",IF(Configuration!$C$65="No","",IFERROR(SUMPRODUCT(--('Bundle Assignment'!T3:T22=TRUE()),--('Patent Portfolio'!AK3:AK22&lt;&gt;"None"),--('Patent Portfolio'!AK3:AK22&lt;&gt;""))/COUNTIF('Bundle Assignment'!T3:T22,TRUE()),0)))</f>
        <v>0.5</v>
      </c>
      <c r="N19" s="213" t="n">
        <f aca="false">IF(Configuration!$C$27="No","",IF(Configuration!$C$66="No","",IFERROR(SUMPRODUCT(--('Bundle Assignment'!T3:T22=TRUE()),--('Patent Portfolio'!AI3:AI22="Survived"))/COUNTIF('Bundle Assignment'!T3:T22,TRUE()),0)))</f>
        <v>0</v>
      </c>
      <c r="O19" s="213" t="n">
        <f aca="false">IF(Configuration!$C$27="No","",IF(Configuration!$C$67="No","",IFERROR(SUMPRODUCT(--('Bundle Assignment'!T3:T22=TRUE()),--('Patent Portfolio'!T3:T22="Yes"))/COUNTIF('Bundle Assignment'!T3:T22,TRUE()),0)))</f>
        <v>0.5</v>
      </c>
    </row>
    <row r="20" customFormat="false" ht="15" hidden="false" customHeight="true" outlineLevel="0" collapsed="false">
      <c r="A20" s="198" t="n">
        <v>19</v>
      </c>
      <c r="B20" s="63" t="str">
        <f aca="false">IF(Configuration!$C$28="No","[DISABLED] Defensive / Counter-Assert.","Defensive / Counter-Assert.")</f>
        <v>Defensive / Counter-Assert.</v>
      </c>
      <c r="C20" s="210" t="n">
        <f aca="false">IF(Configuration!$C$28="No","",COUNTIF('Bundle Assignment'!U3:U22,TRUE()))</f>
        <v>10</v>
      </c>
      <c r="D20" s="211" t="n">
        <f aca="false">IF(Configuration!$C$28="No","",IFERROR(SUMPRODUCT(--('Bundle Assignment'!U3:U22=TRUE()),('Patent Portfolio'!O3:O22+'Patent Portfolio'!P3:P22)/2)/COUNTIF('Bundle Assignment'!U3:U22,TRUE()),0))</f>
        <v>1.75</v>
      </c>
      <c r="E20" s="212" t="n">
        <f aca="false">IF(Configuration!$C$28="No","",IFERROR(SUMPRODUCT(--('Bundle Assignment'!U3:U22=TRUE()),'Patent Portfolio'!U3:U22)/COUNTIF('Bundle Assignment'!U3:U22,TRUE()),0))</f>
        <v>13.7</v>
      </c>
      <c r="F20" s="213" t="n">
        <f aca="false">IF(Configuration!$C$28="No","",IFERROR(SUMPRODUCT(--('Bundle Assignment'!U3:U22=TRUE()),--('Patent Portfolio'!X3:X22="Yes"))/COUNTIF('Bundle Assignment'!U3:U22,TRUE()),0))</f>
        <v>0.9</v>
      </c>
      <c r="G20" s="213" t="n">
        <f aca="false">IF(Configuration!$C$28="No","",IFERROR(SUMPRODUCT(--('Bundle Assignment'!U3:U22=TRUE()),--('Patent Portfolio'!T3:T22="Yes"))/COUNTIF('Bundle Assignment'!U3:U22,TRUE()),0))</f>
        <v>0.5</v>
      </c>
      <c r="H20" s="213" t="n">
        <f aca="false">IF(Configuration!$C$28="No","",IFERROR(SUMPRODUCT(--('Bundle Assignment'!U3:U22=TRUE()),--('Patent Portfolio'!H3:H22&gt;=2))/COUNTIF('Bundle Assignment'!U3:U22,TRUE()),0))</f>
        <v>0.4</v>
      </c>
      <c r="I20" s="210" t="n">
        <f aca="false">IF(Configuration!$C$28="No","",SUMPRODUCT(--('Bundle Assignment'!U3:U22=TRUE()),--('Patent Portfolio'!L3:L22=3)))</f>
        <v>1</v>
      </c>
      <c r="J20" s="131" t="str">
        <f aca="false">IF(Configuration!$C$28="No","",IF(C20&lt;2,"WEAK",IF(AND(C20&gt;=Configuration!$C$59,D20&gt;=Configuration!$C$60,E20&gt;=Configuration!$C$61),"STRONG","MODERATE")))</f>
        <v>MODERATE</v>
      </c>
      <c r="K20" s="214" t="str">
        <f aca="false">IF(Configuration!$C$28="No","",IF(Configuration!$C$63="No","",IFERROR(aggregate(5,6,'Patent Portfolio'!AC3:AC22/('Bundle Assignment'!U3:U22=TRUE())),"")))</f>
        <v/>
      </c>
      <c r="L20" s="213" t="n">
        <f aca="false">IF(Configuration!$C$28="No","",IF(Configuration!$C$64="No","",IFERROR(SUMPRODUCT(--('Bundle Assignment'!U3:U22=TRUE()),--('Patent Portfolio'!AD3:AD22&lt;=1))/COUNTIF('Bundle Assignment'!U3:U22,TRUE()),0)))</f>
        <v>0.2</v>
      </c>
      <c r="M20" s="213" t="n">
        <f aca="false">IF(Configuration!$C$28="No","",IF(Configuration!$C$65="No","",IFERROR(SUMPRODUCT(--('Bundle Assignment'!U3:U22=TRUE()),--('Patent Portfolio'!AK3:AK22&lt;&gt;"None"),--('Patent Portfolio'!AK3:AK22&lt;&gt;""))/COUNTIF('Bundle Assignment'!U3:U22,TRUE()),0)))</f>
        <v>0.7</v>
      </c>
      <c r="N20" s="213" t="n">
        <f aca="false">IF(Configuration!$C$28="No","",IF(Configuration!$C$66="No","",IFERROR(SUMPRODUCT(--('Bundle Assignment'!U3:U22=TRUE()),--('Patent Portfolio'!AI3:AI22="Survived"))/COUNTIF('Bundle Assignment'!U3:U22,TRUE()),0)))</f>
        <v>0.2</v>
      </c>
      <c r="O20" s="213" t="n">
        <f aca="false">IF(Configuration!$C$28="No","",IF(Configuration!$C$67="No","",IFERROR(SUMPRODUCT(--('Bundle Assignment'!U3:U22=TRUE()),--('Patent Portfolio'!T3:T22="Yes"))/COUNTIF('Bundle Assignment'!U3:U22,TRUE()),0)))</f>
        <v>0.5</v>
      </c>
    </row>
    <row r="21" customFormat="false" ht="15" hidden="false" customHeight="true" outlineLevel="0" collapsed="false">
      <c r="A21" s="198" t="n">
        <v>20</v>
      </c>
      <c r="B21" s="63" t="str">
        <f aca="false">IF(Configuration!$C$29="No","[DISABLED] Whitespace / Design-Around","Whitespace / Design-Around")</f>
        <v>Whitespace / Design-Around</v>
      </c>
      <c r="C21" s="210" t="n">
        <f aca="false">IF(Configuration!$C$29="No","",COUNTIF('Bundle Assignment'!V3:V22,TRUE()))</f>
        <v>10</v>
      </c>
      <c r="D21" s="211" t="n">
        <f aca="false">IF(Configuration!$C$29="No","",IFERROR(SUMPRODUCT(--('Bundle Assignment'!V3:V22=TRUE()),('Patent Portfolio'!O3:O22+'Patent Portfolio'!P3:P22)/2)/COUNTIF('Bundle Assignment'!V3:V22,TRUE()),0))</f>
        <v>1.7</v>
      </c>
      <c r="E21" s="212" t="n">
        <f aca="false">IF(Configuration!$C$29="No","",IFERROR(SUMPRODUCT(--('Bundle Assignment'!V3:V22=TRUE()),'Patent Portfolio'!U3:U22)/COUNTIF('Bundle Assignment'!V3:V22,TRUE()),0))</f>
        <v>13.1</v>
      </c>
      <c r="F21" s="213" t="n">
        <f aca="false">IF(Configuration!$C$29="No","",IFERROR(SUMPRODUCT(--('Bundle Assignment'!V3:V22=TRUE()),--('Patent Portfolio'!X3:X22="Yes"))/COUNTIF('Bundle Assignment'!V3:V22,TRUE()),0))</f>
        <v>1</v>
      </c>
      <c r="G21" s="213" t="n">
        <f aca="false">IF(Configuration!$C$29="No","",IFERROR(SUMPRODUCT(--('Bundle Assignment'!V3:V22=TRUE()),--('Patent Portfolio'!T3:T22="Yes"))/COUNTIF('Bundle Assignment'!V3:V22,TRUE()),0))</f>
        <v>0.5</v>
      </c>
      <c r="H21" s="213" t="n">
        <f aca="false">IF(Configuration!$C$29="No","",IFERROR(SUMPRODUCT(--('Bundle Assignment'!V3:V22=TRUE()),--('Patent Portfolio'!H3:H22&gt;=2))/COUNTIF('Bundle Assignment'!V3:V22,TRUE()),0))</f>
        <v>0.4</v>
      </c>
      <c r="I21" s="210" t="n">
        <f aca="false">IF(Configuration!$C$29="No","",SUMPRODUCT(--('Bundle Assignment'!V3:V22=TRUE()),--('Patent Portfolio'!L3:L22=3)))</f>
        <v>1</v>
      </c>
      <c r="J21" s="131" t="str">
        <f aca="false">IF(Configuration!$C$29="No","",IF(C21&lt;2,"WEAK",IF(AND(C21&gt;=Configuration!$C$59,D21&gt;=Configuration!$C$60,E21&gt;=Configuration!$C$61),"STRONG","MODERATE")))</f>
        <v>MODERATE</v>
      </c>
      <c r="K21" s="214" t="str">
        <f aca="false">IF(Configuration!$C$29="No","",IF(Configuration!$C$63="No","",IFERROR(aggregate(5,6,'Patent Portfolio'!AC3:AC22/('Bundle Assignment'!V3:V22=TRUE())),"")))</f>
        <v/>
      </c>
      <c r="L21" s="213" t="n">
        <f aca="false">IF(Configuration!$C$29="No","",IF(Configuration!$C$64="No","",IFERROR(SUMPRODUCT(--('Bundle Assignment'!V3:V22=TRUE()),--('Patent Portfolio'!AD3:AD22&lt;=1))/COUNTIF('Bundle Assignment'!V3:V22,TRUE()),0)))</f>
        <v>0.1</v>
      </c>
      <c r="M21" s="213" t="n">
        <f aca="false">IF(Configuration!$C$29="No","",IF(Configuration!$C$65="No","",IFERROR(SUMPRODUCT(--('Bundle Assignment'!V3:V22=TRUE()),--('Patent Portfolio'!AK3:AK22&lt;&gt;"None"),--('Patent Portfolio'!AK3:AK22&lt;&gt;""))/COUNTIF('Bundle Assignment'!V3:V22,TRUE()),0)))</f>
        <v>0.7</v>
      </c>
      <c r="N21" s="213" t="n">
        <f aca="false">IF(Configuration!$C$29="No","",IF(Configuration!$C$66="No","",IFERROR(SUMPRODUCT(--('Bundle Assignment'!V3:V22=TRUE()),--('Patent Portfolio'!AI3:AI22="Survived"))/COUNTIF('Bundle Assignment'!V3:V22,TRUE()),0)))</f>
        <v>0.2</v>
      </c>
      <c r="O21" s="213" t="n">
        <f aca="false">IF(Configuration!$C$29="No","",IF(Configuration!$C$67="No","",IFERROR(SUMPRODUCT(--('Bundle Assignment'!V3:V22=TRUE()),--('Patent Portfolio'!T3:T22="Yes"))/COUNTIF('Bundle Assignment'!V3:V22,TRUE()),0)))</f>
        <v>0.5</v>
      </c>
    </row>
    <row r="22" customFormat="false" ht="15" hidden="false" customHeight="true" outlineLevel="0" collapsed="false">
      <c r="A22" s="198" t="n">
        <v>21</v>
      </c>
      <c r="B22" s="63" t="str">
        <f aca="false">IF(Configuration!$C$30="No","[DISABLED] Prosecution-Status","Prosecution-Status")</f>
        <v>Prosecution-Status</v>
      </c>
      <c r="C22" s="210" t="n">
        <f aca="false">IF(Configuration!$C$30="No","",COUNTIF('Bundle Assignment'!W3:W22,TRUE()))</f>
        <v>6</v>
      </c>
      <c r="D22" s="211" t="n">
        <f aca="false">IF(Configuration!$C$30="No","",IFERROR(SUMPRODUCT(--('Bundle Assignment'!W3:W22=TRUE()),('Patent Portfolio'!O3:O22+'Patent Portfolio'!P3:P22)/2)/COUNTIF('Bundle Assignment'!W3:W22,TRUE()),0))</f>
        <v>1.33333333333333</v>
      </c>
      <c r="E22" s="212" t="n">
        <f aca="false">IF(Configuration!$C$30="No","",IFERROR(SUMPRODUCT(--('Bundle Assignment'!W3:W22=TRUE()),'Patent Portfolio'!U3:U22)/COUNTIF('Bundle Assignment'!W3:W22,TRUE()),0))</f>
        <v>15.8333333333333</v>
      </c>
      <c r="F22" s="213" t="n">
        <f aca="false">IF(Configuration!$C$30="No","",IFERROR(SUMPRODUCT(--('Bundle Assignment'!W3:W22=TRUE()),--('Patent Portfolio'!X3:X22="Yes"))/COUNTIF('Bundle Assignment'!W3:W22,TRUE()),0))</f>
        <v>0.833333333333333</v>
      </c>
      <c r="G22" s="213" t="n">
        <f aca="false">IF(Configuration!$C$30="No","",IFERROR(SUMPRODUCT(--('Bundle Assignment'!W3:W22=TRUE()),--('Patent Portfolio'!T3:T22="Yes"))/COUNTIF('Bundle Assignment'!W3:W22,TRUE()),0))</f>
        <v>1</v>
      </c>
      <c r="H22" s="213" t="n">
        <f aca="false">IF(Configuration!$C$30="No","",IFERROR(SUMPRODUCT(--('Bundle Assignment'!W3:W22=TRUE()),--('Patent Portfolio'!H3:H22&gt;=2))/COUNTIF('Bundle Assignment'!W3:W22,TRUE()),0))</f>
        <v>0.333333333333333</v>
      </c>
      <c r="I22" s="210" t="n">
        <f aca="false">IF(Configuration!$C$30="No","",SUMPRODUCT(--('Bundle Assignment'!W3:W22=TRUE()),--('Patent Portfolio'!L3:L22=3)))</f>
        <v>1</v>
      </c>
      <c r="J22" s="131" t="str">
        <f aca="false">IF(Configuration!$C$30="No","",IF(C22&lt;2,"WEAK",IF(AND(C22&gt;=Configuration!$C$59,D22&gt;=Configuration!$C$60,E22&gt;=Configuration!$C$61),"STRONG","MODERATE")))</f>
        <v>MODERATE</v>
      </c>
      <c r="K22" s="214" t="str">
        <f aca="false">IF(Configuration!$C$30="No","",IF(Configuration!$C$63="No","",IFERROR(aggregate(5,6,'Patent Portfolio'!AC3:AC22/('Bundle Assignment'!W3:W22=TRUE())),"")))</f>
        <v/>
      </c>
      <c r="L22" s="213" t="n">
        <f aca="false">IF(Configuration!$C$30="No","",IF(Configuration!$C$64="No","",IFERROR(SUMPRODUCT(--('Bundle Assignment'!W3:W22=TRUE()),--('Patent Portfolio'!AD3:AD22&lt;=1))/COUNTIF('Bundle Assignment'!W3:W22,TRUE()),0)))</f>
        <v>0.333333333333333</v>
      </c>
      <c r="M22" s="213" t="n">
        <f aca="false">IF(Configuration!$C$30="No","",IF(Configuration!$C$65="No","",IFERROR(SUMPRODUCT(--('Bundle Assignment'!W3:W22=TRUE()),--('Patent Portfolio'!AK3:AK22&lt;&gt;"None"),--('Patent Portfolio'!AK3:AK22&lt;&gt;""))/COUNTIF('Bundle Assignment'!W3:W22,TRUE()),0)))</f>
        <v>0.5</v>
      </c>
      <c r="N22" s="213" t="n">
        <f aca="false">IF(Configuration!$C$30="No","",IF(Configuration!$C$66="No","",IFERROR(SUMPRODUCT(--('Bundle Assignment'!W3:W22=TRUE()),--('Patent Portfolio'!AI3:AI22="Survived"))/COUNTIF('Bundle Assignment'!W3:W22,TRUE()),0)))</f>
        <v>0.166666666666667</v>
      </c>
      <c r="O22" s="213" t="n">
        <f aca="false">IF(Configuration!$C$30="No","",IF(Configuration!$C$67="No","",IFERROR(SUMPRODUCT(--('Bundle Assignment'!W3:W22=TRUE()),--('Patent Portfolio'!T3:T22="Yes"))/COUNTIF('Bundle Assignment'!W3:W22,TRUE()),0)))</f>
        <v>1</v>
      </c>
    </row>
    <row r="23" customFormat="false" ht="15" hidden="false" customHeight="true" outlineLevel="0" collapsed="false">
      <c r="A23" s="198" t="n">
        <v>22</v>
      </c>
      <c r="B23" s="63" t="str">
        <f aca="false">IF(Configuration!$C$31="No","[DISABLED] Anchor-and-Halo","Anchor-and-Halo")</f>
        <v>Anchor-and-Halo</v>
      </c>
      <c r="C23" s="210" t="n">
        <f aca="false">IF(Configuration!$C$31="No","",COUNTIF('Bundle Assignment'!X3:X22,TRUE()))</f>
        <v>10</v>
      </c>
      <c r="D23" s="211" t="n">
        <f aca="false">IF(Configuration!$C$31="No","",IFERROR(SUMPRODUCT(--('Bundle Assignment'!X3:X22=TRUE()),('Patent Portfolio'!O3:O22+'Patent Portfolio'!P3:P22)/2)/COUNTIF('Bundle Assignment'!X3:X22,TRUE()),0))</f>
        <v>1.7</v>
      </c>
      <c r="E23" s="212" t="n">
        <f aca="false">IF(Configuration!$C$31="No","",IFERROR(SUMPRODUCT(--('Bundle Assignment'!X3:X22=TRUE()),'Patent Portfolio'!U3:U22)/COUNTIF('Bundle Assignment'!X3:X22,TRUE()),0))</f>
        <v>13.1</v>
      </c>
      <c r="F23" s="213" t="n">
        <f aca="false">IF(Configuration!$C$31="No","",IFERROR(SUMPRODUCT(--('Bundle Assignment'!X3:X22=TRUE()),--('Patent Portfolio'!X3:X22="Yes"))/COUNTIF('Bundle Assignment'!X3:X22,TRUE()),0))</f>
        <v>1</v>
      </c>
      <c r="G23" s="213" t="n">
        <f aca="false">IF(Configuration!$C$31="No","",IFERROR(SUMPRODUCT(--('Bundle Assignment'!X3:X22=TRUE()),--('Patent Portfolio'!T3:T22="Yes"))/COUNTIF('Bundle Assignment'!X3:X22,TRUE()),0))</f>
        <v>0.5</v>
      </c>
      <c r="H23" s="213" t="n">
        <f aca="false">IF(Configuration!$C$31="No","",IFERROR(SUMPRODUCT(--('Bundle Assignment'!X3:X22=TRUE()),--('Patent Portfolio'!H3:H22&gt;=2))/COUNTIF('Bundle Assignment'!X3:X22,TRUE()),0))</f>
        <v>0.4</v>
      </c>
      <c r="I23" s="210" t="n">
        <f aca="false">IF(Configuration!$C$31="No","",SUMPRODUCT(--('Bundle Assignment'!X3:X22=TRUE()),--('Patent Portfolio'!L3:L22=3)))</f>
        <v>1</v>
      </c>
      <c r="J23" s="131" t="str">
        <f aca="false">IF(Configuration!$C$31="No","",IF(C23&lt;2,"WEAK",IF(AND(C23&gt;=Configuration!$C$59,D23&gt;=Configuration!$C$60,E23&gt;=Configuration!$C$61),"STRONG","MODERATE")))</f>
        <v>MODERATE</v>
      </c>
      <c r="K23" s="214" t="str">
        <f aca="false">IF(Configuration!$C$31="No","",IF(Configuration!$C$63="No","",IFERROR(aggregate(5,6,'Patent Portfolio'!AC3:AC22/('Bundle Assignment'!X3:X22=TRUE())),"")))</f>
        <v/>
      </c>
      <c r="L23" s="213" t="n">
        <f aca="false">IF(Configuration!$C$31="No","",IF(Configuration!$C$64="No","",IFERROR(SUMPRODUCT(--('Bundle Assignment'!X3:X22=TRUE()),--('Patent Portfolio'!AD3:AD22&lt;=1))/COUNTIF('Bundle Assignment'!X3:X22,TRUE()),0)))</f>
        <v>0.1</v>
      </c>
      <c r="M23" s="213" t="n">
        <f aca="false">IF(Configuration!$C$31="No","",IF(Configuration!$C$65="No","",IFERROR(SUMPRODUCT(--('Bundle Assignment'!X3:X22=TRUE()),--('Patent Portfolio'!AK3:AK22&lt;&gt;"None"),--('Patent Portfolio'!AK3:AK22&lt;&gt;""))/COUNTIF('Bundle Assignment'!X3:X22,TRUE()),0)))</f>
        <v>0.7</v>
      </c>
      <c r="N23" s="213" t="n">
        <f aca="false">IF(Configuration!$C$31="No","",IF(Configuration!$C$66="No","",IFERROR(SUMPRODUCT(--('Bundle Assignment'!X3:X22=TRUE()),--('Patent Portfolio'!AI3:AI22="Survived"))/COUNTIF('Bundle Assignment'!X3:X22,TRUE()),0)))</f>
        <v>0.2</v>
      </c>
      <c r="O23" s="213" t="n">
        <f aca="false">IF(Configuration!$C$31="No","",IF(Configuration!$C$67="No","",IFERROR(SUMPRODUCT(--('Bundle Assignment'!X3:X22=TRUE()),--('Patent Portfolio'!T3:T22="Yes"))/COUNTIF('Bundle Assignment'!X3:X22,TRUE()),0)))</f>
        <v>0.5</v>
      </c>
    </row>
    <row r="24" customFormat="false" ht="15" hidden="false" customHeight="true" outlineLevel="0" collapsed="false">
      <c r="A24" s="198" t="n">
        <v>23</v>
      </c>
      <c r="B24" s="63" t="str">
        <f aca="false">IF(Configuration!$C$32="No","[DISABLED] Picket-Fence","Picket-Fence")</f>
        <v>Picket-Fence</v>
      </c>
      <c r="C24" s="210" t="n">
        <f aca="false">IF(Configuration!$C$32="No","",COUNTIF('Bundle Assignment'!Y3:Y22,TRUE()))</f>
        <v>12</v>
      </c>
      <c r="D24" s="211" t="n">
        <f aca="false">IF(Configuration!$C$32="No","",IFERROR(SUMPRODUCT(--('Bundle Assignment'!Y3:Y22=TRUE()),('Patent Portfolio'!O3:O22+'Patent Portfolio'!P3:P22)/2)/COUNTIF('Bundle Assignment'!Y3:Y22,TRUE()),0))</f>
        <v>1.58333333333333</v>
      </c>
      <c r="E24" s="212" t="n">
        <f aca="false">IF(Configuration!$C$32="No","",IFERROR(SUMPRODUCT(--('Bundle Assignment'!Y3:Y22=TRUE()),'Patent Portfolio'!U3:U22)/COUNTIF('Bundle Assignment'!Y3:Y22,TRUE()),0))</f>
        <v>13.1666666666667</v>
      </c>
      <c r="F24" s="213" t="n">
        <f aca="false">IF(Configuration!$C$32="No","",IFERROR(SUMPRODUCT(--('Bundle Assignment'!Y3:Y22=TRUE()),--('Patent Portfolio'!X3:X22="Yes"))/COUNTIF('Bundle Assignment'!Y3:Y22,TRUE()),0))</f>
        <v>0.833333333333333</v>
      </c>
      <c r="G24" s="213" t="n">
        <f aca="false">IF(Configuration!$C$32="No","",IFERROR(SUMPRODUCT(--('Bundle Assignment'!Y3:Y22=TRUE()),--('Patent Portfolio'!T3:T22="Yes"))/COUNTIF('Bundle Assignment'!Y3:Y22,TRUE()),0))</f>
        <v>0.5</v>
      </c>
      <c r="H24" s="213" t="n">
        <f aca="false">IF(Configuration!$C$32="No","",IFERROR(SUMPRODUCT(--('Bundle Assignment'!Y3:Y22=TRUE()),--('Patent Portfolio'!H3:H22&gt;=2))/COUNTIF('Bundle Assignment'!Y3:Y22,TRUE()),0))</f>
        <v>0.333333333333333</v>
      </c>
      <c r="I24" s="210" t="n">
        <f aca="false">IF(Configuration!$C$32="No","",SUMPRODUCT(--('Bundle Assignment'!Y3:Y22=TRUE()),--('Patent Portfolio'!L3:L22=3)))</f>
        <v>1</v>
      </c>
      <c r="J24" s="131" t="str">
        <f aca="false">IF(Configuration!$C$32="No","",IF(C24&lt;2,"WEAK",IF(AND(C24&gt;=Configuration!$C$59,D24&gt;=Configuration!$C$60,E24&gt;=Configuration!$C$61),"STRONG","MODERATE")))</f>
        <v>MODERATE</v>
      </c>
      <c r="K24" s="214" t="str">
        <f aca="false">IF(Configuration!$C$32="No","",IF(Configuration!$C$63="No","",IFERROR(aggregate(5,6,'Patent Portfolio'!AC3:AC22/('Bundle Assignment'!Y3:Y22=TRUE())),"")))</f>
        <v/>
      </c>
      <c r="L24" s="213" t="n">
        <f aca="false">IF(Configuration!$C$32="No","",IF(Configuration!$C$64="No","",IFERROR(SUMPRODUCT(--('Bundle Assignment'!Y3:Y22=TRUE()),--('Patent Portfolio'!AD3:AD22&lt;=1))/COUNTIF('Bundle Assignment'!Y3:Y22,TRUE()),0)))</f>
        <v>0.25</v>
      </c>
      <c r="M24" s="213" t="n">
        <f aca="false">IF(Configuration!$C$32="No","",IF(Configuration!$C$65="No","",IFERROR(SUMPRODUCT(--('Bundle Assignment'!Y3:Y22=TRUE()),--('Patent Portfolio'!AK3:AK22&lt;&gt;"None"),--('Patent Portfolio'!AK3:AK22&lt;&gt;""))/COUNTIF('Bundle Assignment'!Y3:Y22,TRUE()),0)))</f>
        <v>0.583333333333333</v>
      </c>
      <c r="N24" s="213" t="n">
        <f aca="false">IF(Configuration!$C$32="No","",IF(Configuration!$C$66="No","",IFERROR(SUMPRODUCT(--('Bundle Assignment'!Y3:Y22=TRUE()),--('Patent Portfolio'!AI3:AI22="Survived"))/COUNTIF('Bundle Assignment'!Y3:Y22,TRUE()),0)))</f>
        <v>0.166666666666667</v>
      </c>
      <c r="O24" s="213" t="n">
        <f aca="false">IF(Configuration!$C$32="No","",IF(Configuration!$C$67="No","",IFERROR(SUMPRODUCT(--('Bundle Assignment'!Y3:Y22=TRUE()),--('Patent Portfolio'!T3:T22="Yes"))/COUNTIF('Bundle Assignment'!Y3:Y22,TRUE()),0)))</f>
        <v>0.5</v>
      </c>
    </row>
    <row r="25" customFormat="false" ht="15" hidden="false" customHeight="true" outlineLevel="0" collapsed="false">
      <c r="A25" s="198" t="n">
        <v>24</v>
      </c>
      <c r="B25" s="63" t="str">
        <f aca="false">IF(Configuration!$C$33="No","[DISABLED] Strong-Core + Tail","Strong-Core + Tail")</f>
        <v>Strong-Core + Tail</v>
      </c>
      <c r="C25" s="210" t="n">
        <f aca="false">IF(Configuration!$C$33="No","",COUNTIF('Bundle Assignment'!Z3:Z22,TRUE()))</f>
        <v>12</v>
      </c>
      <c r="D25" s="211" t="n">
        <f aca="false">IF(Configuration!$C$33="No","",IFERROR(SUMPRODUCT(--('Bundle Assignment'!Z3:Z22=TRUE()),('Patent Portfolio'!O3:O22+'Patent Portfolio'!P3:P22)/2)/COUNTIF('Bundle Assignment'!Z3:Z22,TRUE()),0))</f>
        <v>1.58333333333333</v>
      </c>
      <c r="E25" s="212" t="n">
        <f aca="false">IF(Configuration!$C$33="No","",IFERROR(SUMPRODUCT(--('Bundle Assignment'!Z3:Z22=TRUE()),'Patent Portfolio'!U3:U22)/COUNTIF('Bundle Assignment'!Z3:Z22,TRUE()),0))</f>
        <v>13.1666666666667</v>
      </c>
      <c r="F25" s="213" t="n">
        <f aca="false">IF(Configuration!$C$33="No","",IFERROR(SUMPRODUCT(--('Bundle Assignment'!Z3:Z22=TRUE()),--('Patent Portfolio'!X3:X22="Yes"))/COUNTIF('Bundle Assignment'!Z3:Z22,TRUE()),0))</f>
        <v>0.833333333333333</v>
      </c>
      <c r="G25" s="213" t="n">
        <f aca="false">IF(Configuration!$C$33="No","",IFERROR(SUMPRODUCT(--('Bundle Assignment'!Z3:Z22=TRUE()),--('Patent Portfolio'!T3:T22="Yes"))/COUNTIF('Bundle Assignment'!Z3:Z22,TRUE()),0))</f>
        <v>0.5</v>
      </c>
      <c r="H25" s="213" t="n">
        <f aca="false">IF(Configuration!$C$33="No","",IFERROR(SUMPRODUCT(--('Bundle Assignment'!Z3:Z22=TRUE()),--('Patent Portfolio'!H3:H22&gt;=2))/COUNTIF('Bundle Assignment'!Z3:Z22,TRUE()),0))</f>
        <v>0.333333333333333</v>
      </c>
      <c r="I25" s="210" t="n">
        <f aca="false">IF(Configuration!$C$33="No","",SUMPRODUCT(--('Bundle Assignment'!Z3:Z22=TRUE()),--('Patent Portfolio'!L3:L22=3)))</f>
        <v>1</v>
      </c>
      <c r="J25" s="131" t="str">
        <f aca="false">IF(Configuration!$C$33="No","",IF(C25&lt;2,"WEAK",IF(AND(C25&gt;=Configuration!$C$59,D25&gt;=Configuration!$C$60,E25&gt;=Configuration!$C$61),"STRONG","MODERATE")))</f>
        <v>MODERATE</v>
      </c>
      <c r="K25" s="214" t="str">
        <f aca="false">IF(Configuration!$C$33="No","",IF(Configuration!$C$63="No","",IFERROR(aggregate(5,6,'Patent Portfolio'!AC3:AC22/('Bundle Assignment'!Z3:Z22=TRUE())),"")))</f>
        <v/>
      </c>
      <c r="L25" s="213" t="n">
        <f aca="false">IF(Configuration!$C$33="No","",IF(Configuration!$C$64="No","",IFERROR(SUMPRODUCT(--('Bundle Assignment'!Z3:Z22=TRUE()),--('Patent Portfolio'!AD3:AD22&lt;=1))/COUNTIF('Bundle Assignment'!Z3:Z22,TRUE()),0)))</f>
        <v>0.25</v>
      </c>
      <c r="M25" s="213" t="n">
        <f aca="false">IF(Configuration!$C$33="No","",IF(Configuration!$C$65="No","",IFERROR(SUMPRODUCT(--('Bundle Assignment'!Z3:Z22=TRUE()),--('Patent Portfolio'!AK3:AK22&lt;&gt;"None"),--('Patent Portfolio'!AK3:AK22&lt;&gt;""))/COUNTIF('Bundle Assignment'!Z3:Z22,TRUE()),0)))</f>
        <v>0.583333333333333</v>
      </c>
      <c r="N25" s="213" t="n">
        <f aca="false">IF(Configuration!$C$33="No","",IF(Configuration!$C$66="No","",IFERROR(SUMPRODUCT(--('Bundle Assignment'!Z3:Z22=TRUE()),--('Patent Portfolio'!AI3:AI22="Survived"))/COUNTIF('Bundle Assignment'!Z3:Z22,TRUE()),0)))</f>
        <v>0.166666666666667</v>
      </c>
      <c r="O25" s="213" t="n">
        <f aca="false">IF(Configuration!$C$33="No","",IF(Configuration!$C$67="No","",IFERROR(SUMPRODUCT(--('Bundle Assignment'!Z3:Z22=TRUE()),--('Patent Portfolio'!T3:T22="Yes"))/COUNTIF('Bundle Assignment'!Z3:Z22,TRUE()),0)))</f>
        <v>0.5</v>
      </c>
    </row>
    <row r="26" customFormat="false" ht="15" hidden="false" customHeight="true" outlineLevel="0" collapsed="false">
      <c r="A26" s="198" t="n">
        <v>25</v>
      </c>
      <c r="B26" s="63" t="str">
        <f aca="false">IF(Configuration!$C$34="No","[DISABLED] Continuation-Live","Continuation-Live")</f>
        <v>Continuation-Live</v>
      </c>
      <c r="C26" s="210" t="n">
        <f aca="false">IF(Configuration!$C$34="No","",COUNTIF('Bundle Assignment'!AA3:AA22,TRUE()))</f>
        <v>6</v>
      </c>
      <c r="D26" s="211" t="n">
        <f aca="false">IF(Configuration!$C$34="No","",IFERROR(SUMPRODUCT(--('Bundle Assignment'!AA3:AA22=TRUE()),('Patent Portfolio'!O3:O22+'Patent Portfolio'!P3:P22)/2)/COUNTIF('Bundle Assignment'!AA3:AA22,TRUE()),0))</f>
        <v>1.33333333333333</v>
      </c>
      <c r="E26" s="212" t="n">
        <f aca="false">IF(Configuration!$C$34="No","",IFERROR(SUMPRODUCT(--('Bundle Assignment'!AA3:AA22=TRUE()),'Patent Portfolio'!U3:U22)/COUNTIF('Bundle Assignment'!AA3:AA22,TRUE()),0))</f>
        <v>15.8333333333333</v>
      </c>
      <c r="F26" s="213" t="n">
        <f aca="false">IF(Configuration!$C$34="No","",IFERROR(SUMPRODUCT(--('Bundle Assignment'!AA3:AA22=TRUE()),--('Patent Portfolio'!X3:X22="Yes"))/COUNTIF('Bundle Assignment'!AA3:AA22,TRUE()),0))</f>
        <v>0.833333333333333</v>
      </c>
      <c r="G26" s="213" t="n">
        <f aca="false">IF(Configuration!$C$34="No","",IFERROR(SUMPRODUCT(--('Bundle Assignment'!AA3:AA22=TRUE()),--('Patent Portfolio'!T3:T22="Yes"))/COUNTIF('Bundle Assignment'!AA3:AA22,TRUE()),0))</f>
        <v>1</v>
      </c>
      <c r="H26" s="213" t="n">
        <f aca="false">IF(Configuration!$C$34="No","",IFERROR(SUMPRODUCT(--('Bundle Assignment'!AA3:AA22=TRUE()),--('Patent Portfolio'!H3:H22&gt;=2))/COUNTIF('Bundle Assignment'!AA3:AA22,TRUE()),0))</f>
        <v>0.333333333333333</v>
      </c>
      <c r="I26" s="210" t="n">
        <f aca="false">IF(Configuration!$C$34="No","",SUMPRODUCT(--('Bundle Assignment'!AA3:AA22=TRUE()),--('Patent Portfolio'!L3:L22=3)))</f>
        <v>1</v>
      </c>
      <c r="J26" s="131" t="str">
        <f aca="false">IF(Configuration!$C$34="No","",IF(C26&lt;2,"WEAK",IF(AND(C26&gt;=Configuration!$C$59,D26&gt;=Configuration!$C$60,E26&gt;=Configuration!$C$61),"STRONG","MODERATE")))</f>
        <v>MODERATE</v>
      </c>
      <c r="K26" s="214" t="str">
        <f aca="false">IF(Configuration!$C$34="No","",IF(Configuration!$C$63="No","",IFERROR(aggregate(5,6,'Patent Portfolio'!AC3:AC22/('Bundle Assignment'!AA3:AA22=TRUE())),"")))</f>
        <v/>
      </c>
      <c r="L26" s="213" t="n">
        <f aca="false">IF(Configuration!$C$34="No","",IF(Configuration!$C$64="No","",IFERROR(SUMPRODUCT(--('Bundle Assignment'!AA3:AA22=TRUE()),--('Patent Portfolio'!AD3:AD22&lt;=1))/COUNTIF('Bundle Assignment'!AA3:AA22,TRUE()),0)))</f>
        <v>0.333333333333333</v>
      </c>
      <c r="M26" s="213" t="n">
        <f aca="false">IF(Configuration!$C$34="No","",IF(Configuration!$C$65="No","",IFERROR(SUMPRODUCT(--('Bundle Assignment'!AA3:AA22=TRUE()),--('Patent Portfolio'!AK3:AK22&lt;&gt;"None"),--('Patent Portfolio'!AK3:AK22&lt;&gt;""))/COUNTIF('Bundle Assignment'!AA3:AA22,TRUE()),0)))</f>
        <v>0.5</v>
      </c>
      <c r="N26" s="213" t="n">
        <f aca="false">IF(Configuration!$C$34="No","",IF(Configuration!$C$66="No","",IFERROR(SUMPRODUCT(--('Bundle Assignment'!AA3:AA22=TRUE()),--('Patent Portfolio'!AI3:AI22="Survived"))/COUNTIF('Bundle Assignment'!AA3:AA22,TRUE()),0)))</f>
        <v>0.166666666666667</v>
      </c>
      <c r="O26" s="213" t="n">
        <f aca="false">IF(Configuration!$C$34="No","",IF(Configuration!$C$67="No","",IFERROR(SUMPRODUCT(--('Bundle Assignment'!AA3:AA22=TRUE()),--('Patent Portfolio'!T3:T22="Yes"))/COUNTIF('Bundle Assignment'!AA3:AA22,TRUE()),0)))</f>
        <v>1</v>
      </c>
    </row>
    <row r="27" customFormat="false" ht="15" hidden="false" customHeight="true" outlineLevel="0" collapsed="false">
      <c r="A27" s="198" t="n">
        <v>26</v>
      </c>
      <c r="B27" s="63" t="str">
        <f aca="false">IF(Configuration!$C$35="No","[DISABLED] EoU-Backed","EoU-Backed")</f>
        <v>EoU-Backed</v>
      </c>
      <c r="C27" s="210" t="n">
        <f aca="false">IF(Configuration!$C$35="No","",COUNTIF('Bundle Assignment'!AB3:AB22,TRUE()))</f>
        <v>7</v>
      </c>
      <c r="D27" s="211" t="n">
        <f aca="false">IF(Configuration!$C$35="No","",IFERROR(SUMPRODUCT(--('Bundle Assignment'!AB3:AB22=TRUE()),('Patent Portfolio'!O3:O22+'Patent Portfolio'!P3:P22)/2)/COUNTIF('Bundle Assignment'!AB3:AB22,TRUE()),0))</f>
        <v>1.85714285714286</v>
      </c>
      <c r="E27" s="212" t="n">
        <f aca="false">IF(Configuration!$C$35="No","",IFERROR(SUMPRODUCT(--('Bundle Assignment'!AB3:AB22=TRUE()),'Patent Portfolio'!U3:U22)/COUNTIF('Bundle Assignment'!AB3:AB22,TRUE()),0))</f>
        <v>12.8571428571429</v>
      </c>
      <c r="F27" s="213" t="n">
        <f aca="false">IF(Configuration!$C$35="No","",IFERROR(SUMPRODUCT(--('Bundle Assignment'!AB3:AB22=TRUE()),--('Patent Portfolio'!X3:X22="Yes"))/COUNTIF('Bundle Assignment'!AB3:AB22,TRUE()),0))</f>
        <v>1</v>
      </c>
      <c r="G27" s="213" t="n">
        <f aca="false">IF(Configuration!$C$35="No","",IFERROR(SUMPRODUCT(--('Bundle Assignment'!AB3:AB22=TRUE()),--('Patent Portfolio'!T3:T22="Yes"))/COUNTIF('Bundle Assignment'!AB3:AB22,TRUE()),0))</f>
        <v>0.428571428571429</v>
      </c>
      <c r="H27" s="213" t="n">
        <f aca="false">IF(Configuration!$C$35="No","",IFERROR(SUMPRODUCT(--('Bundle Assignment'!AB3:AB22=TRUE()),--('Patent Portfolio'!H3:H22&gt;=2))/COUNTIF('Bundle Assignment'!AB3:AB22,TRUE()),0))</f>
        <v>0.428571428571429</v>
      </c>
      <c r="I27" s="210" t="n">
        <f aca="false">IF(Configuration!$C$35="No","",SUMPRODUCT(--('Bundle Assignment'!AB3:AB22=TRUE()),--('Patent Portfolio'!L3:L22=3)))</f>
        <v>1</v>
      </c>
      <c r="J27" s="131" t="str">
        <f aca="false">IF(Configuration!$C$35="No","",IF(C27&lt;2,"WEAK",IF(AND(C27&gt;=Configuration!$C$59,D27&gt;=Configuration!$C$60,E27&gt;=Configuration!$C$61),"STRONG","MODERATE")))</f>
        <v>MODERATE</v>
      </c>
      <c r="K27" s="214" t="str">
        <f aca="false">IF(Configuration!$C$35="No","",IF(Configuration!$C$63="No","",IFERROR(aggregate(5,6,'Patent Portfolio'!AC3:AC22/('Bundle Assignment'!AB3:AB22=TRUE())),"")))</f>
        <v/>
      </c>
      <c r="L27" s="213" t="n">
        <f aca="false">IF(Configuration!$C$35="No","",IF(Configuration!$C$64="No","",IFERROR(SUMPRODUCT(--('Bundle Assignment'!AB3:AB22=TRUE()),--('Patent Portfolio'!AD3:AD22&lt;=1))/COUNTIF('Bundle Assignment'!AB3:AB22,TRUE()),0)))</f>
        <v>0.142857142857143</v>
      </c>
      <c r="M27" s="213" t="n">
        <f aca="false">IF(Configuration!$C$35="No","",IF(Configuration!$C$65="No","",IFERROR(SUMPRODUCT(--('Bundle Assignment'!AB3:AB22=TRUE()),--('Patent Portfolio'!AK3:AK22&lt;&gt;"None"),--('Patent Portfolio'!AK3:AK22&lt;&gt;""))/COUNTIF('Bundle Assignment'!AB3:AB22,TRUE()),0)))</f>
        <v>1</v>
      </c>
      <c r="N27" s="213" t="n">
        <f aca="false">IF(Configuration!$C$35="No","",IF(Configuration!$C$66="No","",IFERROR(SUMPRODUCT(--('Bundle Assignment'!AB3:AB22=TRUE()),--('Patent Portfolio'!AI3:AI22="Survived"))/COUNTIF('Bundle Assignment'!AB3:AB22,TRUE()),0)))</f>
        <v>0.285714285714286</v>
      </c>
      <c r="O27" s="213" t="n">
        <f aca="false">IF(Configuration!$C$35="No","",IF(Configuration!$C$67="No","",IFERROR(SUMPRODUCT(--('Bundle Assignment'!AB3:AB22=TRUE()),--('Patent Portfolio'!T3:T22="Yes"))/COUNTIF('Bundle Assignment'!AB3:AB22,TRUE()),0)))</f>
        <v>0.428571428571429</v>
      </c>
    </row>
    <row r="28" customFormat="false" ht="15" hidden="false" customHeight="true" outlineLevel="0" collapsed="false">
      <c r="A28" s="198" t="n">
        <v>27</v>
      </c>
      <c r="B28" s="63" t="str">
        <f aca="false">IF(Configuration!$C$36="No","[DISABLED] Battle-Tested","Battle-Tested")</f>
        <v>Battle-Tested</v>
      </c>
      <c r="C28" s="210" t="n">
        <f aca="false">IF(Configuration!$C$36="No","",COUNTIF('Bundle Assignment'!AC3:AC22,TRUE()))</f>
        <v>2</v>
      </c>
      <c r="D28" s="211" t="n">
        <f aca="false">IF(Configuration!$C$36="No","",IFERROR(SUMPRODUCT(--('Bundle Assignment'!AC3:AC22=TRUE()),('Patent Portfolio'!O3:O22+'Patent Portfolio'!P3:P22)/2)/COUNTIF('Bundle Assignment'!AC3:AC22,TRUE()),0))</f>
        <v>2.5</v>
      </c>
      <c r="E28" s="212" t="n">
        <f aca="false">IF(Configuration!$C$36="No","",IFERROR(SUMPRODUCT(--('Bundle Assignment'!AC3:AC22=TRUE()),'Patent Portfolio'!U3:U22)/COUNTIF('Bundle Assignment'!AC3:AC22,TRUE()),0))</f>
        <v>11.5</v>
      </c>
      <c r="F28" s="213" t="n">
        <f aca="false">IF(Configuration!$C$36="No","",IFERROR(SUMPRODUCT(--('Bundle Assignment'!AC3:AC22=TRUE()),--('Patent Portfolio'!X3:X22="Yes"))/COUNTIF('Bundle Assignment'!AC3:AC22,TRUE()),0))</f>
        <v>1</v>
      </c>
      <c r="G28" s="213" t="n">
        <f aca="false">IF(Configuration!$C$36="No","",IFERROR(SUMPRODUCT(--('Bundle Assignment'!AC3:AC22=TRUE()),--('Patent Portfolio'!T3:T22="Yes"))/COUNTIF('Bundle Assignment'!AC3:AC22,TRUE()),0))</f>
        <v>0.5</v>
      </c>
      <c r="H28" s="213" t="n">
        <f aca="false">IF(Configuration!$C$36="No","",IFERROR(SUMPRODUCT(--('Bundle Assignment'!AC3:AC22=TRUE()),--('Patent Portfolio'!H3:H22&gt;=2))/COUNTIF('Bundle Assignment'!AC3:AC22,TRUE()),0))</f>
        <v>1</v>
      </c>
      <c r="I28" s="210" t="n">
        <f aca="false">IF(Configuration!$C$36="No","",SUMPRODUCT(--('Bundle Assignment'!AC3:AC22=TRUE()),--('Patent Portfolio'!L3:L22=3)))</f>
        <v>0</v>
      </c>
      <c r="J28" s="131" t="str">
        <f aca="false">IF(Configuration!$C$36="No","",IF(C28&lt;2,"WEAK",IF(AND(C28&gt;=Configuration!$C$59,D28&gt;=Configuration!$C$60,E28&gt;=Configuration!$C$61),"STRONG","MODERATE")))</f>
        <v>MODERATE</v>
      </c>
      <c r="K28" s="214" t="str">
        <f aca="false">IF(Configuration!$C$36="No","",IF(Configuration!$C$63="No","",IFERROR(aggregate(5,6,'Patent Portfolio'!AC3:AC22/('Bundle Assignment'!AC3:AC22=TRUE())),"")))</f>
        <v/>
      </c>
      <c r="L28" s="213" t="n">
        <f aca="false">IF(Configuration!$C$36="No","",IF(Configuration!$C$64="No","",IFERROR(SUMPRODUCT(--('Bundle Assignment'!AC3:AC22=TRUE()),--('Patent Portfolio'!AD3:AD22&lt;=1))/COUNTIF('Bundle Assignment'!AC3:AC22,TRUE()),0)))</f>
        <v>0</v>
      </c>
      <c r="M28" s="213" t="n">
        <f aca="false">IF(Configuration!$C$36="No","",IF(Configuration!$C$65="No","",IFERROR(SUMPRODUCT(--('Bundle Assignment'!AC3:AC22=TRUE()),--('Patent Portfolio'!AK3:AK22&lt;&gt;"None"),--('Patent Portfolio'!AK3:AK22&lt;&gt;""))/COUNTIF('Bundle Assignment'!AC3:AC22,TRUE()),0)))</f>
        <v>1</v>
      </c>
      <c r="N28" s="213" t="n">
        <f aca="false">IF(Configuration!$C$36="No","",IF(Configuration!$C$66="No","",IFERROR(SUMPRODUCT(--('Bundle Assignment'!AC3:AC22=TRUE()),--('Patent Portfolio'!AI3:AI22="Survived"))/COUNTIF('Bundle Assignment'!AC3:AC22,TRUE()),0)))</f>
        <v>1</v>
      </c>
      <c r="O28" s="213" t="n">
        <f aca="false">IF(Configuration!$C$36="No","",IF(Configuration!$C$67="No","",IFERROR(SUMPRODUCT(--('Bundle Assignment'!AC3:AC22=TRUE()),--('Patent Portfolio'!T3:T22="Yes"))/COUNTIF('Bundle Assignment'!AC3:AC22,TRUE()),0)))</f>
        <v>0.5</v>
      </c>
    </row>
    <row r="29" customFormat="false" ht="15" hidden="false" customHeight="true" outlineLevel="0" collapsed="false">
      <c r="A29" s="198" t="n">
        <v>28</v>
      </c>
      <c r="B29" s="63" t="str">
        <f aca="false">IF(Configuration!$C$37="No","[DISABLED] Clean-Title","Clean-Title")</f>
        <v>Clean-Title</v>
      </c>
      <c r="C29" s="210" t="n">
        <f aca="false">IF(Configuration!$C$37="No","",COUNTIF('Bundle Assignment'!AD3:AD22,TRUE()))</f>
        <v>9</v>
      </c>
      <c r="D29" s="211" t="n">
        <f aca="false">IF(Configuration!$C$37="No","",IFERROR(SUMPRODUCT(--('Bundle Assignment'!AD3:AD22=TRUE()),('Patent Portfolio'!O3:O22+'Patent Portfolio'!P3:P22)/2)/COUNTIF('Bundle Assignment'!AD3:AD22,TRUE()),0))</f>
        <v>1.55555555555556</v>
      </c>
      <c r="E29" s="212" t="n">
        <f aca="false">IF(Configuration!$C$37="No","",IFERROR(SUMPRODUCT(--('Bundle Assignment'!AD3:AD22=TRUE()),'Patent Portfolio'!U3:U22)/COUNTIF('Bundle Assignment'!AD3:AD22,TRUE()),0))</f>
        <v>14.1111111111111</v>
      </c>
      <c r="F29" s="213" t="n">
        <f aca="false">IF(Configuration!$C$37="No","",IFERROR(SUMPRODUCT(--('Bundle Assignment'!AD3:AD22=TRUE()),--('Patent Portfolio'!X3:X22="Yes"))/COUNTIF('Bundle Assignment'!AD3:AD22,TRUE()),0))</f>
        <v>0.888888888888889</v>
      </c>
      <c r="G29" s="213" t="n">
        <f aca="false">IF(Configuration!$C$37="No","",IFERROR(SUMPRODUCT(--('Bundle Assignment'!AD3:AD22=TRUE()),--('Patent Portfolio'!T3:T22="Yes"))/COUNTIF('Bundle Assignment'!AD3:AD22,TRUE()),0))</f>
        <v>0.666666666666667</v>
      </c>
      <c r="H29" s="213" t="n">
        <f aca="false">IF(Configuration!$C$37="No","",IFERROR(SUMPRODUCT(--('Bundle Assignment'!AD3:AD22=TRUE()),--('Patent Portfolio'!H3:H22&gt;=2))/COUNTIF('Bundle Assignment'!AD3:AD22,TRUE()),0))</f>
        <v>0.444444444444444</v>
      </c>
      <c r="I29" s="210" t="n">
        <f aca="false">IF(Configuration!$C$37="No","",SUMPRODUCT(--('Bundle Assignment'!AD3:AD22=TRUE()),--('Patent Portfolio'!L3:L22=3)))</f>
        <v>1</v>
      </c>
      <c r="J29" s="131" t="str">
        <f aca="false">IF(Configuration!$C$37="No","",IF(C29&lt;2,"WEAK",IF(AND(C29&gt;=Configuration!$C$59,D29&gt;=Configuration!$C$60,E29&gt;=Configuration!$C$61),"STRONG","MODERATE")))</f>
        <v>MODERATE</v>
      </c>
      <c r="K29" s="214" t="str">
        <f aca="false">IF(Configuration!$C$37="No","",IF(Configuration!$C$63="No","",IFERROR(aggregate(5,6,'Patent Portfolio'!AC3:AC22/('Bundle Assignment'!AD3:AD22=TRUE())),"")))</f>
        <v/>
      </c>
      <c r="L29" s="213" t="n">
        <f aca="false">IF(Configuration!$C$37="No","",IF(Configuration!$C$64="No","",IFERROR(SUMPRODUCT(--('Bundle Assignment'!AD3:AD22=TRUE()),--('Patent Portfolio'!AD3:AD22&lt;=1))/COUNTIF('Bundle Assignment'!AD3:AD22,TRUE()),0)))</f>
        <v>0.222222222222222</v>
      </c>
      <c r="M29" s="213" t="n">
        <f aca="false">IF(Configuration!$C$37="No","",IF(Configuration!$C$65="No","",IFERROR(SUMPRODUCT(--('Bundle Assignment'!AD3:AD22=TRUE()),--('Patent Portfolio'!AK3:AK22&lt;&gt;"None"),--('Patent Portfolio'!AK3:AK22&lt;&gt;""))/COUNTIF('Bundle Assignment'!AD3:AD22,TRUE()),0)))</f>
        <v>0.666666666666667</v>
      </c>
      <c r="N29" s="213" t="n">
        <f aca="false">IF(Configuration!$C$37="No","",IF(Configuration!$C$66="No","",IFERROR(SUMPRODUCT(--('Bundle Assignment'!AD3:AD22=TRUE()),--('Patent Portfolio'!AI3:AI22="Survived"))/COUNTIF('Bundle Assignment'!AD3:AD22,TRUE()),0)))</f>
        <v>0.222222222222222</v>
      </c>
      <c r="O29" s="213" t="n">
        <f aca="false">IF(Configuration!$C$37="No","",IF(Configuration!$C$67="No","",IFERROR(SUMPRODUCT(--('Bundle Assignment'!AD3:AD22=TRUE()),--('Patent Portfolio'!T3:T22="Yes"))/COUNTIF('Bundle Assignment'!AD3:AD22,TRUE()),0)))</f>
        <v>0.666666666666667</v>
      </c>
    </row>
    <row r="30" customFormat="false" ht="15" hidden="false" customHeight="true" outlineLevel="0" collapsed="false">
      <c r="A30" s="198" t="n">
        <v>29</v>
      </c>
      <c r="B30" s="63" t="str">
        <f aca="false">IF(Configuration!$C$38="No","[DISABLED] High-Citation","High-Citation")</f>
        <v>High-Citation</v>
      </c>
      <c r="C30" s="210" t="n">
        <f aca="false">IF(Configuration!$C$38="No","",COUNTIF('Bundle Assignment'!AE3:AE22,TRUE()))</f>
        <v>8</v>
      </c>
      <c r="D30" s="211" t="n">
        <f aca="false">IF(Configuration!$C$38="No","",IFERROR(SUMPRODUCT(--('Bundle Assignment'!AE3:AE22=TRUE()),('Patent Portfolio'!O3:O22+'Patent Portfolio'!P3:P22)/2)/COUNTIF('Bundle Assignment'!AE3:AE22,TRUE()),0))</f>
        <v>1.6875</v>
      </c>
      <c r="E30" s="212" t="n">
        <f aca="false">IF(Configuration!$C$38="No","",IFERROR(SUMPRODUCT(--('Bundle Assignment'!AE3:AE22=TRUE()),'Patent Portfolio'!U3:U22)/COUNTIF('Bundle Assignment'!AE3:AE22,TRUE()),0))</f>
        <v>12.875</v>
      </c>
      <c r="F30" s="213" t="n">
        <f aca="false">IF(Configuration!$C$38="No","",IFERROR(SUMPRODUCT(--('Bundle Assignment'!AE3:AE22=TRUE()),--('Patent Portfolio'!X3:X22="Yes"))/COUNTIF('Bundle Assignment'!AE3:AE22,TRUE()),0))</f>
        <v>1</v>
      </c>
      <c r="G30" s="213" t="n">
        <f aca="false">IF(Configuration!$C$38="No","",IFERROR(SUMPRODUCT(--('Bundle Assignment'!AE3:AE22=TRUE()),--('Patent Portfolio'!T3:T22="Yes"))/COUNTIF('Bundle Assignment'!AE3:AE22,TRUE()),0))</f>
        <v>0.5</v>
      </c>
      <c r="H30" s="213" t="n">
        <f aca="false">IF(Configuration!$C$38="No","",IFERROR(SUMPRODUCT(--('Bundle Assignment'!AE3:AE22=TRUE()),--('Patent Portfolio'!H3:H22&gt;=2))/COUNTIF('Bundle Assignment'!AE3:AE22,TRUE()),0))</f>
        <v>0.375</v>
      </c>
      <c r="I30" s="210" t="n">
        <f aca="false">IF(Configuration!$C$38="No","",SUMPRODUCT(--('Bundle Assignment'!AE3:AE22=TRUE()),--('Patent Portfolio'!L3:L22=3)))</f>
        <v>1</v>
      </c>
      <c r="J30" s="131" t="str">
        <f aca="false">IF(Configuration!$C$38="No","",IF(C30&lt;2,"WEAK",IF(AND(C30&gt;=Configuration!$C$59,D30&gt;=Configuration!$C$60,E30&gt;=Configuration!$C$61),"STRONG","MODERATE")))</f>
        <v>MODERATE</v>
      </c>
      <c r="K30" s="214" t="str">
        <f aca="false">IF(Configuration!$C$38="No","",IF(Configuration!$C$63="No","",IFERROR(aggregate(5,6,'Patent Portfolio'!AC3:AC22/('Bundle Assignment'!AE3:AE22=TRUE())),"")))</f>
        <v/>
      </c>
      <c r="L30" s="213" t="n">
        <f aca="false">IF(Configuration!$C$38="No","",IF(Configuration!$C$64="No","",IFERROR(SUMPRODUCT(--('Bundle Assignment'!AE3:AE22=TRUE()),--('Patent Portfolio'!AD3:AD22&lt;=1))/COUNTIF('Bundle Assignment'!AE3:AE22,TRUE()),0)))</f>
        <v>0.125</v>
      </c>
      <c r="M30" s="213" t="n">
        <f aca="false">IF(Configuration!$C$38="No","",IF(Configuration!$C$65="No","",IFERROR(SUMPRODUCT(--('Bundle Assignment'!AE3:AE22=TRUE()),--('Patent Portfolio'!AK3:AK22&lt;&gt;"None"),--('Patent Portfolio'!AK3:AK22&lt;&gt;""))/COUNTIF('Bundle Assignment'!AE3:AE22,TRUE()),0)))</f>
        <v>0.875</v>
      </c>
      <c r="N30" s="213" t="n">
        <f aca="false">IF(Configuration!$C$38="No","",IF(Configuration!$C$66="No","",IFERROR(SUMPRODUCT(--('Bundle Assignment'!AE3:AE22=TRUE()),--('Patent Portfolio'!AI3:AI22="Survived"))/COUNTIF('Bundle Assignment'!AE3:AE22,TRUE()),0)))</f>
        <v>0.25</v>
      </c>
      <c r="O30" s="213" t="n">
        <f aca="false">IF(Configuration!$C$38="No","",IF(Configuration!$C$67="No","",IFERROR(SUMPRODUCT(--('Bundle Assignment'!AE3:AE22=TRUE()),--('Patent Portfolio'!T3:T22="Yes"))/COUNTIF('Bundle Assignment'!AE3:AE22,TRUE()),0)))</f>
        <v>0.5</v>
      </c>
    </row>
    <row r="31" customFormat="false" ht="15" hidden="false" customHeight="true" outlineLevel="0" collapsed="false">
      <c r="A31" s="198" t="n">
        <v>30</v>
      </c>
      <c r="B31" s="63" t="str">
        <f aca="false">IF(Configuration!$C$39="No","[DISABLED] Adjacent Re-Read","Adjacent Re-Read")</f>
        <v>Adjacent Re-Read</v>
      </c>
      <c r="C31" s="210" t="n">
        <f aca="false">IF(Configuration!$C$39="No","",COUNTIF('Bundle Assignment'!AF3:AF22,TRUE()))</f>
        <v>9</v>
      </c>
      <c r="D31" s="211" t="n">
        <f aca="false">IF(Configuration!$C$39="No","",IFERROR(SUMPRODUCT(--('Bundle Assignment'!AF3:AF22=TRUE()),('Patent Portfolio'!O3:O22+'Patent Portfolio'!P3:P22)/2)/COUNTIF('Bundle Assignment'!AF3:AF22,TRUE()),0))</f>
        <v>1.66666666666667</v>
      </c>
      <c r="E31" s="212" t="n">
        <f aca="false">IF(Configuration!$C$39="No","",IFERROR(SUMPRODUCT(--('Bundle Assignment'!AF3:AF22=TRUE()),'Patent Portfolio'!U3:U22)/COUNTIF('Bundle Assignment'!AF3:AF22,TRUE()),0))</f>
        <v>13.1111111111111</v>
      </c>
      <c r="F31" s="213" t="n">
        <f aca="false">IF(Configuration!$C$39="No","",IFERROR(SUMPRODUCT(--('Bundle Assignment'!AF3:AF22=TRUE()),--('Patent Portfolio'!X3:X22="Yes"))/COUNTIF('Bundle Assignment'!AF3:AF22,TRUE()),0))</f>
        <v>0.777777777777778</v>
      </c>
      <c r="G31" s="213" t="n">
        <f aca="false">IF(Configuration!$C$39="No","",IFERROR(SUMPRODUCT(--('Bundle Assignment'!AF3:AF22=TRUE()),--('Patent Portfolio'!T3:T22="Yes"))/COUNTIF('Bundle Assignment'!AF3:AF22,TRUE()),0))</f>
        <v>0.444444444444444</v>
      </c>
      <c r="H31" s="213" t="n">
        <f aca="false">IF(Configuration!$C$39="No","",IFERROR(SUMPRODUCT(--('Bundle Assignment'!AF3:AF22=TRUE()),--('Patent Portfolio'!H3:H22&gt;=2))/COUNTIF('Bundle Assignment'!AF3:AF22,TRUE()),0))</f>
        <v>0.222222222222222</v>
      </c>
      <c r="I31" s="210" t="n">
        <f aca="false">IF(Configuration!$C$39="No","",SUMPRODUCT(--('Bundle Assignment'!AF3:AF22=TRUE()),--('Patent Portfolio'!L3:L22=3)))</f>
        <v>1</v>
      </c>
      <c r="J31" s="131" t="str">
        <f aca="false">IF(Configuration!$C$39="No","",IF(C31&lt;2,"WEAK",IF(AND(C31&gt;=Configuration!$C$59,D31&gt;=Configuration!$C$60,E31&gt;=Configuration!$C$61),"STRONG","MODERATE")))</f>
        <v>MODERATE</v>
      </c>
      <c r="K31" s="214" t="str">
        <f aca="false">IF(Configuration!$C$39="No","",IF(Configuration!$C$63="No","",IFERROR(aggregate(5,6,'Patent Portfolio'!AC3:AC22/('Bundle Assignment'!AF3:AF22=TRUE())),"")))</f>
        <v/>
      </c>
      <c r="L31" s="213" t="n">
        <f aca="false">IF(Configuration!$C$39="No","",IF(Configuration!$C$64="No","",IFERROR(SUMPRODUCT(--('Bundle Assignment'!AF3:AF22=TRUE()),--('Patent Portfolio'!AD3:AD22&lt;=1))/COUNTIF('Bundle Assignment'!AF3:AF22,TRUE()),0)))</f>
        <v>0.333333333333333</v>
      </c>
      <c r="M31" s="213" t="n">
        <f aca="false">IF(Configuration!$C$39="No","",IF(Configuration!$C$65="No","",IFERROR(SUMPRODUCT(--('Bundle Assignment'!AF3:AF22=TRUE()),--('Patent Portfolio'!AK3:AK22&lt;&gt;"None"),--('Patent Portfolio'!AK3:AK22&lt;&gt;""))/COUNTIF('Bundle Assignment'!AF3:AF22,TRUE()),0)))</f>
        <v>0.555555555555556</v>
      </c>
      <c r="N31" s="213" t="n">
        <f aca="false">IF(Configuration!$C$39="No","",IF(Configuration!$C$66="No","",IFERROR(SUMPRODUCT(--('Bundle Assignment'!AF3:AF22=TRUE()),--('Patent Portfolio'!AI3:AI22="Survived"))/COUNTIF('Bundle Assignment'!AF3:AF22,TRUE()),0)))</f>
        <v>0.111111111111111</v>
      </c>
      <c r="O31" s="213" t="n">
        <f aca="false">IF(Configuration!$C$39="No","",IF(Configuration!$C$67="No","",IFERROR(SUMPRODUCT(--('Bundle Assignment'!AF3:AF22=TRUE()),--('Patent Portfolio'!T3:T22="Yes"))/COUNTIF('Bundle Assignment'!AF3:AF22,TRUE()),0)))</f>
        <v>0.444444444444444</v>
      </c>
    </row>
    <row r="32" customFormat="false" ht="15" hidden="false" customHeight="true" outlineLevel="0" collapsed="false">
      <c r="A32" s="198" t="n">
        <v>31</v>
      </c>
      <c r="B32" s="63" t="str">
        <f aca="false">IF(Configuration!$C$40="No","[DISABLED] Salvage / Volume Lot","Salvage / Volume Lot")</f>
        <v>Salvage / Volume Lot</v>
      </c>
      <c r="C32" s="210" t="n">
        <f aca="false">IF(Configuration!$C$40="No","",COUNTIF('Bundle Assignment'!AG3:AG22,TRUE()))</f>
        <v>11</v>
      </c>
      <c r="D32" s="211" t="n">
        <f aca="false">IF(Configuration!$C$40="No","",IFERROR(SUMPRODUCT(--('Bundle Assignment'!AG3:AG22=TRUE()),('Patent Portfolio'!O3:O22+'Patent Portfolio'!P3:P22)/2)/COUNTIF('Bundle Assignment'!AG3:AG22,TRUE()),0))</f>
        <v>0.318181818181818</v>
      </c>
      <c r="E32" s="212" t="n">
        <f aca="false">IF(Configuration!$C$40="No","",IFERROR(SUMPRODUCT(--('Bundle Assignment'!AG3:AG22=TRUE()),'Patent Portfolio'!U3:U22)/COUNTIF('Bundle Assignment'!AG3:AG22,TRUE()),0))</f>
        <v>3.81818181818182</v>
      </c>
      <c r="F32" s="213" t="n">
        <f aca="false">IF(Configuration!$C$40="No","",IFERROR(SUMPRODUCT(--('Bundle Assignment'!AG3:AG22=TRUE()),--('Patent Portfolio'!X3:X22="Yes"))/COUNTIF('Bundle Assignment'!AG3:AG22,TRUE()),0))</f>
        <v>0.0909090909090909</v>
      </c>
      <c r="G32" s="213" t="n">
        <f aca="false">IF(Configuration!$C$40="No","",IFERROR(SUMPRODUCT(--('Bundle Assignment'!AG3:AG22=TRUE()),--('Patent Portfolio'!T3:T22="Yes"))/COUNTIF('Bundle Assignment'!AG3:AG22,TRUE()),0))</f>
        <v>0.181818181818182</v>
      </c>
      <c r="H32" s="213" t="n">
        <f aca="false">IF(Configuration!$C$40="No","",IFERROR(SUMPRODUCT(--('Bundle Assignment'!AG3:AG22=TRUE()),--('Patent Portfolio'!H3:H22&gt;=2))/COUNTIF('Bundle Assignment'!AG3:AG22,TRUE()),0))</f>
        <v>0</v>
      </c>
      <c r="I32" s="210" t="n">
        <f aca="false">IF(Configuration!$C$40="No","",SUMPRODUCT(--('Bundle Assignment'!AG3:AG22=TRUE()),--('Patent Portfolio'!L3:L22=3)))</f>
        <v>0</v>
      </c>
      <c r="J32" s="131" t="str">
        <f aca="false">IF(Configuration!$C$40="No","",IF(C32&lt;2,"WEAK",IF(AND(C32&gt;=Configuration!$C$59,D32&gt;=Configuration!$C$60,E32&gt;=Configuration!$C$61),"STRONG","MODERATE")))</f>
        <v>MODERATE</v>
      </c>
      <c r="K32" s="214" t="str">
        <f aca="false">IF(Configuration!$C$40="No","",IF(Configuration!$C$63="No","",IFERROR(aggregate(5,6,'Patent Portfolio'!AC3:AC22/('Bundle Assignment'!AG3:AG22=TRUE())),"")))</f>
        <v/>
      </c>
      <c r="L32" s="213" t="n">
        <f aca="false">IF(Configuration!$C$40="No","",IF(Configuration!$C$64="No","",IFERROR(SUMPRODUCT(--('Bundle Assignment'!AG3:AG22=TRUE()),--('Patent Portfolio'!AD3:AD22&lt;=1))/COUNTIF('Bundle Assignment'!AG3:AG22,TRUE()),0)))</f>
        <v>1</v>
      </c>
      <c r="M32" s="213" t="n">
        <f aca="false">IF(Configuration!$C$40="No","",IF(Configuration!$C$65="No","",IFERROR(SUMPRODUCT(--('Bundle Assignment'!AG3:AG22=TRUE()),--('Patent Portfolio'!AK3:AK22&lt;&gt;"None"),--('Patent Portfolio'!AK3:AK22&lt;&gt;""))/COUNTIF('Bundle Assignment'!AG3:AG22,TRUE()),0)))</f>
        <v>0.0909090909090909</v>
      </c>
      <c r="N32" s="213" t="n">
        <f aca="false">IF(Configuration!$C$40="No","",IF(Configuration!$C$66="No","",IFERROR(SUMPRODUCT(--('Bundle Assignment'!AG3:AG22=TRUE()),--('Patent Portfolio'!AI3:AI22="Survived"))/COUNTIF('Bundle Assignment'!AG3:AG22,TRUE()),0)))</f>
        <v>0</v>
      </c>
      <c r="O32" s="213" t="n">
        <f aca="false">IF(Configuration!$C$40="No","",IF(Configuration!$C$67="No","",IFERROR(SUMPRODUCT(--('Bundle Assignment'!AG3:AG22=TRUE()),--('Patent Portfolio'!T3:T22="Yes"))/COUNTIF('Bundle Assignment'!AG3:AG22,TRUE()),0)))</f>
        <v>0.181818181818182</v>
      </c>
    </row>
    <row r="33" customFormat="false" ht="15" hidden="false" customHeight="true" outlineLevel="0" collapsed="false">
      <c r="A33" s="198" t="n">
        <v>32</v>
      </c>
      <c r="B33" s="63" t="str">
        <f aca="false">IF(Configuration!$C$41="No","[DISABLED] Pre-Expiry","Pre-Expiry")</f>
        <v>Pre-Expiry</v>
      </c>
      <c r="C33" s="210" t="n">
        <f aca="false">IF(Configuration!$C$41="No","",COUNTIF('Bundle Assignment'!AH3:AH22,TRUE()))</f>
        <v>0</v>
      </c>
      <c r="D33" s="211" t="n">
        <f aca="false">IF(Configuration!$C$41="No","",IFERROR(SUMPRODUCT(--('Bundle Assignment'!AH3:AH22=TRUE()),('Patent Portfolio'!O3:O22+'Patent Portfolio'!P3:P22)/2)/COUNTIF('Bundle Assignment'!AH3:AH22,TRUE()),0))</f>
        <v>0</v>
      </c>
      <c r="E33" s="212" t="n">
        <f aca="false">IF(Configuration!$C$41="No","",IFERROR(SUMPRODUCT(--('Bundle Assignment'!AH3:AH22=TRUE()),'Patent Portfolio'!U3:U22)/COUNTIF('Bundle Assignment'!AH3:AH22,TRUE()),0))</f>
        <v>0</v>
      </c>
      <c r="F33" s="213" t="n">
        <f aca="false">IF(Configuration!$C$41="No","",IFERROR(SUMPRODUCT(--('Bundle Assignment'!AH3:AH22=TRUE()),--('Patent Portfolio'!X3:X22="Yes"))/COUNTIF('Bundle Assignment'!AH3:AH22,TRUE()),0))</f>
        <v>0</v>
      </c>
      <c r="G33" s="213" t="n">
        <f aca="false">IF(Configuration!$C$41="No","",IFERROR(SUMPRODUCT(--('Bundle Assignment'!AH3:AH22=TRUE()),--('Patent Portfolio'!T3:T22="Yes"))/COUNTIF('Bundle Assignment'!AH3:AH22,TRUE()),0))</f>
        <v>0</v>
      </c>
      <c r="H33" s="213" t="n">
        <f aca="false">IF(Configuration!$C$41="No","",IFERROR(SUMPRODUCT(--('Bundle Assignment'!AH3:AH22=TRUE()),--('Patent Portfolio'!H3:H22&gt;=2))/COUNTIF('Bundle Assignment'!AH3:AH22,TRUE()),0))</f>
        <v>0</v>
      </c>
      <c r="I33" s="210" t="n">
        <f aca="false">IF(Configuration!$C$41="No","",SUMPRODUCT(--('Bundle Assignment'!AH3:AH22=TRUE()),--('Patent Portfolio'!L3:L22=3)))</f>
        <v>0</v>
      </c>
      <c r="J33" s="131" t="str">
        <f aca="false">IF(Configuration!$C$41="No","",IF(C33&lt;2,"WEAK",IF(AND(C33&gt;=Configuration!$C$59,D33&gt;=Configuration!$C$60,E33&gt;=Configuration!$C$61),"STRONG","MODERATE")))</f>
        <v>WEAK</v>
      </c>
      <c r="K33" s="214" t="str">
        <f aca="false">IF(Configuration!$C$41="No","",IF(Configuration!$C$63="No","",IFERROR(aggregate(5,6,'Patent Portfolio'!AC3:AC22/('Bundle Assignment'!AH3:AH22=TRUE())),"")))</f>
        <v/>
      </c>
      <c r="L33" s="213" t="n">
        <f aca="false">IF(Configuration!$C$41="No","",IF(Configuration!$C$64="No","",IFERROR(SUMPRODUCT(--('Bundle Assignment'!AH3:AH22=TRUE()),--('Patent Portfolio'!AD3:AD22&lt;=1))/COUNTIF('Bundle Assignment'!AH3:AH22,TRUE()),0)))</f>
        <v>0</v>
      </c>
      <c r="M33" s="213" t="n">
        <f aca="false">IF(Configuration!$C$41="No","",IF(Configuration!$C$65="No","",IFERROR(SUMPRODUCT(--('Bundle Assignment'!AH3:AH22=TRUE()),--('Patent Portfolio'!AK3:AK22&lt;&gt;"None"),--('Patent Portfolio'!AK3:AK22&lt;&gt;""))/COUNTIF('Bundle Assignment'!AH3:AH22,TRUE()),0)))</f>
        <v>0</v>
      </c>
      <c r="N33" s="213" t="n">
        <f aca="false">IF(Configuration!$C$41="No","",IF(Configuration!$C$66="No","",IFERROR(SUMPRODUCT(--('Bundle Assignment'!AH3:AH22=TRUE()),--('Patent Portfolio'!AI3:AI22="Survived"))/COUNTIF('Bundle Assignment'!AH3:AH22,TRUE()),0)))</f>
        <v>0</v>
      </c>
      <c r="O33" s="213" t="n">
        <f aca="false">IF(Configuration!$C$41="No","",IF(Configuration!$C$67="No","",IFERROR(SUMPRODUCT(--('Bundle Assignment'!AH3:AH22=TRUE()),--('Patent Portfolio'!T3:T22="Yes"))/COUNTIF('Bundle Assignment'!AH3:AH22,TRUE()),0)))</f>
        <v>0</v>
      </c>
    </row>
    <row r="34" customFormat="false" ht="15" hidden="false" customHeight="true" outlineLevel="0" collapsed="false">
      <c r="A34" s="198" t="n">
        <v>33</v>
      </c>
      <c r="B34" s="63" t="str">
        <f aca="false">IF(Configuration!$C$42="No","[DISABLED] Provenance-Coherent","Provenance-Coherent")</f>
        <v>Provenance-Coherent</v>
      </c>
      <c r="C34" s="210" t="n">
        <f aca="false">IF(Configuration!$C$42="No","",COUNTIF('Bundle Assignment'!AI3:AI22,TRUE()))</f>
        <v>12</v>
      </c>
      <c r="D34" s="211" t="n">
        <f aca="false">IF(Configuration!$C$42="No","",IFERROR(SUMPRODUCT(--('Bundle Assignment'!AI3:AI22=TRUE()),('Patent Portfolio'!O3:O22+'Patent Portfolio'!P3:P22)/2)/COUNTIF('Bundle Assignment'!AI3:AI22,TRUE()),0))</f>
        <v>1.58333333333333</v>
      </c>
      <c r="E34" s="212" t="n">
        <f aca="false">IF(Configuration!$C$42="No","",IFERROR(SUMPRODUCT(--('Bundle Assignment'!AI3:AI22=TRUE()),'Patent Portfolio'!U3:U22)/COUNTIF('Bundle Assignment'!AI3:AI22,TRUE()),0))</f>
        <v>13.1666666666667</v>
      </c>
      <c r="F34" s="213" t="n">
        <f aca="false">IF(Configuration!$C$42="No","",IFERROR(SUMPRODUCT(--('Bundle Assignment'!AI3:AI22=TRUE()),--('Patent Portfolio'!X3:X22="Yes"))/COUNTIF('Bundle Assignment'!AI3:AI22,TRUE()),0))</f>
        <v>0.833333333333333</v>
      </c>
      <c r="G34" s="213" t="n">
        <f aca="false">IF(Configuration!$C$42="No","",IFERROR(SUMPRODUCT(--('Bundle Assignment'!AI3:AI22=TRUE()),--('Patent Portfolio'!T3:T22="Yes"))/COUNTIF('Bundle Assignment'!AI3:AI22,TRUE()),0))</f>
        <v>0.5</v>
      </c>
      <c r="H34" s="213" t="n">
        <f aca="false">IF(Configuration!$C$42="No","",IFERROR(SUMPRODUCT(--('Bundle Assignment'!AI3:AI22=TRUE()),--('Patent Portfolio'!H3:H22&gt;=2))/COUNTIF('Bundle Assignment'!AI3:AI22,TRUE()),0))</f>
        <v>0.333333333333333</v>
      </c>
      <c r="I34" s="210" t="n">
        <f aca="false">IF(Configuration!$C$42="No","",SUMPRODUCT(--('Bundle Assignment'!AI3:AI22=TRUE()),--('Patent Portfolio'!L3:L22=3)))</f>
        <v>1</v>
      </c>
      <c r="J34" s="131" t="str">
        <f aca="false">IF(Configuration!$C$42="No","",IF(C34&lt;2,"WEAK",IF(AND(C34&gt;=Configuration!$C$59,D34&gt;=Configuration!$C$60,E34&gt;=Configuration!$C$61),"STRONG","MODERATE")))</f>
        <v>MODERATE</v>
      </c>
      <c r="K34" s="214" t="str">
        <f aca="false">IF(Configuration!$C$42="No","",IF(Configuration!$C$63="No","",IFERROR(aggregate(5,6,'Patent Portfolio'!AC3:AC22/('Bundle Assignment'!AI3:AI22=TRUE())),"")))</f>
        <v/>
      </c>
      <c r="L34" s="213" t="n">
        <f aca="false">IF(Configuration!$C$42="No","",IF(Configuration!$C$64="No","",IFERROR(SUMPRODUCT(--('Bundle Assignment'!AI3:AI22=TRUE()),--('Patent Portfolio'!AD3:AD22&lt;=1))/COUNTIF('Bundle Assignment'!AI3:AI22,TRUE()),0)))</f>
        <v>0.25</v>
      </c>
      <c r="M34" s="213" t="n">
        <f aca="false">IF(Configuration!$C$42="No","",IF(Configuration!$C$65="No","",IFERROR(SUMPRODUCT(--('Bundle Assignment'!AI3:AI22=TRUE()),--('Patent Portfolio'!AK3:AK22&lt;&gt;"None"),--('Patent Portfolio'!AK3:AK22&lt;&gt;""))/COUNTIF('Bundle Assignment'!AI3:AI22,TRUE()),0)))</f>
        <v>0.583333333333333</v>
      </c>
      <c r="N34" s="213" t="n">
        <f aca="false">IF(Configuration!$C$42="No","",IF(Configuration!$C$66="No","",IFERROR(SUMPRODUCT(--('Bundle Assignment'!AI3:AI22=TRUE()),--('Patent Portfolio'!AI3:AI22="Survived"))/COUNTIF('Bundle Assignment'!AI3:AI22,TRUE()),0)))</f>
        <v>0.166666666666667</v>
      </c>
      <c r="O34" s="213" t="n">
        <f aca="false">IF(Configuration!$C$42="No","",IF(Configuration!$C$67="No","",IFERROR(SUMPRODUCT(--('Bundle Assignment'!AI3:AI22=TRUE()),--('Patent Portfolio'!T3:T22="Yes"))/COUNTIF('Bundle Assignment'!AI3:AI22,TRUE()),0)))</f>
        <v>0.5</v>
      </c>
    </row>
  </sheetData>
  <conditionalFormatting sqref="J2:J22">
    <cfRule type="cellIs" priority="2" operator="equal" aboveAverage="0" equalAverage="0" bottom="0" percent="0" rank="0" text="" dxfId="5">
      <formula>"STRONG"</formula>
    </cfRule>
    <cfRule type="cellIs" priority="3" operator="equal" aboveAverage="0" equalAverage="0" bottom="0" percent="0" rank="0" text="" dxfId="8">
      <formula>"MODERATE"</formula>
    </cfRule>
    <cfRule type="cellIs" priority="4" operator="equal" aboveAverage="0" equalAverage="0" bottom="0" percent="0" rank="0" text="" dxfId="6">
      <formula>"WEAK"</formula>
    </cfRule>
  </conditionalFormatting>
  <conditionalFormatting sqref="C2:C22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L2:L34">
    <cfRule type="colorScale" priority="6">
      <colorScale>
        <cfvo type="num" val="0"/>
        <cfvo type="num" val="0.3"/>
        <cfvo type="num" val="0.6"/>
        <color rgb="FFC6EFCE"/>
        <color rgb="FFFFEB9C"/>
        <color rgb="FFFFC7CE"/>
      </colorScale>
    </cfRule>
    <cfRule type="expression" priority="7" aboveAverage="0" equalAverage="0" bottom="0" percent="0" rank="0" text="" dxfId="7">
      <formula>ISNUMBER(SEARCH("[DISABLED]",$L$1))</formula>
    </cfRule>
  </conditionalFormatting>
  <conditionalFormatting sqref="M2:M34">
    <cfRule type="colorScale" priority="8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9" aboveAverage="0" equalAverage="0" bottom="0" percent="0" rank="0" text="" dxfId="7">
      <formula>ISNUMBER(SEARCH("[DISABLED]",$M$1))</formula>
    </cfRule>
  </conditionalFormatting>
  <conditionalFormatting sqref="N2:N34">
    <cfRule type="colorScale" priority="10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11" aboveAverage="0" equalAverage="0" bottom="0" percent="0" rank="0" text="" dxfId="7">
      <formula>ISNUMBER(SEARCH("[DISABLED]",$N$1))</formula>
    </cfRule>
  </conditionalFormatting>
  <conditionalFormatting sqref="O2:O34">
    <cfRule type="colorScale" priority="12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13" aboveAverage="0" equalAverage="0" bottom="0" percent="0" rank="0" text="" dxfId="7">
      <formula>ISNUMBER(SEARCH("[DISABLED]",$O$1))</formula>
    </cfRule>
  </conditionalFormatting>
  <conditionalFormatting sqref="A2:O2">
    <cfRule type="expression" priority="14" aboveAverage="0" equalAverage="0" bottom="0" percent="0" rank="0" text="" dxfId="7">
      <formula>ISNUMBER(SEARCH("[DISABLED]",$B2))</formula>
    </cfRule>
  </conditionalFormatting>
  <conditionalFormatting sqref="A3:O3">
    <cfRule type="expression" priority="15" aboveAverage="0" equalAverage="0" bottom="0" percent="0" rank="0" text="" dxfId="7">
      <formula>ISNUMBER(SEARCH("[DISABLED]",$B3))</formula>
    </cfRule>
  </conditionalFormatting>
  <conditionalFormatting sqref="A4:O4">
    <cfRule type="expression" priority="16" aboveAverage="0" equalAverage="0" bottom="0" percent="0" rank="0" text="" dxfId="7">
      <formula>ISNUMBER(SEARCH("[DISABLED]",$B4))</formula>
    </cfRule>
  </conditionalFormatting>
  <conditionalFormatting sqref="A5:O5">
    <cfRule type="expression" priority="17" aboveAverage="0" equalAverage="0" bottom="0" percent="0" rank="0" text="" dxfId="7">
      <formula>ISNUMBER(SEARCH("[DISABLED]",$B5))</formula>
    </cfRule>
  </conditionalFormatting>
  <conditionalFormatting sqref="A6:O6">
    <cfRule type="expression" priority="18" aboveAverage="0" equalAverage="0" bottom="0" percent="0" rank="0" text="" dxfId="7">
      <formula>ISNUMBER(SEARCH("[DISABLED]",$B6))</formula>
    </cfRule>
  </conditionalFormatting>
  <conditionalFormatting sqref="A7:O7">
    <cfRule type="expression" priority="19" aboveAverage="0" equalAverage="0" bottom="0" percent="0" rank="0" text="" dxfId="7">
      <formula>ISNUMBER(SEARCH("[DISABLED]",$B7))</formula>
    </cfRule>
  </conditionalFormatting>
  <conditionalFormatting sqref="A8:O8">
    <cfRule type="expression" priority="20" aboveAverage="0" equalAverage="0" bottom="0" percent="0" rank="0" text="" dxfId="7">
      <formula>ISNUMBER(SEARCH("[DISABLED]",$B8))</formula>
    </cfRule>
  </conditionalFormatting>
  <conditionalFormatting sqref="A9:O9">
    <cfRule type="expression" priority="21" aboveAverage="0" equalAverage="0" bottom="0" percent="0" rank="0" text="" dxfId="7">
      <formula>ISNUMBER(SEARCH("[DISABLED]",$B9))</formula>
    </cfRule>
  </conditionalFormatting>
  <conditionalFormatting sqref="A10:O10">
    <cfRule type="expression" priority="22" aboveAverage="0" equalAverage="0" bottom="0" percent="0" rank="0" text="" dxfId="7">
      <formula>ISNUMBER(SEARCH("[DISABLED]",$B10))</formula>
    </cfRule>
  </conditionalFormatting>
  <conditionalFormatting sqref="A11:O11">
    <cfRule type="expression" priority="23" aboveAverage="0" equalAverage="0" bottom="0" percent="0" rank="0" text="" dxfId="7">
      <formula>ISNUMBER(SEARCH("[DISABLED]",$B11))</formula>
    </cfRule>
  </conditionalFormatting>
  <conditionalFormatting sqref="A12:O12">
    <cfRule type="expression" priority="24" aboveAverage="0" equalAverage="0" bottom="0" percent="0" rank="0" text="" dxfId="7">
      <formula>ISNUMBER(SEARCH("[DISABLED]",$B12))</formula>
    </cfRule>
  </conditionalFormatting>
  <conditionalFormatting sqref="A13:O13">
    <cfRule type="expression" priority="25" aboveAverage="0" equalAverage="0" bottom="0" percent="0" rank="0" text="" dxfId="7">
      <formula>ISNUMBER(SEARCH("[DISABLED]",$B13))</formula>
    </cfRule>
  </conditionalFormatting>
  <conditionalFormatting sqref="A14:O14">
    <cfRule type="expression" priority="26" aboveAverage="0" equalAverage="0" bottom="0" percent="0" rank="0" text="" dxfId="7">
      <formula>ISNUMBER(SEARCH("[DISABLED]",$B14))</formula>
    </cfRule>
  </conditionalFormatting>
  <conditionalFormatting sqref="A15:O15">
    <cfRule type="expression" priority="27" aboveAverage="0" equalAverage="0" bottom="0" percent="0" rank="0" text="" dxfId="7">
      <formula>ISNUMBER(SEARCH("[DISABLED]",$B15))</formula>
    </cfRule>
  </conditionalFormatting>
  <conditionalFormatting sqref="A16:O16">
    <cfRule type="expression" priority="28" aboveAverage="0" equalAverage="0" bottom="0" percent="0" rank="0" text="" dxfId="7">
      <formula>ISNUMBER(SEARCH("[DISABLED]",$B16))</formula>
    </cfRule>
  </conditionalFormatting>
  <conditionalFormatting sqref="A17:O17">
    <cfRule type="expression" priority="29" aboveAverage="0" equalAverage="0" bottom="0" percent="0" rank="0" text="" dxfId="7">
      <formula>ISNUMBER(SEARCH("[DISABLED]",$B17))</formula>
    </cfRule>
  </conditionalFormatting>
  <conditionalFormatting sqref="A18:O18">
    <cfRule type="expression" priority="30" aboveAverage="0" equalAverage="0" bottom="0" percent="0" rank="0" text="" dxfId="7">
      <formula>ISNUMBER(SEARCH("[DISABLED]",$B18))</formula>
    </cfRule>
  </conditionalFormatting>
  <conditionalFormatting sqref="A19:O19">
    <cfRule type="expression" priority="31" aboveAverage="0" equalAverage="0" bottom="0" percent="0" rank="0" text="" dxfId="7">
      <formula>ISNUMBER(SEARCH("[DISABLED]",$B19))</formula>
    </cfRule>
  </conditionalFormatting>
  <conditionalFormatting sqref="A20:O20">
    <cfRule type="expression" priority="32" aboveAverage="0" equalAverage="0" bottom="0" percent="0" rank="0" text="" dxfId="7">
      <formula>ISNUMBER(SEARCH("[DISABLED]",$B20))</formula>
    </cfRule>
  </conditionalFormatting>
  <conditionalFormatting sqref="A21:O21">
    <cfRule type="expression" priority="33" aboveAverage="0" equalAverage="0" bottom="0" percent="0" rank="0" text="" dxfId="7">
      <formula>ISNUMBER(SEARCH("[DISABLED]",$B21))</formula>
    </cfRule>
  </conditionalFormatting>
  <conditionalFormatting sqref="A22:O22">
    <cfRule type="expression" priority="34" aboveAverage="0" equalAverage="0" bottom="0" percent="0" rank="0" text="" dxfId="7">
      <formula>ISNUMBER(SEARCH("[DISABLED]",$B22))</formula>
    </cfRule>
  </conditionalFormatting>
  <conditionalFormatting sqref="A23:O23">
    <cfRule type="expression" priority="35" aboveAverage="0" equalAverage="0" bottom="0" percent="0" rank="0" text="" dxfId="7">
      <formula>ISNUMBER(SEARCH("[DISABLED]",$B23))</formula>
    </cfRule>
  </conditionalFormatting>
  <conditionalFormatting sqref="A24:O24">
    <cfRule type="expression" priority="36" aboveAverage="0" equalAverage="0" bottom="0" percent="0" rank="0" text="" dxfId="7">
      <formula>ISNUMBER(SEARCH("[DISABLED]",$B24))</formula>
    </cfRule>
  </conditionalFormatting>
  <conditionalFormatting sqref="A25:O25">
    <cfRule type="expression" priority="37" aboveAverage="0" equalAverage="0" bottom="0" percent="0" rank="0" text="" dxfId="7">
      <formula>ISNUMBER(SEARCH("[DISABLED]",$B25))</formula>
    </cfRule>
  </conditionalFormatting>
  <conditionalFormatting sqref="A26:O26">
    <cfRule type="expression" priority="38" aboveAverage="0" equalAverage="0" bottom="0" percent="0" rank="0" text="" dxfId="7">
      <formula>ISNUMBER(SEARCH("[DISABLED]",$B26))</formula>
    </cfRule>
  </conditionalFormatting>
  <conditionalFormatting sqref="A27:O27">
    <cfRule type="expression" priority="39" aboveAverage="0" equalAverage="0" bottom="0" percent="0" rank="0" text="" dxfId="7">
      <formula>ISNUMBER(SEARCH("[DISABLED]",$B27))</formula>
    </cfRule>
  </conditionalFormatting>
  <conditionalFormatting sqref="A28:O28">
    <cfRule type="expression" priority="40" aboveAverage="0" equalAverage="0" bottom="0" percent="0" rank="0" text="" dxfId="7">
      <formula>ISNUMBER(SEARCH("[DISABLED]",$B28))</formula>
    </cfRule>
  </conditionalFormatting>
  <conditionalFormatting sqref="A29:O29">
    <cfRule type="expression" priority="41" aboveAverage="0" equalAverage="0" bottom="0" percent="0" rank="0" text="" dxfId="7">
      <formula>ISNUMBER(SEARCH("[DISABLED]",$B29))</formula>
    </cfRule>
  </conditionalFormatting>
  <conditionalFormatting sqref="A30:O30">
    <cfRule type="expression" priority="42" aboveAverage="0" equalAverage="0" bottom="0" percent="0" rank="0" text="" dxfId="7">
      <formula>ISNUMBER(SEARCH("[DISABLED]",$B30))</formula>
    </cfRule>
  </conditionalFormatting>
  <conditionalFormatting sqref="A31:O31">
    <cfRule type="expression" priority="43" aboveAverage="0" equalAverage="0" bottom="0" percent="0" rank="0" text="" dxfId="7">
      <formula>ISNUMBER(SEARCH("[DISABLED]",$B31))</formula>
    </cfRule>
  </conditionalFormatting>
  <conditionalFormatting sqref="A32:O32">
    <cfRule type="expression" priority="44" aboveAverage="0" equalAverage="0" bottom="0" percent="0" rank="0" text="" dxfId="7">
      <formula>ISNUMBER(SEARCH("[DISABLED]",$B32))</formula>
    </cfRule>
  </conditionalFormatting>
  <conditionalFormatting sqref="A33:O33">
    <cfRule type="expression" priority="45" aboveAverage="0" equalAverage="0" bottom="0" percent="0" rank="0" text="" dxfId="7">
      <formula>ISNUMBER(SEARCH("[DISABLED]",$B33))</formula>
    </cfRule>
  </conditionalFormatting>
  <conditionalFormatting sqref="A34:O34">
    <cfRule type="expression" priority="46" aboveAverage="0" equalAverage="0" bottom="0" percent="0" rank="0" text="" dxfId="7">
      <formula>ISNUMBER(SEARCH("[DISABLED]",$B34))</formula>
    </cfRule>
  </conditionalFormatting>
  <conditionalFormatting sqref="K2:K34">
    <cfRule type="expression" priority="47" aboveAverage="0" equalAverage="0" bottom="0" percent="0" rank="0" text="" dxfId="7">
      <formula>ISNUMBER(SEARCH("[DISABLED]",$K$1))</formula>
    </cfRule>
  </conditionalFormatting>
  <conditionalFormatting sqref="J2:J34">
    <cfRule type="cellIs" priority="48" operator="equal" aboveAverage="0" equalAverage="0" bottom="0" percent="0" rank="0" text="" dxfId="5">
      <formula>"STRONG"</formula>
    </cfRule>
    <cfRule type="cellIs" priority="49" operator="equal" aboveAverage="0" equalAverage="0" bottom="0" percent="0" rank="0" text="" dxfId="8">
      <formula>"MODERATE"</formula>
    </cfRule>
    <cfRule type="cellIs" priority="50" operator="equal" aboveAverage="0" equalAverage="0" bottom="0" percent="0" rank="0" text="" dxfId="6">
      <formula>"WEAK"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4" min="3" style="1" width="22"/>
    <col collapsed="false" customWidth="true" hidden="false" outlineLevel="0" max="6" min="5" style="1" width="14"/>
  </cols>
  <sheetData>
    <row r="1" customFormat="false" ht="17.25" hidden="false" customHeight="true" outlineLevel="0" collapsed="false">
      <c r="A1" s="215" t="s">
        <v>1453</v>
      </c>
      <c r="B1" s="215"/>
      <c r="C1" s="215"/>
      <c r="D1" s="215"/>
      <c r="E1" s="215"/>
      <c r="F1" s="215"/>
    </row>
    <row r="2" customFormat="false" ht="23.25" hidden="false" customHeight="true" outlineLevel="0" collapsed="false">
      <c r="A2" s="216" t="s">
        <v>1454</v>
      </c>
      <c r="B2" s="136" t="s">
        <v>1455</v>
      </c>
      <c r="C2" s="136"/>
      <c r="D2" s="136"/>
      <c r="E2" s="136"/>
      <c r="F2" s="136"/>
    </row>
    <row r="3" customFormat="false" ht="15" hidden="false" customHeight="true" outlineLevel="0" collapsed="false">
      <c r="A3" s="216" t="s">
        <v>1456</v>
      </c>
      <c r="B3" s="136" t="s">
        <v>1457</v>
      </c>
      <c r="C3" s="136"/>
      <c r="D3" s="136"/>
      <c r="E3" s="136"/>
      <c r="F3" s="136"/>
    </row>
    <row r="5" customFormat="false" ht="15" hidden="false" customHeight="true" outlineLevel="0" collapsed="false">
      <c r="A5" s="58" t="s">
        <v>72</v>
      </c>
      <c r="B5" s="58" t="s">
        <v>75</v>
      </c>
      <c r="C5" s="58" t="s">
        <v>1458</v>
      </c>
      <c r="D5" s="58" t="s">
        <v>1459</v>
      </c>
      <c r="E5" s="58" t="s">
        <v>1460</v>
      </c>
      <c r="F5" s="58" t="s">
        <v>1461</v>
      </c>
    </row>
    <row r="6" customFormat="false" ht="15" hidden="false" customHeight="true" outlineLevel="0" collapsed="false">
      <c r="A6" s="156" t="s">
        <v>1099</v>
      </c>
      <c r="B6" s="156" t="s">
        <v>1100</v>
      </c>
      <c r="C6" s="156" t="s">
        <v>658</v>
      </c>
      <c r="D6" s="156" t="s">
        <v>681</v>
      </c>
      <c r="E6" s="217" t="n">
        <v>14</v>
      </c>
      <c r="F6" s="217" t="s">
        <v>244</v>
      </c>
    </row>
    <row r="7" customFormat="false" ht="15" hidden="false" customHeight="true" outlineLevel="0" collapsed="false">
      <c r="A7" s="156" t="s">
        <v>1105</v>
      </c>
      <c r="B7" s="156" t="s">
        <v>1106</v>
      </c>
      <c r="C7" s="156" t="s">
        <v>658</v>
      </c>
      <c r="D7" s="156" t="s">
        <v>681</v>
      </c>
      <c r="E7" s="217" t="n">
        <v>13</v>
      </c>
      <c r="F7" s="217" t="s">
        <v>244</v>
      </c>
    </row>
    <row r="10" customFormat="false" ht="17.25" hidden="false" customHeight="true" outlineLevel="0" collapsed="false">
      <c r="A10" s="215" t="s">
        <v>1462</v>
      </c>
      <c r="B10" s="215"/>
      <c r="C10" s="215"/>
      <c r="D10" s="215"/>
      <c r="E10" s="215"/>
      <c r="F10" s="215"/>
    </row>
    <row r="11" customFormat="false" ht="23.25" hidden="false" customHeight="true" outlineLevel="0" collapsed="false">
      <c r="A11" s="216" t="s">
        <v>1454</v>
      </c>
      <c r="B11" s="136" t="s">
        <v>1463</v>
      </c>
      <c r="C11" s="136"/>
      <c r="D11" s="136"/>
      <c r="E11" s="136"/>
      <c r="F11" s="136"/>
    </row>
    <row r="12" customFormat="false" ht="15" hidden="false" customHeight="true" outlineLevel="0" collapsed="false">
      <c r="A12" s="216" t="s">
        <v>1456</v>
      </c>
      <c r="B12" s="136" t="s">
        <v>1464</v>
      </c>
      <c r="C12" s="136"/>
      <c r="D12" s="136"/>
      <c r="E12" s="136"/>
      <c r="F12" s="136"/>
    </row>
    <row r="14" customFormat="false" ht="15" hidden="false" customHeight="true" outlineLevel="0" collapsed="false">
      <c r="A14" s="58" t="s">
        <v>72</v>
      </c>
      <c r="B14" s="58" t="s">
        <v>75</v>
      </c>
      <c r="C14" s="58" t="s">
        <v>1458</v>
      </c>
      <c r="D14" s="58" t="s">
        <v>1459</v>
      </c>
      <c r="E14" s="58" t="s">
        <v>1460</v>
      </c>
      <c r="F14" s="58" t="s">
        <v>1461</v>
      </c>
    </row>
    <row r="15" customFormat="false" ht="23.25" hidden="false" customHeight="true" outlineLevel="0" collapsed="false">
      <c r="A15" s="156" t="s">
        <v>1123</v>
      </c>
      <c r="B15" s="156" t="s">
        <v>1124</v>
      </c>
      <c r="C15" s="156" t="s">
        <v>1125</v>
      </c>
      <c r="D15" s="156" t="s">
        <v>1121</v>
      </c>
      <c r="E15" s="217" t="n">
        <v>17</v>
      </c>
      <c r="F15" s="217" t="s">
        <v>244</v>
      </c>
    </row>
    <row r="16" customFormat="false" ht="23.25" hidden="false" customHeight="true" outlineLevel="0" collapsed="false">
      <c r="A16" s="156" t="s">
        <v>1129</v>
      </c>
      <c r="B16" s="156" t="s">
        <v>1130</v>
      </c>
      <c r="C16" s="156" t="s">
        <v>1131</v>
      </c>
      <c r="D16" s="156" t="s">
        <v>743</v>
      </c>
      <c r="E16" s="217" t="n">
        <v>11</v>
      </c>
      <c r="F16" s="217" t="s">
        <v>244</v>
      </c>
    </row>
    <row r="17" customFormat="false" ht="15" hidden="false" customHeight="true" outlineLevel="0" collapsed="false">
      <c r="A17" s="156" t="s">
        <v>1136</v>
      </c>
      <c r="B17" s="156" t="s">
        <v>1137</v>
      </c>
      <c r="C17" s="156" t="s">
        <v>1138</v>
      </c>
      <c r="D17" s="156" t="s">
        <v>743</v>
      </c>
      <c r="E17" s="217" t="n">
        <v>12</v>
      </c>
      <c r="F17" s="217" t="s">
        <v>244</v>
      </c>
    </row>
    <row r="20" customFormat="false" ht="17.25" hidden="false" customHeight="true" outlineLevel="0" collapsed="false">
      <c r="A20" s="215" t="s">
        <v>1465</v>
      </c>
      <c r="B20" s="215"/>
      <c r="C20" s="215"/>
      <c r="D20" s="215"/>
      <c r="E20" s="215"/>
      <c r="F20" s="215"/>
    </row>
    <row r="21" customFormat="false" ht="34.5" hidden="false" customHeight="true" outlineLevel="0" collapsed="false">
      <c r="A21" s="216" t="s">
        <v>1454</v>
      </c>
      <c r="B21" s="136" t="s">
        <v>1466</v>
      </c>
      <c r="C21" s="136"/>
      <c r="D21" s="136"/>
      <c r="E21" s="136"/>
      <c r="F21" s="136"/>
    </row>
    <row r="22" customFormat="false" ht="15" hidden="false" customHeight="true" outlineLevel="0" collapsed="false">
      <c r="A22" s="216" t="s">
        <v>1456</v>
      </c>
      <c r="B22" s="136" t="s">
        <v>1467</v>
      </c>
      <c r="C22" s="136"/>
      <c r="D22" s="136"/>
      <c r="E22" s="136"/>
      <c r="F22" s="136"/>
    </row>
    <row r="24" customFormat="false" ht="15" hidden="false" customHeight="true" outlineLevel="0" collapsed="false">
      <c r="A24" s="58" t="s">
        <v>72</v>
      </c>
      <c r="B24" s="58" t="s">
        <v>75</v>
      </c>
      <c r="C24" s="58" t="s">
        <v>1458</v>
      </c>
      <c r="D24" s="58" t="s">
        <v>1459</v>
      </c>
      <c r="E24" s="58" t="s">
        <v>1460</v>
      </c>
      <c r="F24" s="58" t="s">
        <v>1461</v>
      </c>
    </row>
    <row r="25" customFormat="false" ht="23.25" hidden="false" customHeight="true" outlineLevel="0" collapsed="false">
      <c r="A25" s="156" t="s">
        <v>1142</v>
      </c>
      <c r="B25" s="156" t="s">
        <v>1143</v>
      </c>
      <c r="C25" s="156" t="s">
        <v>1144</v>
      </c>
      <c r="D25" s="156" t="s">
        <v>743</v>
      </c>
      <c r="E25" s="217" t="n">
        <v>15</v>
      </c>
      <c r="F25" s="217" t="s">
        <v>244</v>
      </c>
    </row>
    <row r="26" customFormat="false" ht="23.25" hidden="false" customHeight="true" outlineLevel="0" collapsed="false">
      <c r="A26" s="156" t="s">
        <v>1151</v>
      </c>
      <c r="B26" s="156" t="s">
        <v>1152</v>
      </c>
      <c r="C26" s="156" t="s">
        <v>1144</v>
      </c>
      <c r="D26" s="156" t="s">
        <v>1121</v>
      </c>
      <c r="E26" s="217" t="n">
        <v>19</v>
      </c>
      <c r="F26" s="217" t="s">
        <v>233</v>
      </c>
    </row>
    <row r="27" customFormat="false" ht="15" hidden="false" customHeight="true" outlineLevel="0" collapsed="false">
      <c r="A27" s="156" t="s">
        <v>1159</v>
      </c>
      <c r="B27" s="156" t="s">
        <v>1160</v>
      </c>
      <c r="C27" s="156" t="s">
        <v>1161</v>
      </c>
      <c r="D27" s="156" t="s">
        <v>743</v>
      </c>
      <c r="E27" s="217" t="n">
        <v>10</v>
      </c>
      <c r="F27" s="217" t="s">
        <v>244</v>
      </c>
    </row>
  </sheetData>
  <mergeCells count="9">
    <mergeCell ref="A1:F1"/>
    <mergeCell ref="B2:F2"/>
    <mergeCell ref="B3:F3"/>
    <mergeCell ref="A10:F10"/>
    <mergeCell ref="B11:F11"/>
    <mergeCell ref="B12:F12"/>
    <mergeCell ref="A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21.75" hidden="false" customHeight="true" outlineLevel="0" collapsed="false">
      <c r="A1" s="2" t="s">
        <v>1468</v>
      </c>
    </row>
    <row r="2" customFormat="false" ht="15" hidden="false" customHeight="true" outlineLevel="0" collapsed="false">
      <c r="A2" s="3" t="s">
        <v>1469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218" t="s">
        <v>1470</v>
      </c>
    </row>
    <row r="5" customFormat="false" ht="15" hidden="false" customHeight="true" outlineLevel="0" collapsed="false">
      <c r="A5" s="4" t="s">
        <v>1471</v>
      </c>
    </row>
    <row r="6" customFormat="false" ht="15" hidden="false" customHeight="true" outlineLevel="0" collapsed="false">
      <c r="A6" s="4" t="s">
        <v>1472</v>
      </c>
    </row>
    <row r="7" customFormat="false" ht="15" hidden="false" customHeight="true" outlineLevel="0" collapsed="false">
      <c r="A7" s="4" t="s">
        <v>1473</v>
      </c>
    </row>
    <row r="8" customFormat="false" ht="15" hidden="false" customHeight="true" outlineLevel="0" collapsed="false">
      <c r="A8" s="4" t="s">
        <v>1474</v>
      </c>
    </row>
    <row r="9" customFormat="false" ht="15" hidden="false" customHeight="true" outlineLevel="0" collapsed="false">
      <c r="A9" s="4" t="s">
        <v>1475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218" t="s">
        <v>1476</v>
      </c>
    </row>
    <row r="12" customFormat="false" ht="15" hidden="false" customHeight="true" outlineLevel="0" collapsed="false">
      <c r="A12" s="4" t="s">
        <v>1477</v>
      </c>
    </row>
    <row r="13" customFormat="false" ht="15" hidden="false" customHeight="true" outlineLevel="0" collapsed="false">
      <c r="A13" s="4" t="s">
        <v>1478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218" t="s">
        <v>1479</v>
      </c>
    </row>
    <row r="16" customFormat="false" ht="15" hidden="false" customHeight="true" outlineLevel="0" collapsed="false">
      <c r="A16" s="4" t="s">
        <v>1480</v>
      </c>
    </row>
    <row r="17" customFormat="false" ht="15" hidden="false" customHeight="true" outlineLevel="0" collapsed="false">
      <c r="A17" s="4" t="s">
        <v>1481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218" t="s">
        <v>1482</v>
      </c>
    </row>
    <row r="20" customFormat="false" ht="15" hidden="false" customHeight="true" outlineLevel="0" collapsed="false">
      <c r="A20" s="4" t="s">
        <v>1483</v>
      </c>
    </row>
    <row r="21" customFormat="false" ht="15" hidden="false" customHeight="true" outlineLevel="0" collapsed="false">
      <c r="A21" s="4" t="s">
        <v>1484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218" t="s">
        <v>1485</v>
      </c>
    </row>
    <row r="24" customFormat="false" ht="15" hidden="false" customHeight="true" outlineLevel="0" collapsed="false">
      <c r="A24" s="4" t="s">
        <v>1486</v>
      </c>
    </row>
    <row r="25" customFormat="false" ht="15" hidden="false" customHeight="true" outlineLevel="0" collapsed="false">
      <c r="A25" s="4" t="s">
        <v>1487</v>
      </c>
    </row>
    <row r="26" customFormat="false" ht="15" hidden="false" customHeight="true" outlineLevel="0" collapsed="false">
      <c r="A26" s="4"/>
    </row>
    <row r="27" customFormat="false" ht="15" hidden="false" customHeight="true" outlineLevel="0" collapsed="false">
      <c r="A27" s="218" t="s">
        <v>1488</v>
      </c>
    </row>
    <row r="28" customFormat="false" ht="15" hidden="false" customHeight="true" outlineLevel="0" collapsed="false">
      <c r="A28" s="4" t="s">
        <v>1489</v>
      </c>
    </row>
    <row r="29" customFormat="false" ht="15" hidden="false" customHeight="true" outlineLevel="0" collapsed="false">
      <c r="A29" s="4" t="s">
        <v>1490</v>
      </c>
    </row>
    <row r="30" customFormat="false" ht="15" hidden="false" customHeight="true" outlineLevel="0" collapsed="false">
      <c r="A30" s="4"/>
    </row>
    <row r="31" customFormat="false" ht="15" hidden="false" customHeight="true" outlineLevel="0" collapsed="false">
      <c r="A31" s="218" t="s">
        <v>1491</v>
      </c>
    </row>
    <row r="32" customFormat="false" ht="15" hidden="false" customHeight="true" outlineLevel="0" collapsed="false">
      <c r="A32" s="4" t="s">
        <v>1492</v>
      </c>
    </row>
    <row r="33" customFormat="false" ht="15" hidden="false" customHeight="true" outlineLevel="0" collapsed="false">
      <c r="A33" s="4" t="s">
        <v>1493</v>
      </c>
    </row>
    <row r="34" customFormat="false" ht="15" hidden="false" customHeight="true" outlineLevel="0" collapsed="false">
      <c r="A34" s="4"/>
    </row>
    <row r="35" customFormat="false" ht="15" hidden="false" customHeight="true" outlineLevel="0" collapsed="false">
      <c r="A35" s="218" t="s">
        <v>1494</v>
      </c>
    </row>
    <row r="36" customFormat="false" ht="15" hidden="false" customHeight="true" outlineLevel="0" collapsed="false">
      <c r="A36" s="4" t="s">
        <v>1495</v>
      </c>
    </row>
    <row r="37" customFormat="false" ht="15" hidden="false" customHeight="true" outlineLevel="0" collapsed="false">
      <c r="A37" s="4" t="s">
        <v>1496</v>
      </c>
    </row>
    <row r="38" customFormat="false" ht="15" hidden="false" customHeight="true" outlineLevel="0" collapsed="false">
      <c r="A38" s="4" t="s">
        <v>1497</v>
      </c>
    </row>
    <row r="39" customFormat="false" ht="15" hidden="false" customHeight="true" outlineLevel="0" collapsed="false">
      <c r="A39" s="4" t="s">
        <v>1498</v>
      </c>
    </row>
    <row r="40" customFormat="false" ht="15" hidden="false" customHeight="true" outlineLevel="0" collapsed="false">
      <c r="A40" s="4"/>
    </row>
    <row r="41" customFormat="false" ht="15" hidden="false" customHeight="true" outlineLevel="0" collapsed="false">
      <c r="A41" s="218" t="s">
        <v>1499</v>
      </c>
    </row>
    <row r="42" customFormat="false" ht="15" hidden="false" customHeight="true" outlineLevel="0" collapsed="false">
      <c r="A42" s="4" t="s">
        <v>1500</v>
      </c>
    </row>
    <row r="43" customFormat="false" ht="15" hidden="false" customHeight="true" outlineLevel="0" collapsed="false">
      <c r="A43" s="4" t="s">
        <v>1501</v>
      </c>
    </row>
    <row r="44" customFormat="false" ht="15" hidden="false" customHeight="true" outlineLevel="0" collapsed="false">
      <c r="A44" s="4"/>
    </row>
    <row r="45" customFormat="false" ht="15" hidden="false" customHeight="true" outlineLevel="0" collapsed="false">
      <c r="A45" s="218" t="s">
        <v>1502</v>
      </c>
    </row>
    <row r="46" customFormat="false" ht="15" hidden="false" customHeight="true" outlineLevel="0" collapsed="false">
      <c r="A46" s="4" t="s">
        <v>1503</v>
      </c>
    </row>
    <row r="47" customFormat="false" ht="15" hidden="false" customHeight="true" outlineLevel="0" collapsed="false">
      <c r="A47" s="4" t="s">
        <v>1504</v>
      </c>
    </row>
    <row r="48" customFormat="false" ht="15" hidden="false" customHeight="true" outlineLevel="0" collapsed="false">
      <c r="A48" s="4"/>
    </row>
    <row r="49" customFormat="false" ht="15" hidden="false" customHeight="true" outlineLevel="0" collapsed="false">
      <c r="A49" s="218" t="s">
        <v>1505</v>
      </c>
    </row>
    <row r="50" customFormat="false" ht="15" hidden="false" customHeight="true" outlineLevel="0" collapsed="false">
      <c r="A50" s="4" t="s">
        <v>1506</v>
      </c>
    </row>
    <row r="51" customFormat="false" ht="15" hidden="false" customHeight="true" outlineLevel="0" collapsed="false">
      <c r="A51" s="4" t="s">
        <v>1507</v>
      </c>
    </row>
    <row r="52" customFormat="false" ht="15" hidden="false" customHeight="true" outlineLevel="0" collapsed="false">
      <c r="A52" s="4" t="s">
        <v>1508</v>
      </c>
    </row>
    <row r="53" customFormat="false" ht="15" hidden="false" customHeight="true" outlineLevel="0" collapsed="false">
      <c r="A53" s="4" t="s">
        <v>1509</v>
      </c>
    </row>
    <row r="54" customFormat="false" ht="15" hidden="false" customHeight="true" outlineLevel="0" collapsed="false">
      <c r="A54" s="4" t="s">
        <v>1510</v>
      </c>
    </row>
    <row r="55" customFormat="false" ht="15" hidden="false" customHeight="true" outlineLevel="0" collapsed="false">
      <c r="A55" s="4"/>
    </row>
    <row r="56" customFormat="false" ht="15" hidden="false" customHeight="true" outlineLevel="0" collapsed="false">
      <c r="A56" s="218" t="s">
        <v>1511</v>
      </c>
    </row>
    <row r="57" customFormat="false" ht="15" hidden="false" customHeight="true" outlineLevel="0" collapsed="false">
      <c r="A57" s="4" t="s">
        <v>1512</v>
      </c>
    </row>
    <row r="58" customFormat="false" ht="15" hidden="false" customHeight="true" outlineLevel="0" collapsed="false">
      <c r="A58" s="4" t="s">
        <v>1513</v>
      </c>
    </row>
    <row r="59" customFormat="false" ht="15" hidden="false" customHeight="true" outlineLevel="0" collapsed="false">
      <c r="A59" s="4" t="s">
        <v>1514</v>
      </c>
    </row>
    <row r="60" customFormat="false" ht="15" hidden="false" customHeight="true" outlineLevel="0" collapsed="false">
      <c r="A60" s="4" t="s">
        <v>1515</v>
      </c>
    </row>
    <row r="61" customFormat="false" ht="15" hidden="false" customHeight="true" outlineLevel="0" collapsed="false">
      <c r="A61" s="4" t="s">
        <v>1516</v>
      </c>
    </row>
    <row r="62" customFormat="false" ht="15" hidden="false" customHeight="true" outlineLevel="0" collapsed="false">
      <c r="A62" s="4" t="s">
        <v>1517</v>
      </c>
    </row>
    <row r="63" customFormat="false" ht="15" hidden="false" customHeight="true" outlineLevel="0" collapsed="false">
      <c r="A63" s="4" t="s">
        <v>1518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2026-05-11T17:57:28Z</dcterms:created>
  <dc:creator>openpyxl</dc:creator>
  <dc:description/>
  <dc:language>en-US</dc:language>
  <cp:lastModifiedBy/>
  <dcterms:modified xsi:type="dcterms:W3CDTF">2026-06-03T18:11:36Z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